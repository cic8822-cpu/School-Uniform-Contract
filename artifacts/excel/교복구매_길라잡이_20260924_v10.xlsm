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drawings/drawing3.xml" ContentType="application/vnd.openxmlformats-officedocument.drawing+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drawings/drawing4.xml" ContentType="application/vnd.openxmlformats-officedocument.drawing+xml"/>
  <Override PartName="/xl/ctrlProps/ctrlProp112.xml" ContentType="application/vnd.ms-excel.controlproperties+xml"/>
  <Override PartName="/xl/drawings/drawing5.xml" ContentType="application/vnd.openxmlformats-officedocument.drawing+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drawings/drawing6.xml" ContentType="application/vnd.openxmlformats-officedocument.drawing+xml"/>
  <Override PartName="/xl/ctrlProps/ctrlProp254.xml" ContentType="application/vnd.ms-excel.controlproperties+xml"/>
  <Override PartName="/xl/ctrlProps/ctrlProp255.xml" ContentType="application/vnd.ms-excel.controlproperties+xml"/>
  <Override PartName="/xl/drawings/drawing7.xml" ContentType="application/vnd.openxmlformats-officedocument.drawing+xml"/>
  <Override PartName="/xl/ctrlProps/ctrlProp256.xml" ContentType="application/vnd.ms-excel.controlproperties+xml"/>
  <Override PartName="/xl/drawings/drawing8.xml" ContentType="application/vnd.openxmlformats-officedocument.drawing+xml"/>
  <Override PartName="/xl/ctrlProps/ctrlProp257.xml" ContentType="application/vnd.ms-excel.controlproperties+xml"/>
  <Override PartName="/xl/ctrlProps/ctrlProp258.xml" ContentType="application/vnd.ms-excel.controlproperties+xml"/>
  <Override PartName="/xl/drawings/drawing9.xml" ContentType="application/vnd.openxmlformats-officedocument.drawing+xml"/>
  <Override PartName="/xl/ctrlProps/ctrlProp259.xml" ContentType="application/vnd.ms-excel.controlproperties+xml"/>
  <Override PartName="/xl/ctrlProps/ctrlProp260.xml" ContentType="application/vnd.ms-excel.controlproperties+xml"/>
  <Override PartName="/xl/drawings/drawing10.xml" ContentType="application/vnd.openxmlformats-officedocument.drawing+xml"/>
  <Override PartName="/xl/ctrlProps/ctrlProp261.xml" ContentType="application/vnd.ms-excel.controlproperties+xml"/>
  <Override PartName="/xl/ctrlProps/ctrlProp262.xml" ContentType="application/vnd.ms-excel.controlproperties+xml"/>
  <Override PartName="/xl/drawings/drawing11.xml" ContentType="application/vnd.openxmlformats-officedocument.drawing+xml"/>
  <Override PartName="/xl/ctrlProps/ctrlProp263.xml" ContentType="application/vnd.ms-excel.controlproperties+xml"/>
  <Override PartName="/xl/ctrlProps/ctrlProp264.xml" ContentType="application/vnd.ms-excel.controlproperties+xml"/>
  <Override PartName="/xl/drawings/drawing12.xml" ContentType="application/vnd.openxmlformats-officedocument.drawing+xml"/>
  <Override PartName="/xl/ctrlProps/ctrlProp265.xml" ContentType="application/vnd.ms-excel.controlproperties+xml"/>
  <Override PartName="/xl/ctrlProps/ctrlProp266.xml" ContentType="application/vnd.ms-excel.controlproperties+xml"/>
  <Override PartName="/xl/drawings/drawing13.xml" ContentType="application/vnd.openxmlformats-officedocument.drawing+xml"/>
  <Override PartName="/xl/ctrlProps/ctrlProp267.xml" ContentType="application/vnd.ms-excel.controlproperties+xml"/>
  <Override PartName="/xl/ctrlProps/ctrlProp268.xml" ContentType="application/vnd.ms-excel.controlproperties+xml"/>
  <Override PartName="/xl/drawings/drawing14.xml" ContentType="application/vnd.openxmlformats-officedocument.drawing+xml"/>
  <Override PartName="/xl/ctrlProps/ctrlProp269.xml" ContentType="application/vnd.ms-excel.controlproperties+xml"/>
  <Override PartName="/xl/ctrlProps/ctrlProp270.xml" ContentType="application/vnd.ms-excel.controlproperties+xml"/>
  <Override PartName="/xl/drawings/drawing15.xml" ContentType="application/vnd.openxmlformats-officedocument.drawing+xml"/>
  <Override PartName="/xl/ctrlProps/ctrlProp271.xml" ContentType="application/vnd.ms-excel.controlproperties+xml"/>
  <Override PartName="/xl/ctrlProps/ctrlProp272.xml" ContentType="application/vnd.ms-excel.controlproperties+xml"/>
  <Override PartName="/xl/drawings/drawing16.xml" ContentType="application/vnd.openxmlformats-officedocument.drawing+xml"/>
  <Override PartName="/xl/ctrlProps/ctrlProp273.xml" ContentType="application/vnd.ms-excel.controlproperties+xml"/>
  <Override PartName="/xl/ctrlProps/ctrlProp274.xml" ContentType="application/vnd.ms-excel.controlproperties+xml"/>
  <Override PartName="/xl/drawings/drawing17.xml" ContentType="application/vnd.openxmlformats-officedocument.drawing+xml"/>
  <Override PartName="/xl/ctrlProps/ctrlProp275.xml" ContentType="application/vnd.ms-excel.controlproperties+xml"/>
  <Override PartName="/xl/ctrlProps/ctrlProp276.xml" ContentType="application/vnd.ms-excel.controlproperties+xml"/>
  <Override PartName="/xl/drawings/drawing18.xml" ContentType="application/vnd.openxmlformats-officedocument.drawing+xml"/>
  <Override PartName="/xl/ctrlProps/ctrlProp277.xml" ContentType="application/vnd.ms-excel.controlproperties+xml"/>
  <Override PartName="/xl/ctrlProps/ctrlProp278.xml" ContentType="application/vnd.ms-excel.controlproperties+xml"/>
  <Override PartName="/xl/drawings/drawing19.xml" ContentType="application/vnd.openxmlformats-officedocument.drawing+xml"/>
  <Override PartName="/xl/ctrlProps/ctrlProp279.xml" ContentType="application/vnd.ms-excel.controlproperties+xml"/>
  <Override PartName="/xl/ctrlProps/ctrlProp280.xml" ContentType="application/vnd.ms-excel.controlproperties+xml"/>
  <Override PartName="/xl/drawings/drawing20.xml" ContentType="application/vnd.openxmlformats-officedocument.drawing+xml"/>
  <Override PartName="/xl/ctrlProps/ctrlProp281.xml" ContentType="application/vnd.ms-excel.controlproperties+xml"/>
  <Override PartName="/xl/ctrlProps/ctrlProp282.xml" ContentType="application/vnd.ms-excel.controlproperties+xml"/>
  <Override PartName="/xl/drawings/drawing21.xml" ContentType="application/vnd.openxmlformats-officedocument.drawing+xml"/>
  <Override PartName="/xl/ctrlProps/ctrlProp283.xml" ContentType="application/vnd.ms-excel.controlproperties+xml"/>
  <Override PartName="/xl/ctrlProps/ctrlProp284.xml" ContentType="application/vnd.ms-excel.controlproperties+xml"/>
  <Override PartName="/xl/drawings/drawing22.xml" ContentType="application/vnd.openxmlformats-officedocument.drawing+xml"/>
  <Override PartName="/xl/ctrlProps/ctrlProp285.xml" ContentType="application/vnd.ms-excel.controlproperties+xml"/>
  <Override PartName="/xl/ctrlProps/ctrlProp286.xml" ContentType="application/vnd.ms-excel.controlproperties+xml"/>
  <Override PartName="/xl/drawings/drawing23.xml" ContentType="application/vnd.openxmlformats-officedocument.drawing+xml"/>
  <Override PartName="/xl/ctrlProps/ctrlProp287.xml" ContentType="application/vnd.ms-excel.controlproperties+xml"/>
  <Override PartName="/xl/ctrlProps/ctrlProp288.xml" ContentType="application/vnd.ms-excel.controlproperties+xml"/>
  <Override PartName="/xl/drawings/drawing24.xml" ContentType="application/vnd.openxmlformats-officedocument.drawing+xml"/>
  <Override PartName="/xl/ctrlProps/ctrlProp289.xml" ContentType="application/vnd.ms-excel.controlproperties+xml"/>
  <Override PartName="/xl/ctrlProps/ctrlProp290.xml" ContentType="application/vnd.ms-excel.controlproperties+xml"/>
  <Override PartName="/xl/drawings/drawing25.xml" ContentType="application/vnd.openxmlformats-officedocument.drawing+xml"/>
  <Override PartName="/xl/ctrlProps/ctrlProp291.xml" ContentType="application/vnd.ms-excel.controlproperties+xml"/>
  <Override PartName="/xl/ctrlProps/ctrlProp292.xml" ContentType="application/vnd.ms-excel.controlproperties+xml"/>
  <Override PartName="/xl/drawings/drawing26.xml" ContentType="application/vnd.openxmlformats-officedocument.drawing+xml"/>
  <Override PartName="/xl/ctrlProps/ctrlProp293.xml" ContentType="application/vnd.ms-excel.controlproperties+xml"/>
  <Override PartName="/xl/ctrlProps/ctrlProp294.xml" ContentType="application/vnd.ms-excel.controlproperties+xml"/>
  <Override PartName="/xl/drawings/drawing27.xml" ContentType="application/vnd.openxmlformats-officedocument.drawing+xml"/>
  <Override PartName="/xl/ctrlProps/ctrlProp295.xml" ContentType="application/vnd.ms-excel.controlproperties+xml"/>
  <Override PartName="/xl/ctrlProps/ctrlProp296.xml" ContentType="application/vnd.ms-excel.controlproperties+xml"/>
  <Override PartName="/xl/drawings/drawing28.xml" ContentType="application/vnd.openxmlformats-officedocument.drawing+xml"/>
  <Override PartName="/xl/ctrlProps/ctrlProp297.xml" ContentType="application/vnd.ms-excel.controlproperties+xml"/>
  <Override PartName="/xl/ctrlProps/ctrlProp298.xml" ContentType="application/vnd.ms-excel.controlproperties+xml"/>
  <Override PartName="/xl/drawings/drawing29.xml" ContentType="application/vnd.openxmlformats-officedocument.drawing+xml"/>
  <Override PartName="/xl/ctrlProps/ctrlProp299.xml" ContentType="application/vnd.ms-excel.controlproperties+xml"/>
  <Override PartName="/xl/ctrlProps/ctrlProp300.xml" ContentType="application/vnd.ms-excel.controlproperties+xml"/>
  <Override PartName="/xl/drawings/drawing30.xml" ContentType="application/vnd.openxmlformats-officedocument.drawing+xml"/>
  <Override PartName="/xl/ctrlProps/ctrlProp301.xml" ContentType="application/vnd.ms-excel.controlproperties+xml"/>
  <Override PartName="/xl/ctrlProps/ctrlProp302.xml" ContentType="application/vnd.ms-excel.controlproperties+xml"/>
  <Override PartName="/xl/drawings/drawing31.xml" ContentType="application/vnd.openxmlformats-officedocument.drawing+xml"/>
  <Override PartName="/xl/ctrlProps/ctrlProp303.xml" ContentType="application/vnd.ms-excel.controlproperties+xml"/>
  <Override PartName="/xl/ctrlProps/ctrlProp304.xml" ContentType="application/vnd.ms-excel.controlproperties+xml"/>
  <Override PartName="/xl/drawings/drawing32.xml" ContentType="application/vnd.openxmlformats-officedocument.drawing+xml"/>
  <Override PartName="/xl/ctrlProps/ctrlProp305.xml" ContentType="application/vnd.ms-excel.controlproperties+xml"/>
  <Override PartName="/xl/ctrlProps/ctrlProp306.xml" ContentType="application/vnd.ms-excel.controlproperties+xml"/>
  <Override PartName="/xl/drawings/drawing33.xml" ContentType="application/vnd.openxmlformats-officedocument.drawing+xml"/>
  <Override PartName="/xl/ctrlProps/ctrlProp307.xml" ContentType="application/vnd.ms-excel.controlproperties+xml"/>
  <Override PartName="/xl/ctrlProps/ctrlProp308.xml" ContentType="application/vnd.ms-excel.controlproperties+xml"/>
  <Override PartName="/xl/drawings/drawing34.xml" ContentType="application/vnd.openxmlformats-officedocument.drawing+xml"/>
  <Override PartName="/xl/ctrlProps/ctrlProp309.xml" ContentType="application/vnd.ms-excel.controlproperties+xml"/>
  <Override PartName="/xl/ctrlProps/ctrlProp310.xml" ContentType="application/vnd.ms-excel.controlproperties+xml"/>
  <Override PartName="/xl/drawings/drawing35.xml" ContentType="application/vnd.openxmlformats-officedocument.drawing+xml"/>
  <Override PartName="/xl/ctrlProps/ctrlProp311.xml" ContentType="application/vnd.ms-excel.controlproperties+xml"/>
  <Override PartName="/xl/ctrlProps/ctrlProp312.xml" ContentType="application/vnd.ms-excel.controlproperties+xml"/>
  <Override PartName="/xl/drawings/drawing36.xml" ContentType="application/vnd.openxmlformats-officedocument.drawing+xml"/>
  <Override PartName="/xl/ctrlProps/ctrlProp313.xml" ContentType="application/vnd.ms-excel.controlproperties+xml"/>
  <Override PartName="/xl/ctrlProps/ctrlProp314.xml" ContentType="application/vnd.ms-excel.controlproperties+xml"/>
  <Override PartName="/xl/drawings/drawing37.xml" ContentType="application/vnd.openxmlformats-officedocument.drawing+xml"/>
  <Override PartName="/xl/ctrlProps/ctrlProp315.xml" ContentType="application/vnd.ms-excel.controlproperties+xml"/>
  <Override PartName="/xl/ctrlProps/ctrlProp316.xml" ContentType="application/vnd.ms-excel.controlproperties+xml"/>
  <Override PartName="/xl/drawings/drawing38.xml" ContentType="application/vnd.openxmlformats-officedocument.drawing+xml"/>
  <Override PartName="/xl/ctrlProps/ctrlProp317.xml" ContentType="application/vnd.ms-excel.controlproperties+xml"/>
  <Override PartName="/xl/ctrlProps/ctrlProp318.xml" ContentType="application/vnd.ms-excel.controlproperties+xml"/>
  <Override PartName="/xl/drawings/drawing39.xml" ContentType="application/vnd.openxmlformats-officedocument.drawing+xml"/>
  <Override PartName="/xl/ctrlProps/ctrlProp319.xml" ContentType="application/vnd.ms-excel.controlproperties+xml"/>
  <Override PartName="/xl/ctrlProps/ctrlProp320.xml" ContentType="application/vnd.ms-excel.controlproperties+xml"/>
  <Override PartName="/xl/drawings/drawing40.xml" ContentType="application/vnd.openxmlformats-officedocument.drawing+xml"/>
  <Override PartName="/xl/ctrlProps/ctrlProp321.xml" ContentType="application/vnd.ms-excel.controlproperties+xml"/>
  <Override PartName="/xl/ctrlProps/ctrlProp322.xml" ContentType="application/vnd.ms-excel.controlproperties+xml"/>
  <Override PartName="/xl/drawings/drawing41.xml" ContentType="application/vnd.openxmlformats-officedocument.drawing+xml"/>
  <Override PartName="/xl/ctrlProps/ctrlProp323.xml" ContentType="application/vnd.ms-excel.controlproperties+xml"/>
  <Override PartName="/xl/ctrlProps/ctrlProp324.xml" ContentType="application/vnd.ms-excel.controlproperties+xml"/>
  <Override PartName="/xl/drawings/drawing42.xml" ContentType="application/vnd.openxmlformats-officedocument.drawing+xml"/>
  <Override PartName="/xl/ctrlProps/ctrlProp325.xml" ContentType="application/vnd.ms-excel.controlproperties+xml"/>
  <Override PartName="/xl/ctrlProps/ctrlProp326.xml" ContentType="application/vnd.ms-excel.controlproperties+xml"/>
  <Override PartName="/xl/drawings/drawing43.xml" ContentType="application/vnd.openxmlformats-officedocument.drawing+xml"/>
  <Override PartName="/xl/ctrlProps/ctrlProp327.xml" ContentType="application/vnd.ms-excel.controlproperties+xml"/>
  <Override PartName="/xl/ctrlProps/ctrlProp328.xml" ContentType="application/vnd.ms-excel.controlproperties+xml"/>
  <Override PartName="/xl/drawings/drawing44.xml" ContentType="application/vnd.openxmlformats-officedocument.drawing+xml"/>
  <Override PartName="/xl/ctrlProps/ctrlProp329.xml" ContentType="application/vnd.ms-excel.controlproperties+xml"/>
  <Override PartName="/xl/ctrlProps/ctrlProp330.xml" ContentType="application/vnd.ms-excel.controlproperties+xml"/>
  <Override PartName="/xl/drawings/drawing45.xml" ContentType="application/vnd.openxmlformats-officedocument.drawing+xml"/>
  <Override PartName="/xl/ctrlProps/ctrlProp331.xml" ContentType="application/vnd.ms-excel.controlproperties+xml"/>
  <Override PartName="/xl/ctrlProps/ctrlProp332.xml" ContentType="application/vnd.ms-excel.controlproperties+xml"/>
  <Override PartName="/xl/drawings/drawing46.xml" ContentType="application/vnd.openxmlformats-officedocument.drawing+xml"/>
  <Override PartName="/xl/ctrlProps/ctrlProp333.xml" ContentType="application/vnd.ms-excel.controlproperties+xml"/>
  <Override PartName="/xl/ctrlProps/ctrlProp334.xml" ContentType="application/vnd.ms-excel.controlproperties+xml"/>
  <Override PartName="/xl/drawings/drawing47.xml" ContentType="application/vnd.openxmlformats-officedocument.drawing+xml"/>
  <Override PartName="/xl/ctrlProps/ctrlProp335.xml" ContentType="application/vnd.ms-excel.controlproperties+xml"/>
  <Override PartName="/xl/ctrlProps/ctrlProp336.xml" ContentType="application/vnd.ms-excel.controlproperties+xml"/>
  <Override PartName="/xl/drawings/drawing48.xml" ContentType="application/vnd.openxmlformats-officedocument.drawing+xml"/>
  <Override PartName="/xl/ctrlProps/ctrlProp337.xml" ContentType="application/vnd.ms-excel.controlproperties+xml"/>
  <Override PartName="/xl/ctrlProps/ctrlProp338.xml" ContentType="application/vnd.ms-excel.controlproperties+xml"/>
  <Override PartName="/xl/drawings/drawing49.xml" ContentType="application/vnd.openxmlformats-officedocument.drawing+xml"/>
  <Override PartName="/xl/ctrlProps/ctrlProp339.xml" ContentType="application/vnd.ms-excel.controlproperties+xml"/>
  <Override PartName="/xl/ctrlProps/ctrlProp340.xml" ContentType="application/vnd.ms-excel.controlproperties+xml"/>
  <Override PartName="/xl/drawings/drawing50.xml" ContentType="application/vnd.openxmlformats-officedocument.drawing+xml"/>
  <Override PartName="/xl/ctrlProps/ctrlProp341.xml" ContentType="application/vnd.ms-excel.controlproperties+xml"/>
  <Override PartName="/xl/ctrlProps/ctrlProp342.xml" ContentType="application/vnd.ms-excel.controlproperties+xml"/>
  <Override PartName="/xl/drawings/drawing51.xml" ContentType="application/vnd.openxmlformats-officedocument.drawing+xml"/>
  <Override PartName="/xl/ctrlProps/ctrlProp343.xml" ContentType="application/vnd.ms-excel.controlproperties+xml"/>
  <Override PartName="/xl/ctrlProps/ctrlProp344.xml" ContentType="application/vnd.ms-excel.controlproperties+xml"/>
  <Override PartName="/xl/drawings/drawing52.xml" ContentType="application/vnd.openxmlformats-officedocument.drawing+xml"/>
  <Override PartName="/xl/ctrlProps/ctrlProp345.xml" ContentType="application/vnd.ms-excel.controlproperties+xml"/>
  <Override PartName="/xl/ctrlProps/ctrlProp346.xml" ContentType="application/vnd.ms-excel.controlproperties+xml"/>
  <Override PartName="/xl/drawings/drawing53.xml" ContentType="application/vnd.openxmlformats-officedocument.drawing+xml"/>
  <Override PartName="/xl/ctrlProps/ctrlProp347.xml" ContentType="application/vnd.ms-excel.controlproperties+xml"/>
  <Override PartName="/xl/ctrlProps/ctrlProp34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현재_통합_문서" defaultThemeVersion="166925"/>
  <mc:AlternateContent xmlns:mc="http://schemas.openxmlformats.org/markup-compatibility/2006">
    <mc:Choice Requires="x15">
      <x15ac:absPath xmlns:x15ac="http://schemas.microsoft.com/office/spreadsheetml/2010/11/ac" url="C:\Users\최익창\Downloads\나연수_26.9.10\artifacts\excel\"/>
    </mc:Choice>
  </mc:AlternateContent>
  <xr:revisionPtr revIDLastSave="0" documentId="13_ncr:1_{0AF74E42-1898-43F3-B64A-EC81984DD524}" xr6:coauthVersionLast="47" xr6:coauthVersionMax="47" xr10:uidLastSave="{00000000-0000-0000-0000-000000000000}"/>
  <bookViews>
    <workbookView xWindow="-108" yWindow="-108" windowWidth="23256" windowHeight="12576" activeTab="1" xr2:uid="{BC766A9A-D679-445B-A21D-7112F078DADE}"/>
  </bookViews>
  <sheets>
    <sheet name="사용설명서" sheetId="1" r:id="rId1"/>
    <sheet name="기초자료입력" sheetId="2" r:id="rId2"/>
    <sheet name="계약방법안내" sheetId="62" r:id="rId3"/>
    <sheet name="입찰계약절차안내" sheetId="61" state="hidden" r:id="rId4"/>
    <sheet name="서식선택_출력" sheetId="11" r:id="rId5"/>
    <sheet name="학교검색" sheetId="60" state="hidden" r:id="rId6"/>
    <sheet name="학교정보" sheetId="59" state="hidden" r:id="rId7"/>
    <sheet name="DB" sheetId="3" state="hidden" r:id="rId8"/>
    <sheet name="DB_품목" sheetId="4" state="veryHidden" r:id="rId9"/>
    <sheet name="DB_업체" sheetId="5" state="veryHidden" r:id="rId10"/>
    <sheet name="DB_위원" sheetId="6" state="veryHidden" r:id="rId11"/>
    <sheet name="DB_평가" sheetId="7" state="veryHidden" r:id="rId12"/>
    <sheet name="F-001_위원회구성기안" sheetId="25" r:id="rId13"/>
    <sheet name="F-002_위원수락확인서" sheetId="26" r:id="rId14"/>
    <sheet name="F-003_위원청렴보안서약서" sheetId="27" r:id="rId15"/>
    <sheet name="F-004_구매추진계획수립기안문" sheetId="28" r:id="rId16"/>
    <sheet name="F-005_구매추진계획안" sheetId="29" r:id="rId17"/>
    <sheet name="F-006_운영위원회심의안" sheetId="30" r:id="rId18"/>
    <sheet name="F-007_구매요청기안문" sheetId="12" r:id="rId19"/>
    <sheet name="F-008_교복사양서" sheetId="35" r:id="rId20"/>
    <sheet name="F-009_기초금액계약방법결정" sheetId="31" r:id="rId21"/>
    <sheet name="F-010_사전규격공개기안문" sheetId="32" r:id="rId22"/>
    <sheet name="F-011_입찰공고" sheetId="33" r:id="rId23"/>
    <sheet name="F-012_계약특수조건" sheetId="34" r:id="rId24"/>
    <sheet name="F-014_평가항목배점기준" sheetId="14" r:id="rId25"/>
    <sheet name="F-015_정량적평가" sheetId="15" r:id="rId26"/>
    <sheet name="F-016_정성적평가" sheetId="16" r:id="rId27"/>
    <sheet name="F-017_제출서류자기확인서" sheetId="17" r:id="rId28"/>
    <sheet name="F-018_정량적평가자기평점표" sheetId="18" r:id="rId29"/>
    <sheet name="F-019_입찰참가신청서" sheetId="19" r:id="rId30"/>
    <sheet name="F-020_입찰참가신고서" sheetId="20" r:id="rId31"/>
    <sheet name="F-021_교복납품제안서" sheetId="21" r:id="rId32"/>
    <sheet name="F-022_교복납품실적표" sheetId="22" r:id="rId33"/>
    <sheet name="F-023_교복제조사양서" sheetId="23" r:id="rId34"/>
    <sheet name="F-024_단가비율표" sheetId="13" r:id="rId35"/>
    <sheet name="F-025_교복AS계획서" sheetId="24" r:id="rId36"/>
    <sheet name="F-027_위임장" sheetId="46" r:id="rId37"/>
    <sheet name="F-029_개인정보제공동의서" sheetId="47" r:id="rId38"/>
    <sheet name="F-030_청렴계약이행서약서" sheetId="48" r:id="rId39"/>
    <sheet name="F-031_교복품목별금액표" sheetId="49" r:id="rId40"/>
    <sheet name="F-032_제안서접수결과" sheetId="50" r:id="rId41"/>
    <sheet name="F-033_제안서접수대장" sheetId="51" r:id="rId42"/>
    <sheet name="F-034_평가위원회개최" sheetId="52" r:id="rId43"/>
    <sheet name="F-035_정량평가결과" sheetId="53" r:id="rId44"/>
    <sheet name="F-036_제안서평가결과" sheetId="54" r:id="rId45"/>
    <sheet name="F-037_평가위원회참석등록부" sheetId="55" r:id="rId46"/>
    <sheet name="F-038_업체참가등록부" sheetId="56" r:id="rId47"/>
    <sheet name="F-039_업체별제안서평가표" sheetId="57" r:id="rId48"/>
    <sheet name="F-040_위원청렴보안서약서" sheetId="58" r:id="rId49"/>
    <sheet name="F-041_낙찰자결정" sheetId="36" r:id="rId50"/>
    <sheet name="F-042_낙찰자결정통보" sheetId="37" r:id="rId51"/>
    <sheet name="F-043_계약체결" sheetId="38" r:id="rId52"/>
    <sheet name="F-044_사전안내가정통신문안내" sheetId="39" r:id="rId53"/>
    <sheet name="F-045_사전안내가정통신문" sheetId="40" r:id="rId54"/>
    <sheet name="F-046_수요조사가정통신문안내" sheetId="41" r:id="rId55"/>
    <sheet name="F-047_수요조사가정통신문" sheetId="43" r:id="rId56"/>
    <sheet name="F-048_교복구매안내신청수량파악" sheetId="42" r:id="rId57"/>
    <sheet name="F-049_만족도설문조사실시" sheetId="44" r:id="rId58"/>
    <sheet name="F-050_만족도조사설문지" sheetId="45" r:id="rId59"/>
    <sheet name="DB_자기평점" sheetId="10" state="veryHidden" r:id="rId60"/>
    <sheet name="DB_정성평가" sheetId="9" state="veryHidden" r:id="rId61"/>
    <sheet name="DB_정량평가" sheetId="8" state="veryHidden" r:id="rId62"/>
  </sheets>
  <functionGroups builtInGroupCount="19"/>
  <definedNames>
    <definedName name="_xlnm._FilterDatabase" localSheetId="7" hidden="1">DB!$A$1:$T$1</definedName>
    <definedName name="_xlnm._FilterDatabase" localSheetId="9" hidden="1">DB_업체!$A$1:$E$1</definedName>
    <definedName name="_xlnm._FilterDatabase" localSheetId="10" hidden="1">DB_위원!$A$1:$D$1</definedName>
    <definedName name="_xlnm._FilterDatabase" localSheetId="59" hidden="1">DB_자기평점!$A$1:$F$1</definedName>
    <definedName name="_xlnm._FilterDatabase" localSheetId="61" hidden="1">DB_정량평가!$A$1:$F$1</definedName>
    <definedName name="_xlnm._FilterDatabase" localSheetId="60" hidden="1">DB_정성평가!$A$1:$G$1</definedName>
    <definedName name="_xlnm._FilterDatabase" localSheetId="11" hidden="1">DB_평가!$A$1:$E$1</definedName>
    <definedName name="_xlnm._FilterDatabase" localSheetId="8" hidden="1">DB_품목!$A$1:$F$1</definedName>
    <definedName name="_xlnm.Print_Area" localSheetId="12">'F-001_위원회구성기안'!$A$1:$H$43</definedName>
    <definedName name="_xlnm.Print_Area" localSheetId="13">'F-002_위원수락확인서'!$A$1:$E$21</definedName>
    <definedName name="_xlnm.Print_Area" localSheetId="14">'F-003_위원청렴보안서약서'!$A$1:$E$20</definedName>
    <definedName name="_xlnm.Print_Area" localSheetId="15">'F-004_구매추진계획수립기안문'!$A$1:$H$20</definedName>
    <definedName name="_xlnm.Print_Area" localSheetId="16">'F-005_구매추진계획안'!$A$1:$G$90</definedName>
    <definedName name="_xlnm.Print_Area" localSheetId="17">'F-006_운영위원회심의안'!$A$1:$H$40</definedName>
    <definedName name="_xlnm.Print_Area" localSheetId="18">'F-007_구매요청기안문'!$A$1:$H$26</definedName>
    <definedName name="_xlnm.Print_Area" localSheetId="19">'F-008_교복사양서'!$A$1:$H$29</definedName>
    <definedName name="_xlnm.Print_Area" localSheetId="20">'F-009_기초금액계약방법결정'!$A$1:$H$30</definedName>
    <definedName name="_xlnm.Print_Area" localSheetId="21">'F-010_사전규격공개기안문'!$A$1:$H$29</definedName>
    <definedName name="_xlnm.Print_Area" localSheetId="22">'F-011_입찰공고'!$A$1:$H$71</definedName>
    <definedName name="_xlnm.Print_Area" localSheetId="23">'F-012_계약특수조건'!$A$1:$H$86</definedName>
    <definedName name="_xlnm.Print_Area" localSheetId="24">'F-014_평가항목배점기준'!$A$1:$G$25</definedName>
    <definedName name="_xlnm.Print_Area" localSheetId="25">'F-015_정량적평가'!$B$1:$G$26</definedName>
    <definedName name="_xlnm.Print_Area" localSheetId="26">'F-016_정성적평가'!$B$1:$F$18</definedName>
    <definedName name="_xlnm.Print_Area" localSheetId="27">'F-017_제출서류자기확인서'!$B$1:$E$30</definedName>
    <definedName name="_xlnm.Print_Area" localSheetId="28">'F-018_정량적평가자기평점표'!$B$1:$F$25</definedName>
    <definedName name="_xlnm.Print_Area" localSheetId="29">'F-019_입찰참가신청서'!$B$1:$L$25</definedName>
    <definedName name="_xlnm.Print_Area" localSheetId="30">'F-020_입찰참가신고서'!$B$1:$E$20</definedName>
    <definedName name="_xlnm.Print_Area" localSheetId="31">'F-021_교복납품제안서'!$B$1:$E$31</definedName>
    <definedName name="_xlnm.Print_Area" localSheetId="32">'F-022_교복납품실적표'!$B$1:$G$25</definedName>
    <definedName name="_xlnm.Print_Area" localSheetId="33">'F-023_교복제조사양서'!$B$1:$E$21</definedName>
    <definedName name="_xlnm.Print_Area" localSheetId="34">'F-024_단가비율표'!$A$1:$G$19</definedName>
    <definedName name="_xlnm.Print_Area" localSheetId="35">'F-025_교복AS계획서'!$B$1:$E$31</definedName>
    <definedName name="_xlnm.Print_Area" localSheetId="36">'F-027_위임장'!$A$1:$F$24</definedName>
    <definedName name="_xlnm.Print_Area" localSheetId="37">'F-029_개인정보제공동의서'!$A$1:$F$25</definedName>
    <definedName name="_xlnm.Print_Area" localSheetId="38">'F-030_청렴계약이행서약서'!$A$1:$F$19</definedName>
    <definedName name="_xlnm.Print_Area" localSheetId="39">'F-031_교복품목별금액표'!$A$1:$G$29</definedName>
    <definedName name="_xlnm.Print_Area" localSheetId="40">'F-032_제안서접수결과'!$A$1:$H$36</definedName>
    <definedName name="_xlnm.Print_Area" localSheetId="41">'F-033_제안서접수대장'!$A$1:$L$21</definedName>
    <definedName name="_xlnm.Print_Area" localSheetId="42">'F-034_평가위원회개최'!$A$1:$H$38</definedName>
    <definedName name="_xlnm.Print_Area" localSheetId="43">'F-035_정량평가결과'!$A$1:$H$36</definedName>
    <definedName name="_xlnm.Print_Area" localSheetId="44">'F-036_제안서평가결과'!$A$1:$G$38</definedName>
    <definedName name="_xlnm.Print_Area" localSheetId="45">'F-037_평가위원회참석등록부'!$A$1:$H$21</definedName>
    <definedName name="_xlnm.Print_Area" localSheetId="46">'F-038_업체참가등록부'!$A$1:$I$23</definedName>
    <definedName name="_xlnm.Print_Area" localSheetId="47">'F-039_업체별제안서평가표'!$A$1:$J$19</definedName>
    <definedName name="_xlnm.Print_Area" localSheetId="48">'F-040_위원청렴보안서약서'!$A$1:$H$25</definedName>
    <definedName name="_xlnm.Print_Area" localSheetId="49">'F-041_낙찰자결정'!$A$1:$H$29</definedName>
    <definedName name="_xlnm.Print_Area" localSheetId="50">'F-042_낙찰자결정통보'!$A$1:$H$29</definedName>
    <definedName name="_xlnm.Print_Area" localSheetId="51">'F-043_계약체결'!$A$1:$H$37</definedName>
    <definedName name="_xlnm.Print_Area" localSheetId="52">'F-044_사전안내가정통신문안내'!$A$1:$H$25</definedName>
    <definedName name="_xlnm.Print_Area" localSheetId="53">'F-045_사전안내가정통신문'!$A$1:$H$22</definedName>
    <definedName name="_xlnm.Print_Area" localSheetId="54">'F-046_수요조사가정통신문안내'!$A$1:$H$25</definedName>
    <definedName name="_xlnm.Print_Area" localSheetId="55">'F-047_수요조사가정통신문'!$A$1:$H$41</definedName>
    <definedName name="_xlnm.Print_Area" localSheetId="56">'F-048_교복구매안내신청수량파악'!$A$1:$I$45</definedName>
    <definedName name="_xlnm.Print_Area" localSheetId="57">'F-049_만족도설문조사실시'!$A$1:$H$25</definedName>
    <definedName name="_xlnm.Print_Area" localSheetId="58">'F-050_만족도조사설문지'!$A$1:$I$35</definedName>
    <definedName name="_xlnm.Print_Area" localSheetId="2">계약방법안내!$A$1:$C$10</definedName>
    <definedName name="_xlnm.Print_Area" localSheetId="0">사용설명서!$A$1:$H$24</definedName>
    <definedName name="학교명목록">학교정보!$E$2:$E$791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C6" i="62" l="1"/>
  <c r="B7" i="62"/>
  <c r="C7" i="62" s="1"/>
  <c r="C26" i="12"/>
  <c r="E25" i="12"/>
  <c r="C43" i="25"/>
  <c r="E42" i="25"/>
  <c r="C20" i="28"/>
  <c r="E19" i="28"/>
  <c r="C30" i="31"/>
  <c r="E29" i="31"/>
  <c r="C29" i="36"/>
  <c r="E28" i="36"/>
  <c r="C29" i="37"/>
  <c r="E28" i="37"/>
  <c r="C37" i="38"/>
  <c r="E36" i="38"/>
  <c r="C25" i="39"/>
  <c r="E24" i="39"/>
  <c r="C25" i="41"/>
  <c r="E24" i="41"/>
  <c r="C25" i="44"/>
  <c r="E24" i="44"/>
  <c r="C36" i="50"/>
  <c r="E35" i="50"/>
  <c r="C38" i="52"/>
  <c r="E37" i="52"/>
  <c r="C36" i="53"/>
  <c r="E35" i="53"/>
  <c r="F5" i="2"/>
  <c r="F4" i="2"/>
  <c r="B25" i="58"/>
  <c r="B21" i="58"/>
  <c r="B10" i="58"/>
  <c r="B7" i="58"/>
  <c r="B5" i="58"/>
  <c r="I17" i="57"/>
  <c r="I16" i="57"/>
  <c r="H17" i="57"/>
  <c r="H16" i="57"/>
  <c r="G17" i="57"/>
  <c r="G16" i="57"/>
  <c r="F17" i="57"/>
  <c r="F16" i="57"/>
  <c r="E17" i="57"/>
  <c r="E16" i="57"/>
  <c r="I15" i="57"/>
  <c r="I14" i="57"/>
  <c r="I13" i="57"/>
  <c r="I12" i="57"/>
  <c r="I11" i="57"/>
  <c r="I10" i="57"/>
  <c r="I9" i="57"/>
  <c r="I8" i="57"/>
  <c r="C8" i="57"/>
  <c r="B8" i="57"/>
  <c r="G5" i="57"/>
  <c r="E5" i="57"/>
  <c r="C5" i="57"/>
  <c r="B3" i="57"/>
  <c r="D18" i="56"/>
  <c r="C18" i="56"/>
  <c r="B18" i="56"/>
  <c r="D17" i="56"/>
  <c r="C17" i="56"/>
  <c r="B17" i="56"/>
  <c r="D16" i="56"/>
  <c r="C16" i="56"/>
  <c r="B16" i="56"/>
  <c r="D15" i="56"/>
  <c r="C15" i="56"/>
  <c r="B15" i="56"/>
  <c r="D14" i="56"/>
  <c r="C14" i="56"/>
  <c r="B14" i="56"/>
  <c r="D13" i="56"/>
  <c r="C13" i="56"/>
  <c r="B13" i="56"/>
  <c r="D12" i="56"/>
  <c r="C12" i="56"/>
  <c r="B12" i="56"/>
  <c r="D11" i="56"/>
  <c r="C11" i="56"/>
  <c r="B11" i="56"/>
  <c r="D10" i="56"/>
  <c r="C10" i="56"/>
  <c r="B10" i="56"/>
  <c r="D9" i="56"/>
  <c r="C9" i="56"/>
  <c r="B9" i="56"/>
  <c r="B5" i="56"/>
  <c r="C21" i="55"/>
  <c r="C20" i="55"/>
  <c r="C19" i="55"/>
  <c r="C18" i="55"/>
  <c r="C17" i="55"/>
  <c r="C16" i="55"/>
  <c r="C15" i="55"/>
  <c r="C14" i="55"/>
  <c r="C13" i="55"/>
  <c r="C12" i="55"/>
  <c r="B5" i="55"/>
  <c r="B3" i="55"/>
  <c r="C38" i="54"/>
  <c r="G37" i="54"/>
  <c r="F37" i="54"/>
  <c r="G28" i="54"/>
  <c r="F28" i="54"/>
  <c r="E28" i="54"/>
  <c r="D28" i="54"/>
  <c r="C28" i="54"/>
  <c r="B28" i="54"/>
  <c r="G27" i="54"/>
  <c r="F27" i="54"/>
  <c r="E27" i="54"/>
  <c r="D27" i="54"/>
  <c r="C27" i="54"/>
  <c r="B27" i="54"/>
  <c r="G26" i="54"/>
  <c r="F26" i="54"/>
  <c r="E26" i="54"/>
  <c r="D26" i="54"/>
  <c r="C26" i="54"/>
  <c r="B26" i="54"/>
  <c r="G25" i="54"/>
  <c r="F25" i="54"/>
  <c r="E25" i="54"/>
  <c r="D25" i="54"/>
  <c r="C25" i="54"/>
  <c r="B25" i="54"/>
  <c r="G24" i="54"/>
  <c r="F24" i="54"/>
  <c r="E24" i="54"/>
  <c r="D24" i="54"/>
  <c r="C24" i="54"/>
  <c r="B24" i="54"/>
  <c r="G23" i="54"/>
  <c r="F23" i="54"/>
  <c r="E23" i="54"/>
  <c r="D23" i="54"/>
  <c r="C23" i="54"/>
  <c r="B23" i="54"/>
  <c r="G22" i="54"/>
  <c r="F22" i="54"/>
  <c r="E22" i="54"/>
  <c r="D22" i="54"/>
  <c r="C22" i="54"/>
  <c r="B22" i="54"/>
  <c r="G21" i="54"/>
  <c r="F21" i="54"/>
  <c r="E21" i="54"/>
  <c r="D21" i="54"/>
  <c r="C21" i="54"/>
  <c r="B21" i="54"/>
  <c r="G20" i="54"/>
  <c r="F20" i="54"/>
  <c r="E20" i="54"/>
  <c r="D20" i="54"/>
  <c r="C20" i="54"/>
  <c r="B20" i="54"/>
  <c r="G19" i="54"/>
  <c r="F19" i="54"/>
  <c r="E19" i="54"/>
  <c r="D19" i="54"/>
  <c r="C19" i="54"/>
  <c r="B19" i="54"/>
  <c r="B13" i="54"/>
  <c r="B11" i="54"/>
  <c r="C9" i="54"/>
  <c r="F5" i="54"/>
  <c r="C5" i="54"/>
  <c r="B3" i="54"/>
  <c r="C34" i="53"/>
  <c r="H33" i="53"/>
  <c r="F33" i="53"/>
  <c r="H28" i="53"/>
  <c r="G28" i="53"/>
  <c r="F28" i="53"/>
  <c r="E28" i="53"/>
  <c r="D28" i="53"/>
  <c r="C28" i="53"/>
  <c r="B28" i="53"/>
  <c r="H27" i="53"/>
  <c r="G27" i="53"/>
  <c r="F27" i="53"/>
  <c r="E27" i="53"/>
  <c r="D27" i="53"/>
  <c r="C27" i="53"/>
  <c r="B27" i="53"/>
  <c r="H26" i="53"/>
  <c r="G26" i="53"/>
  <c r="F26" i="53"/>
  <c r="E26" i="53"/>
  <c r="D26" i="53"/>
  <c r="C26" i="53"/>
  <c r="B26" i="53"/>
  <c r="H25" i="53"/>
  <c r="G25" i="53"/>
  <c r="F25" i="53"/>
  <c r="E25" i="53"/>
  <c r="D25" i="53"/>
  <c r="C25" i="53"/>
  <c r="B25" i="53"/>
  <c r="H24" i="53"/>
  <c r="G24" i="53"/>
  <c r="F24" i="53"/>
  <c r="E24" i="53"/>
  <c r="D24" i="53"/>
  <c r="C24" i="53"/>
  <c r="B24" i="53"/>
  <c r="H23" i="53"/>
  <c r="G23" i="53"/>
  <c r="F23" i="53"/>
  <c r="E23" i="53"/>
  <c r="D23" i="53"/>
  <c r="C23" i="53"/>
  <c r="B23" i="53"/>
  <c r="H22" i="53"/>
  <c r="G22" i="53"/>
  <c r="F22" i="53"/>
  <c r="E22" i="53"/>
  <c r="D22" i="53"/>
  <c r="C22" i="53"/>
  <c r="B22" i="53"/>
  <c r="H21" i="53"/>
  <c r="G21" i="53"/>
  <c r="F21" i="53"/>
  <c r="E21" i="53"/>
  <c r="D21" i="53"/>
  <c r="C21" i="53"/>
  <c r="B21" i="53"/>
  <c r="H20" i="53"/>
  <c r="G20" i="53"/>
  <c r="F20" i="53"/>
  <c r="E20" i="53"/>
  <c r="D20" i="53"/>
  <c r="C20" i="53"/>
  <c r="B20" i="53"/>
  <c r="H19" i="53"/>
  <c r="G19" i="53"/>
  <c r="F19" i="53"/>
  <c r="E19" i="53"/>
  <c r="D19" i="53"/>
  <c r="C19" i="53"/>
  <c r="B19" i="53"/>
  <c r="B13" i="53"/>
  <c r="B11" i="53"/>
  <c r="C9" i="53"/>
  <c r="F5" i="53"/>
  <c r="C5" i="53"/>
  <c r="B3" i="53"/>
  <c r="C36" i="52"/>
  <c r="H35" i="52"/>
  <c r="F35" i="52"/>
  <c r="D30" i="52"/>
  <c r="C30" i="52"/>
  <c r="B30" i="52"/>
  <c r="D29" i="52"/>
  <c r="C29" i="52"/>
  <c r="B29" i="52"/>
  <c r="D28" i="52"/>
  <c r="C28" i="52"/>
  <c r="B28" i="52"/>
  <c r="D27" i="52"/>
  <c r="C27" i="52"/>
  <c r="B27" i="52"/>
  <c r="D26" i="52"/>
  <c r="C26" i="52"/>
  <c r="B26" i="52"/>
  <c r="D25" i="52"/>
  <c r="C25" i="52"/>
  <c r="B25" i="52"/>
  <c r="D24" i="52"/>
  <c r="C24" i="52"/>
  <c r="B24" i="52"/>
  <c r="D23" i="52"/>
  <c r="C23" i="52"/>
  <c r="B23" i="52"/>
  <c r="D22" i="52"/>
  <c r="C22" i="52"/>
  <c r="B22" i="52"/>
  <c r="D21" i="52"/>
  <c r="C21" i="52"/>
  <c r="B21" i="52"/>
  <c r="C18" i="52"/>
  <c r="B13" i="52"/>
  <c r="B11" i="52"/>
  <c r="C9" i="52"/>
  <c r="F5" i="52"/>
  <c r="C5" i="52"/>
  <c r="B3" i="52"/>
  <c r="F17" i="51"/>
  <c r="E17" i="51"/>
  <c r="D17" i="51"/>
  <c r="C17" i="51"/>
  <c r="F16" i="51"/>
  <c r="E16" i="51"/>
  <c r="D16" i="51"/>
  <c r="C16" i="51"/>
  <c r="F15" i="51"/>
  <c r="E15" i="51"/>
  <c r="D15" i="51"/>
  <c r="C15" i="51"/>
  <c r="F14" i="51"/>
  <c r="E14" i="51"/>
  <c r="D14" i="51"/>
  <c r="C14" i="51"/>
  <c r="F13" i="51"/>
  <c r="E13" i="51"/>
  <c r="D13" i="51"/>
  <c r="C13" i="51"/>
  <c r="F12" i="51"/>
  <c r="E12" i="51"/>
  <c r="D12" i="51"/>
  <c r="C12" i="51"/>
  <c r="F11" i="51"/>
  <c r="E11" i="51"/>
  <c r="D11" i="51"/>
  <c r="C11" i="51"/>
  <c r="F10" i="51"/>
  <c r="E10" i="51"/>
  <c r="D10" i="51"/>
  <c r="C10" i="51"/>
  <c r="F9" i="51"/>
  <c r="E9" i="51"/>
  <c r="D9" i="51"/>
  <c r="C9" i="51"/>
  <c r="F8" i="51"/>
  <c r="E8" i="51"/>
  <c r="D8" i="51"/>
  <c r="C8" i="51"/>
  <c r="B4" i="51"/>
  <c r="B3" i="51"/>
  <c r="C34" i="50"/>
  <c r="H33" i="50"/>
  <c r="F33" i="50"/>
  <c r="B30" i="50"/>
  <c r="E28" i="50"/>
  <c r="D28" i="50"/>
  <c r="B28" i="50"/>
  <c r="E27" i="50"/>
  <c r="D27" i="50"/>
  <c r="B27" i="50"/>
  <c r="E26" i="50"/>
  <c r="D26" i="50"/>
  <c r="B26" i="50"/>
  <c r="E25" i="50"/>
  <c r="D25" i="50"/>
  <c r="B25" i="50"/>
  <c r="E24" i="50"/>
  <c r="D24" i="50"/>
  <c r="B24" i="50"/>
  <c r="E23" i="50"/>
  <c r="D23" i="50"/>
  <c r="B23" i="50"/>
  <c r="E22" i="50"/>
  <c r="D22" i="50"/>
  <c r="B22" i="50"/>
  <c r="E21" i="50"/>
  <c r="D21" i="50"/>
  <c r="B21" i="50"/>
  <c r="E20" i="50"/>
  <c r="D20" i="50"/>
  <c r="B20" i="50"/>
  <c r="E19" i="50"/>
  <c r="D19" i="50"/>
  <c r="B19" i="50"/>
  <c r="B13" i="50"/>
  <c r="B11" i="50"/>
  <c r="C9" i="50"/>
  <c r="F5" i="50"/>
  <c r="C5" i="50"/>
  <c r="B3" i="50"/>
  <c r="B27" i="49"/>
  <c r="E18" i="49"/>
  <c r="D18" i="49"/>
  <c r="C18" i="49"/>
  <c r="E17" i="49"/>
  <c r="D17" i="49"/>
  <c r="B17" i="49"/>
  <c r="E16" i="49"/>
  <c r="D16" i="49"/>
  <c r="B16" i="49"/>
  <c r="E15" i="49"/>
  <c r="D15" i="49"/>
  <c r="B15" i="49"/>
  <c r="E14" i="49"/>
  <c r="D14" i="49"/>
  <c r="B14" i="49"/>
  <c r="E13" i="49"/>
  <c r="D13" i="49"/>
  <c r="B13" i="49"/>
  <c r="E12" i="49"/>
  <c r="D12" i="49"/>
  <c r="B12" i="49"/>
  <c r="B7" i="49"/>
  <c r="B5" i="49"/>
  <c r="B19" i="48"/>
  <c r="B25" i="47"/>
  <c r="B19" i="47"/>
  <c r="B6" i="47"/>
  <c r="B24" i="46"/>
  <c r="B12" i="46"/>
  <c r="B10" i="45"/>
  <c r="B9" i="45"/>
  <c r="B3" i="45"/>
  <c r="C23" i="44"/>
  <c r="H22" i="44"/>
  <c r="F22" i="44"/>
  <c r="C16" i="44"/>
  <c r="C15" i="44"/>
  <c r="C9" i="44"/>
  <c r="F5" i="44"/>
  <c r="C5" i="44"/>
  <c r="G2" i="44"/>
  <c r="B27" i="43"/>
  <c r="B26" i="43"/>
  <c r="B17" i="43"/>
  <c r="B14" i="43"/>
  <c r="B6" i="43"/>
  <c r="B3" i="43"/>
  <c r="B45" i="42"/>
  <c r="B28" i="42"/>
  <c r="B24" i="42"/>
  <c r="B23" i="42"/>
  <c r="B17" i="42"/>
  <c r="B11" i="42"/>
  <c r="B6" i="42"/>
  <c r="B3" i="42"/>
  <c r="C23" i="41"/>
  <c r="H22" i="41"/>
  <c r="F22" i="41"/>
  <c r="C16" i="41"/>
  <c r="C15" i="41"/>
  <c r="C9" i="41"/>
  <c r="F5" i="41"/>
  <c r="C5" i="41"/>
  <c r="G2" i="41"/>
  <c r="B22" i="40"/>
  <c r="B21" i="40"/>
  <c r="B8" i="40"/>
  <c r="B3" i="40"/>
  <c r="C23" i="39"/>
  <c r="H22" i="39"/>
  <c r="F22" i="39"/>
  <c r="C16" i="39"/>
  <c r="C15" i="39"/>
  <c r="C9" i="39"/>
  <c r="F5" i="39"/>
  <c r="C5" i="39"/>
  <c r="G2" i="39"/>
  <c r="C35" i="38"/>
  <c r="H34" i="38"/>
  <c r="F34" i="38"/>
  <c r="B25" i="38"/>
  <c r="E22" i="38"/>
  <c r="D22" i="38"/>
  <c r="B22" i="38"/>
  <c r="C17" i="38"/>
  <c r="C15" i="38"/>
  <c r="B13" i="38"/>
  <c r="C11" i="38"/>
  <c r="C9" i="38"/>
  <c r="F5" i="38"/>
  <c r="C5" i="38"/>
  <c r="C27" i="37"/>
  <c r="H26" i="37"/>
  <c r="F26" i="37"/>
  <c r="E17" i="37"/>
  <c r="C17" i="37"/>
  <c r="B17" i="37"/>
  <c r="B13" i="37"/>
  <c r="C9" i="37"/>
  <c r="C7" i="37"/>
  <c r="F5" i="37"/>
  <c r="C5" i="37"/>
  <c r="C27" i="36"/>
  <c r="H26" i="36"/>
  <c r="F26" i="36"/>
  <c r="D21" i="36"/>
  <c r="C21" i="36"/>
  <c r="C16" i="36"/>
  <c r="C15" i="36"/>
  <c r="B13" i="36"/>
  <c r="C11" i="36"/>
  <c r="C9" i="36"/>
  <c r="F5" i="36"/>
  <c r="C5" i="36"/>
  <c r="B29" i="35"/>
  <c r="B28" i="35"/>
  <c r="B27" i="35"/>
  <c r="B26" i="35"/>
  <c r="B25" i="35"/>
  <c r="B24" i="35"/>
  <c r="B13" i="35"/>
  <c r="B12" i="35"/>
  <c r="B11" i="35"/>
  <c r="B10" i="35"/>
  <c r="B9" i="35"/>
  <c r="B8" i="35"/>
  <c r="B3" i="35"/>
  <c r="B19" i="34"/>
  <c r="B11" i="34"/>
  <c r="B6" i="34"/>
  <c r="B3" i="34"/>
  <c r="B71" i="33"/>
  <c r="B68" i="33"/>
  <c r="B66" i="33"/>
  <c r="B35" i="33"/>
  <c r="C19" i="33"/>
  <c r="C18" i="33"/>
  <c r="C17" i="33"/>
  <c r="C15" i="33"/>
  <c r="C14" i="33"/>
  <c r="C13" i="33"/>
  <c r="B9" i="33"/>
  <c r="B7" i="33"/>
  <c r="B5" i="33"/>
  <c r="B3" i="33"/>
  <c r="C29" i="32"/>
  <c r="H28" i="32"/>
  <c r="F28" i="32"/>
  <c r="B25" i="32"/>
  <c r="C23" i="32"/>
  <c r="C22" i="32"/>
  <c r="C21" i="32"/>
  <c r="C19" i="32"/>
  <c r="C18" i="32"/>
  <c r="C17" i="32"/>
  <c r="B14" i="32"/>
  <c r="C9" i="32"/>
  <c r="F5" i="32"/>
  <c r="C5" i="32"/>
  <c r="B3" i="32"/>
  <c r="C28" i="31"/>
  <c r="H27" i="31"/>
  <c r="F27" i="31"/>
  <c r="C21" i="31"/>
  <c r="C20" i="31"/>
  <c r="C19" i="31"/>
  <c r="C17" i="31"/>
  <c r="B14" i="31"/>
  <c r="C9" i="31"/>
  <c r="F5" i="31"/>
  <c r="C5" i="31"/>
  <c r="B38" i="30"/>
  <c r="E35" i="30"/>
  <c r="D35" i="30"/>
  <c r="C35" i="30"/>
  <c r="B35" i="30"/>
  <c r="E34" i="30"/>
  <c r="D34" i="30"/>
  <c r="C34" i="30"/>
  <c r="B34" i="30"/>
  <c r="E33" i="30"/>
  <c r="D33" i="30"/>
  <c r="C33" i="30"/>
  <c r="B33" i="30"/>
  <c r="E32" i="30"/>
  <c r="D32" i="30"/>
  <c r="C32" i="30"/>
  <c r="B32" i="30"/>
  <c r="E31" i="30"/>
  <c r="D31" i="30"/>
  <c r="C31" i="30"/>
  <c r="B31" i="30"/>
  <c r="E30" i="30"/>
  <c r="D30" i="30"/>
  <c r="C30" i="30"/>
  <c r="B30" i="30"/>
  <c r="E29" i="30"/>
  <c r="D29" i="30"/>
  <c r="C29" i="30"/>
  <c r="B29" i="30"/>
  <c r="E28" i="30"/>
  <c r="D28" i="30"/>
  <c r="C28" i="30"/>
  <c r="B28" i="30"/>
  <c r="E27" i="30"/>
  <c r="D27" i="30"/>
  <c r="C27" i="30"/>
  <c r="B27" i="30"/>
  <c r="E26" i="30"/>
  <c r="D26" i="30"/>
  <c r="C26" i="30"/>
  <c r="B26" i="30"/>
  <c r="B22" i="30"/>
  <c r="B13" i="30"/>
  <c r="B3" i="30"/>
  <c r="B87" i="29"/>
  <c r="B58" i="29"/>
  <c r="E52" i="29"/>
  <c r="D52" i="29"/>
  <c r="C52" i="29"/>
  <c r="B52" i="29"/>
  <c r="E51" i="29"/>
  <c r="D51" i="29"/>
  <c r="C51" i="29"/>
  <c r="B51" i="29"/>
  <c r="E50" i="29"/>
  <c r="D50" i="29"/>
  <c r="C50" i="29"/>
  <c r="B50" i="29"/>
  <c r="E49" i="29"/>
  <c r="D49" i="29"/>
  <c r="C49" i="29"/>
  <c r="B49" i="29"/>
  <c r="E48" i="29"/>
  <c r="D48" i="29"/>
  <c r="C48" i="29"/>
  <c r="B48" i="29"/>
  <c r="E47" i="29"/>
  <c r="D47" i="29"/>
  <c r="C47" i="29"/>
  <c r="B47" i="29"/>
  <c r="E46" i="29"/>
  <c r="D46" i="29"/>
  <c r="C46" i="29"/>
  <c r="B46" i="29"/>
  <c r="E45" i="29"/>
  <c r="D45" i="29"/>
  <c r="C45" i="29"/>
  <c r="B45" i="29"/>
  <c r="E44" i="29"/>
  <c r="D44" i="29"/>
  <c r="C44" i="29"/>
  <c r="B44" i="29"/>
  <c r="E43" i="29"/>
  <c r="D43" i="29"/>
  <c r="C43" i="29"/>
  <c r="B43" i="29"/>
  <c r="B34" i="29"/>
  <c r="B19" i="29"/>
  <c r="B13" i="29"/>
  <c r="B6" i="29"/>
  <c r="B5" i="29"/>
  <c r="B2" i="29"/>
  <c r="B1" i="29"/>
  <c r="C18" i="28"/>
  <c r="H17" i="28"/>
  <c r="F17" i="28"/>
  <c r="B15" i="28"/>
  <c r="B13" i="28"/>
  <c r="C11" i="28"/>
  <c r="C9" i="28"/>
  <c r="F5" i="28"/>
  <c r="C5" i="28"/>
  <c r="B20" i="27"/>
  <c r="B17" i="27"/>
  <c r="B14" i="27"/>
  <c r="B11" i="27"/>
  <c r="B10" i="27"/>
  <c r="B9" i="27"/>
  <c r="B8" i="27"/>
  <c r="B6" i="27"/>
  <c r="B21" i="26"/>
  <c r="B12" i="26"/>
  <c r="B7" i="26"/>
  <c r="B6" i="26"/>
  <c r="C41" i="25"/>
  <c r="H40" i="25"/>
  <c r="F40" i="25"/>
  <c r="E35" i="25"/>
  <c r="D35" i="25"/>
  <c r="C35" i="25"/>
  <c r="B35" i="25"/>
  <c r="E34" i="25"/>
  <c r="D34" i="25"/>
  <c r="C34" i="25"/>
  <c r="B34" i="25"/>
  <c r="E33" i="25"/>
  <c r="D33" i="25"/>
  <c r="C33" i="25"/>
  <c r="B33" i="25"/>
  <c r="E32" i="25"/>
  <c r="D32" i="25"/>
  <c r="C32" i="25"/>
  <c r="B32" i="25"/>
  <c r="E31" i="25"/>
  <c r="D31" i="25"/>
  <c r="C31" i="25"/>
  <c r="B31" i="25"/>
  <c r="E30" i="25"/>
  <c r="D30" i="25"/>
  <c r="C30" i="25"/>
  <c r="B30" i="25"/>
  <c r="E29" i="25"/>
  <c r="D29" i="25"/>
  <c r="C29" i="25"/>
  <c r="B29" i="25"/>
  <c r="E28" i="25"/>
  <c r="D28" i="25"/>
  <c r="C28" i="25"/>
  <c r="B28" i="25"/>
  <c r="E27" i="25"/>
  <c r="D27" i="25"/>
  <c r="C27" i="25"/>
  <c r="B27" i="25"/>
  <c r="E26" i="25"/>
  <c r="D26" i="25"/>
  <c r="C26" i="25"/>
  <c r="B26" i="25"/>
  <c r="B13" i="25"/>
  <c r="C11" i="25"/>
  <c r="C9" i="25"/>
  <c r="F5" i="25"/>
  <c r="C5" i="25"/>
  <c r="B31" i="24"/>
  <c r="B29" i="24"/>
  <c r="B21" i="23"/>
  <c r="B19" i="23"/>
  <c r="B5" i="23"/>
  <c r="B25" i="22"/>
  <c r="B23" i="22"/>
  <c r="B5" i="22"/>
  <c r="B31" i="21"/>
  <c r="B29" i="21"/>
  <c r="C12" i="21"/>
  <c r="C9" i="21"/>
  <c r="C8" i="21"/>
  <c r="B3" i="21"/>
  <c r="B20" i="20"/>
  <c r="B18" i="20"/>
  <c r="B11" i="20"/>
  <c r="C7" i="20"/>
  <c r="B25" i="19"/>
  <c r="B24" i="19"/>
  <c r="B23" i="19"/>
  <c r="B20" i="19"/>
  <c r="F11" i="19"/>
  <c r="F10" i="19"/>
  <c r="F8" i="19"/>
  <c r="F6" i="19"/>
  <c r="B25" i="18"/>
  <c r="F21" i="18"/>
  <c r="F19" i="18"/>
  <c r="F15" i="18"/>
  <c r="F12" i="18"/>
  <c r="F8" i="18"/>
  <c r="C5" i="18"/>
  <c r="D8" i="17"/>
  <c r="C8" i="17"/>
  <c r="B8" i="17"/>
  <c r="B3" i="17"/>
  <c r="B16" i="16"/>
  <c r="F14" i="16"/>
  <c r="F13" i="16"/>
  <c r="F12" i="16"/>
  <c r="F11" i="16"/>
  <c r="F10" i="16"/>
  <c r="F9" i="16"/>
  <c r="B6" i="16"/>
  <c r="E5" i="16"/>
  <c r="C5" i="16"/>
  <c r="B24" i="15"/>
  <c r="F22" i="15"/>
  <c r="F20" i="15"/>
  <c r="F16" i="15"/>
  <c r="F13" i="15"/>
  <c r="F9" i="15"/>
  <c r="G5" i="15"/>
  <c r="E5" i="15"/>
  <c r="C5" i="15"/>
  <c r="F20" i="14"/>
  <c r="E20" i="14"/>
  <c r="G19" i="14"/>
  <c r="F19" i="14"/>
  <c r="E19" i="14"/>
  <c r="C19" i="14"/>
  <c r="B19" i="14"/>
  <c r="G18" i="14"/>
  <c r="F18" i="14"/>
  <c r="E18" i="14"/>
  <c r="C18" i="14"/>
  <c r="B18" i="14"/>
  <c r="G17" i="14"/>
  <c r="F17" i="14"/>
  <c r="E17" i="14"/>
  <c r="C17" i="14"/>
  <c r="B17" i="14"/>
  <c r="G16" i="14"/>
  <c r="F16" i="14"/>
  <c r="E16" i="14"/>
  <c r="C16" i="14"/>
  <c r="B16" i="14"/>
  <c r="G15" i="14"/>
  <c r="F15" i="14"/>
  <c r="E15" i="14"/>
  <c r="C15" i="14"/>
  <c r="B15" i="14"/>
  <c r="G14" i="14"/>
  <c r="F14" i="14"/>
  <c r="E14" i="14"/>
  <c r="C14" i="14"/>
  <c r="B14" i="14"/>
  <c r="G13" i="14"/>
  <c r="F13" i="14"/>
  <c r="E13" i="14"/>
  <c r="C13" i="14"/>
  <c r="B13" i="14"/>
  <c r="G12" i="14"/>
  <c r="F12" i="14"/>
  <c r="E12" i="14"/>
  <c r="C12" i="14"/>
  <c r="B12" i="14"/>
  <c r="G11" i="14"/>
  <c r="F11" i="14"/>
  <c r="E11" i="14"/>
  <c r="C11" i="14"/>
  <c r="B11" i="14"/>
  <c r="G10" i="14"/>
  <c r="F10" i="14"/>
  <c r="E10" i="14"/>
  <c r="C10" i="14"/>
  <c r="B10" i="14"/>
  <c r="B6" i="14"/>
  <c r="G5" i="14"/>
  <c r="E5" i="14"/>
  <c r="C5" i="14"/>
  <c r="B19" i="13"/>
  <c r="E15" i="13"/>
  <c r="D15" i="13"/>
  <c r="E14" i="13"/>
  <c r="D14" i="13"/>
  <c r="C14" i="13"/>
  <c r="E13" i="13"/>
  <c r="D13" i="13"/>
  <c r="C13" i="13"/>
  <c r="E12" i="13"/>
  <c r="D12" i="13"/>
  <c r="C12" i="13"/>
  <c r="E11" i="13"/>
  <c r="D11" i="13"/>
  <c r="C11" i="13"/>
  <c r="E10" i="13"/>
  <c r="D10" i="13"/>
  <c r="C10" i="13"/>
  <c r="E9" i="13"/>
  <c r="D9" i="13"/>
  <c r="C9" i="13"/>
  <c r="G6" i="13"/>
  <c r="E6" i="13"/>
  <c r="C6" i="13"/>
  <c r="C24" i="12"/>
  <c r="H23" i="12"/>
  <c r="F23" i="12"/>
  <c r="C20" i="12"/>
  <c r="C18" i="12"/>
  <c r="C16" i="12"/>
  <c r="C15" i="12"/>
  <c r="B13" i="12"/>
  <c r="C11" i="12"/>
  <c r="C9" i="12"/>
  <c r="C7" i="12"/>
  <c r="F5" i="12"/>
  <c r="C5" i="12"/>
  <c r="V56" i="2"/>
  <c r="U56" i="2"/>
  <c r="V55" i="2"/>
  <c r="U55" i="2"/>
  <c r="V54" i="2"/>
  <c r="U54" i="2"/>
  <c r="V53" i="2"/>
  <c r="U53" i="2"/>
  <c r="V52" i="2"/>
  <c r="U52" i="2"/>
  <c r="V51" i="2"/>
  <c r="U51" i="2"/>
  <c r="V50" i="2"/>
  <c r="U50" i="2"/>
  <c r="V49" i="2"/>
  <c r="U49" i="2"/>
  <c r="V48" i="2"/>
  <c r="U48" i="2"/>
  <c r="V47" i="2"/>
  <c r="U47" i="2"/>
  <c r="V46" i="2"/>
  <c r="U46" i="2"/>
  <c r="V45" i="2"/>
  <c r="U45" i="2"/>
  <c r="V44" i="2"/>
  <c r="U44" i="2"/>
  <c r="V43" i="2"/>
  <c r="U43" i="2"/>
  <c r="V42" i="2"/>
  <c r="U42" i="2"/>
  <c r="V41" i="2"/>
  <c r="U41" i="2"/>
  <c r="V40" i="2"/>
  <c r="U40" i="2"/>
  <c r="V39" i="2"/>
  <c r="U39" i="2"/>
  <c r="V38" i="2"/>
  <c r="U38" i="2"/>
  <c r="V37" i="2"/>
  <c r="U37" i="2"/>
  <c r="V36" i="2"/>
  <c r="U36" i="2"/>
  <c r="V35" i="2"/>
  <c r="U35" i="2"/>
  <c r="V34" i="2"/>
  <c r="U34" i="2"/>
  <c r="V33" i="2"/>
  <c r="U33" i="2"/>
  <c r="V32" i="2"/>
  <c r="U32" i="2"/>
  <c r="V31" i="2"/>
  <c r="U31" i="2"/>
  <c r="V30" i="2"/>
  <c r="U30" i="2"/>
  <c r="V29" i="2"/>
  <c r="U29" i="2"/>
  <c r="V28" i="2"/>
  <c r="U28" i="2"/>
  <c r="V27" i="2"/>
  <c r="U27" i="2"/>
  <c r="V26" i="2"/>
  <c r="U26" i="2"/>
  <c r="V25" i="2"/>
  <c r="U25" i="2"/>
  <c r="V24" i="2"/>
  <c r="U24" i="2"/>
  <c r="V23" i="2"/>
  <c r="U23" i="2"/>
  <c r="V22" i="2"/>
  <c r="U22" i="2"/>
  <c r="V21" i="2"/>
  <c r="U21" i="2"/>
  <c r="V20" i="2"/>
  <c r="U20" i="2"/>
  <c r="V19" i="2"/>
  <c r="U19" i="2"/>
  <c r="V18" i="2"/>
  <c r="U18" i="2"/>
  <c r="V17" i="2"/>
  <c r="U17" i="2"/>
  <c r="V16" i="2"/>
  <c r="U16" i="2"/>
  <c r="V15" i="2"/>
  <c r="U15" i="2"/>
  <c r="V14" i="2"/>
  <c r="U14" i="2"/>
  <c r="V13" i="2"/>
  <c r="U13" i="2"/>
  <c r="V12" i="2"/>
  <c r="U12" i="2"/>
  <c r="V11" i="2"/>
  <c r="U11" i="2"/>
  <c r="V10" i="2"/>
  <c r="U10" i="2"/>
  <c r="V9" i="2"/>
  <c r="U9" i="2"/>
  <c r="V8" i="2"/>
  <c r="U8" i="2"/>
  <c r="V7" i="2"/>
  <c r="U7" i="2"/>
  <c r="V6" i="2"/>
  <c r="U6" i="2"/>
  <c r="V5" i="2"/>
  <c r="U5" i="2"/>
  <c r="U2" i="3"/>
  <c r="U3" i="3"/>
  <c r="U4" i="3"/>
  <c r="U5" i="3"/>
  <c r="U6" i="3"/>
  <c r="U7" i="3"/>
  <c r="U8" i="3"/>
  <c r="U9" i="3"/>
  <c r="U10" i="3"/>
  <c r="U11" i="3"/>
  <c r="U12" i="3"/>
  <c r="U13" i="3"/>
  <c r="U14" i="3"/>
  <c r="U15" i="3"/>
  <c r="U16" i="3"/>
  <c r="U17" i="3"/>
  <c r="U18" i="3"/>
  <c r="U19" i="3"/>
  <c r="U20" i="3"/>
  <c r="U21" i="3"/>
  <c r="U22" i="3"/>
  <c r="U23" i="3"/>
  <c r="U24" i="3"/>
  <c r="U25" i="3"/>
  <c r="U26" i="3"/>
  <c r="U27" i="3"/>
  <c r="U28" i="3"/>
  <c r="U29" i="3"/>
  <c r="U30" i="3"/>
  <c r="U31" i="3"/>
  <c r="U32" i="3"/>
  <c r="U33" i="3"/>
  <c r="U34" i="3"/>
  <c r="U35" i="3"/>
  <c r="U36" i="3"/>
  <c r="U37" i="3"/>
  <c r="U38" i="3"/>
  <c r="U39" i="3"/>
  <c r="U40" i="3"/>
  <c r="U41" i="3"/>
  <c r="U42" i="3"/>
  <c r="U43" i="3"/>
  <c r="U44" i="3"/>
  <c r="U45" i="3"/>
  <c r="U46" i="3"/>
  <c r="U47" i="3"/>
  <c r="U48" i="3"/>
  <c r="U49" i="3"/>
  <c r="U50" i="3"/>
  <c r="U51" i="3"/>
  <c r="U52" i="3"/>
  <c r="U53" i="3"/>
  <c r="U54" i="3"/>
  <c r="U55" i="3"/>
  <c r="U56" i="3"/>
  <c r="U57" i="3"/>
  <c r="U58" i="3"/>
  <c r="U59" i="3"/>
  <c r="U60" i="3"/>
  <c r="U61" i="3"/>
  <c r="U62" i="3"/>
  <c r="U63" i="3"/>
  <c r="U64" i="3"/>
  <c r="U65" i="3"/>
  <c r="U66" i="3"/>
  <c r="U67" i="3"/>
  <c r="U68" i="3"/>
  <c r="U69" i="3"/>
  <c r="U70" i="3"/>
  <c r="U71" i="3"/>
  <c r="U72" i="3"/>
  <c r="U73" i="3"/>
  <c r="U74" i="3"/>
  <c r="U75" i="3"/>
  <c r="U76" i="3"/>
  <c r="U77" i="3"/>
  <c r="U78" i="3"/>
  <c r="U79" i="3"/>
  <c r="U80" i="3"/>
  <c r="U81" i="3"/>
  <c r="U82" i="3"/>
  <c r="U83" i="3"/>
  <c r="U84" i="3"/>
  <c r="U85" i="3"/>
  <c r="U86" i="3"/>
  <c r="U87" i="3"/>
  <c r="U88" i="3"/>
  <c r="U89" i="3"/>
  <c r="U90" i="3"/>
  <c r="U91" i="3"/>
  <c r="U92" i="3"/>
  <c r="U93" i="3"/>
  <c r="U94" i="3"/>
  <c r="U95" i="3"/>
  <c r="U96" i="3"/>
  <c r="U97" i="3"/>
  <c r="U98" i="3"/>
  <c r="U99" i="3"/>
  <c r="U100" i="3"/>
  <c r="U101" i="3"/>
  <c r="U102" i="3"/>
  <c r="U103" i="3"/>
  <c r="U104" i="3"/>
  <c r="U105" i="3"/>
  <c r="U106" i="3"/>
  <c r="U107" i="3"/>
  <c r="U108" i="3"/>
  <c r="U109" i="3"/>
  <c r="U110" i="3"/>
  <c r="U111" i="3"/>
  <c r="U112" i="3"/>
  <c r="U113" i="3"/>
  <c r="U114" i="3"/>
  <c r="U115" i="3"/>
  <c r="U116" i="3"/>
  <c r="U117" i="3"/>
  <c r="U118" i="3"/>
  <c r="U119" i="3"/>
  <c r="U120" i="3"/>
  <c r="U121" i="3"/>
  <c r="U122" i="3"/>
  <c r="U123" i="3"/>
  <c r="U124" i="3"/>
  <c r="U125" i="3"/>
  <c r="U126" i="3"/>
  <c r="U127" i="3"/>
  <c r="U128" i="3"/>
  <c r="U129" i="3"/>
  <c r="U130" i="3"/>
  <c r="U131" i="3"/>
  <c r="U132" i="3"/>
  <c r="U133" i="3"/>
  <c r="U134" i="3"/>
  <c r="U135" i="3"/>
  <c r="U136" i="3"/>
  <c r="U137" i="3"/>
  <c r="U138" i="3"/>
  <c r="U139" i="3"/>
  <c r="U140" i="3"/>
  <c r="U141" i="3"/>
  <c r="U142" i="3"/>
  <c r="U143" i="3"/>
  <c r="U144" i="3"/>
  <c r="U145" i="3"/>
  <c r="U146" i="3"/>
  <c r="U147" i="3"/>
  <c r="U148" i="3"/>
  <c r="U149" i="3"/>
  <c r="U150" i="3"/>
  <c r="U151" i="3"/>
  <c r="U152" i="3"/>
  <c r="U153" i="3"/>
  <c r="U154" i="3"/>
  <c r="U155" i="3"/>
  <c r="U156" i="3"/>
  <c r="U157" i="3"/>
  <c r="U158" i="3"/>
  <c r="U159" i="3"/>
  <c r="U160" i="3"/>
  <c r="U161" i="3"/>
  <c r="U162" i="3"/>
  <c r="U163" i="3"/>
  <c r="U164" i="3"/>
  <c r="U165" i="3"/>
  <c r="U166" i="3"/>
  <c r="U167" i="3"/>
  <c r="U168" i="3"/>
  <c r="U169" i="3"/>
  <c r="U170" i="3"/>
  <c r="U171" i="3"/>
  <c r="U172" i="3"/>
  <c r="U173" i="3"/>
  <c r="U174" i="3"/>
  <c r="U175" i="3"/>
  <c r="U176" i="3"/>
  <c r="U177" i="3"/>
  <c r="U178" i="3"/>
  <c r="U179" i="3"/>
  <c r="U180" i="3"/>
  <c r="U181" i="3"/>
  <c r="U182" i="3"/>
  <c r="U183" i="3"/>
  <c r="U184" i="3"/>
  <c r="U185" i="3"/>
  <c r="U186" i="3"/>
  <c r="U187" i="3"/>
  <c r="U188" i="3"/>
  <c r="U189" i="3"/>
  <c r="U190" i="3"/>
  <c r="U191" i="3"/>
  <c r="U192" i="3"/>
  <c r="U193" i="3"/>
  <c r="U194" i="3"/>
  <c r="U195" i="3"/>
  <c r="U196" i="3"/>
  <c r="U197" i="3"/>
  <c r="U198" i="3"/>
  <c r="U199" i="3"/>
  <c r="U200" i="3"/>
  <c r="U201" i="3"/>
  <c r="U202" i="3"/>
  <c r="U203" i="3"/>
  <c r="U204" i="3"/>
  <c r="U205" i="3"/>
  <c r="U206" i="3"/>
  <c r="U207" i="3"/>
  <c r="U208" i="3"/>
  <c r="U209" i="3"/>
  <c r="U210" i="3"/>
  <c r="U211" i="3"/>
  <c r="U212" i="3"/>
  <c r="U213" i="3"/>
  <c r="U214" i="3"/>
  <c r="U215" i="3"/>
  <c r="U216" i="3"/>
  <c r="U217" i="3"/>
  <c r="U218" i="3"/>
  <c r="U219" i="3"/>
  <c r="U220" i="3"/>
  <c r="U221" i="3"/>
  <c r="U222" i="3"/>
  <c r="U223" i="3"/>
  <c r="U224" i="3"/>
  <c r="U225" i="3"/>
  <c r="U226" i="3"/>
  <c r="U227" i="3"/>
  <c r="U228" i="3"/>
  <c r="U229" i="3"/>
  <c r="U230" i="3"/>
  <c r="U231" i="3"/>
  <c r="U232" i="3"/>
  <c r="U233" i="3"/>
  <c r="U234" i="3"/>
  <c r="U235" i="3"/>
  <c r="U236" i="3"/>
  <c r="U237" i="3"/>
  <c r="U238" i="3"/>
  <c r="U239" i="3"/>
  <c r="U240" i="3"/>
  <c r="U241" i="3"/>
  <c r="U242" i="3"/>
  <c r="U243" i="3"/>
  <c r="U244" i="3"/>
  <c r="U245" i="3"/>
  <c r="U246" i="3"/>
  <c r="U247" i="3"/>
  <c r="U248" i="3"/>
  <c r="U249" i="3"/>
  <c r="U250" i="3"/>
  <c r="U251" i="3"/>
  <c r="U252" i="3"/>
  <c r="U253" i="3"/>
  <c r="U254" i="3"/>
  <c r="U255" i="3"/>
  <c r="U256" i="3"/>
  <c r="U257" i="3"/>
  <c r="U258" i="3"/>
  <c r="U259" i="3"/>
  <c r="U260" i="3"/>
  <c r="U261" i="3"/>
  <c r="U262" i="3"/>
  <c r="U263" i="3"/>
  <c r="U264" i="3"/>
  <c r="U265" i="3"/>
  <c r="U266" i="3"/>
  <c r="U267" i="3"/>
  <c r="U268" i="3"/>
  <c r="U269" i="3"/>
  <c r="U270" i="3"/>
  <c r="U271" i="3"/>
  <c r="U272" i="3"/>
  <c r="U273" i="3"/>
  <c r="U274" i="3"/>
  <c r="U275" i="3"/>
  <c r="U276" i="3"/>
  <c r="U277" i="3"/>
  <c r="U278" i="3"/>
  <c r="U279" i="3"/>
  <c r="U280" i="3"/>
  <c r="U281" i="3"/>
  <c r="U282" i="3"/>
  <c r="U283" i="3"/>
  <c r="U284" i="3"/>
  <c r="U285" i="3"/>
  <c r="U286" i="3"/>
  <c r="U287" i="3"/>
  <c r="U288" i="3"/>
  <c r="U289" i="3"/>
  <c r="U290" i="3"/>
  <c r="U291" i="3"/>
  <c r="U292" i="3"/>
  <c r="U293" i="3"/>
  <c r="U294" i="3"/>
  <c r="U295" i="3"/>
  <c r="U296" i="3"/>
  <c r="U297" i="3"/>
  <c r="U298" i="3"/>
  <c r="U299" i="3"/>
  <c r="U300" i="3"/>
  <c r="U301" i="3"/>
  <c r="U302" i="3"/>
  <c r="U303" i="3"/>
  <c r="U304" i="3"/>
  <c r="U305" i="3"/>
  <c r="U306" i="3"/>
  <c r="U307" i="3"/>
  <c r="U308" i="3"/>
  <c r="U309" i="3"/>
  <c r="U310" i="3"/>
  <c r="U311" i="3"/>
  <c r="U312" i="3"/>
  <c r="U313" i="3"/>
  <c r="U314" i="3"/>
  <c r="U315" i="3"/>
  <c r="U316" i="3"/>
  <c r="U317" i="3"/>
  <c r="U318" i="3"/>
  <c r="U319" i="3"/>
  <c r="U320" i="3"/>
  <c r="U321" i="3"/>
  <c r="U322" i="3"/>
  <c r="U323" i="3"/>
  <c r="U324" i="3"/>
  <c r="U325" i="3"/>
  <c r="U326" i="3"/>
  <c r="U327" i="3"/>
  <c r="U328" i="3"/>
  <c r="U329" i="3"/>
  <c r="U330" i="3"/>
  <c r="U331" i="3"/>
  <c r="U332" i="3"/>
  <c r="U333" i="3"/>
  <c r="U334" i="3"/>
  <c r="U335" i="3"/>
  <c r="U336" i="3"/>
  <c r="U337" i="3"/>
  <c r="U338" i="3"/>
  <c r="U339" i="3"/>
  <c r="U340" i="3"/>
  <c r="U341" i="3"/>
  <c r="U342" i="3"/>
  <c r="U343" i="3"/>
  <c r="U344" i="3"/>
  <c r="U345" i="3"/>
  <c r="U346" i="3"/>
  <c r="U347" i="3"/>
  <c r="U348" i="3"/>
  <c r="U349" i="3"/>
  <c r="U350" i="3"/>
  <c r="U351" i="3"/>
  <c r="U352" i="3"/>
  <c r="U353" i="3"/>
  <c r="U354" i="3"/>
  <c r="U355" i="3"/>
  <c r="U356" i="3"/>
  <c r="U357" i="3"/>
  <c r="U358" i="3"/>
  <c r="U359" i="3"/>
  <c r="U360" i="3"/>
  <c r="U361" i="3"/>
  <c r="U362" i="3"/>
  <c r="U363" i="3"/>
  <c r="U364" i="3"/>
  <c r="U365" i="3"/>
  <c r="U366" i="3"/>
  <c r="U367" i="3"/>
  <c r="U368" i="3"/>
  <c r="U369" i="3"/>
  <c r="U370" i="3"/>
  <c r="U371" i="3"/>
  <c r="U372" i="3"/>
  <c r="U373" i="3"/>
  <c r="U374" i="3"/>
  <c r="U375" i="3"/>
  <c r="U376" i="3"/>
  <c r="U377" i="3"/>
  <c r="U378" i="3"/>
  <c r="U379" i="3"/>
  <c r="U380" i="3"/>
  <c r="U381" i="3"/>
  <c r="U382" i="3"/>
  <c r="U383" i="3"/>
  <c r="U384" i="3"/>
  <c r="U385" i="3"/>
  <c r="U386" i="3"/>
  <c r="U387" i="3"/>
  <c r="U388" i="3"/>
  <c r="U389" i="3"/>
  <c r="U390" i="3"/>
  <c r="U391" i="3"/>
  <c r="U392" i="3"/>
  <c r="U393" i="3"/>
  <c r="U394" i="3"/>
  <c r="U395" i="3"/>
  <c r="U396" i="3"/>
  <c r="U397" i="3"/>
  <c r="U398" i="3"/>
  <c r="U399" i="3"/>
  <c r="U400" i="3"/>
  <c r="U401" i="3"/>
  <c r="U402" i="3"/>
  <c r="U403" i="3"/>
  <c r="U404" i="3"/>
  <c r="U405" i="3"/>
  <c r="U406" i="3"/>
  <c r="U407" i="3"/>
  <c r="U408" i="3"/>
  <c r="U409" i="3"/>
  <c r="U410" i="3"/>
  <c r="U411" i="3"/>
  <c r="U412" i="3"/>
  <c r="U413" i="3"/>
  <c r="U414" i="3"/>
  <c r="U415" i="3"/>
  <c r="U416" i="3"/>
  <c r="U417" i="3"/>
  <c r="U418" i="3"/>
  <c r="U419" i="3"/>
  <c r="U420" i="3"/>
  <c r="U421" i="3"/>
  <c r="U422" i="3"/>
  <c r="U423" i="3"/>
  <c r="U424" i="3"/>
  <c r="U425" i="3"/>
  <c r="U426" i="3"/>
  <c r="U427" i="3"/>
  <c r="U428" i="3"/>
  <c r="U429" i="3"/>
  <c r="U430" i="3"/>
  <c r="U431" i="3"/>
  <c r="U432" i="3"/>
  <c r="U433" i="3"/>
  <c r="U434" i="3"/>
  <c r="U435" i="3"/>
  <c r="U436" i="3"/>
  <c r="U437" i="3"/>
  <c r="U438" i="3"/>
  <c r="U439" i="3"/>
  <c r="U440" i="3"/>
  <c r="U441" i="3"/>
  <c r="U442" i="3"/>
  <c r="U443" i="3"/>
  <c r="U444" i="3"/>
  <c r="U445" i="3"/>
  <c r="U446" i="3"/>
  <c r="U447" i="3"/>
  <c r="U448" i="3"/>
  <c r="U449" i="3"/>
  <c r="U450" i="3"/>
  <c r="U451" i="3"/>
  <c r="U452" i="3"/>
  <c r="U453" i="3"/>
  <c r="U454" i="3"/>
  <c r="U455" i="3"/>
  <c r="U456" i="3"/>
  <c r="U457" i="3"/>
  <c r="U458" i="3"/>
  <c r="U459" i="3"/>
  <c r="U460" i="3"/>
  <c r="U461" i="3"/>
  <c r="U462" i="3"/>
  <c r="U463" i="3"/>
  <c r="U464" i="3"/>
  <c r="U465" i="3"/>
  <c r="U466" i="3"/>
  <c r="U467" i="3"/>
  <c r="U468" i="3"/>
  <c r="U469" i="3"/>
  <c r="U470" i="3"/>
  <c r="U471" i="3"/>
  <c r="U472" i="3"/>
  <c r="U473" i="3"/>
  <c r="U474" i="3"/>
  <c r="U475" i="3"/>
  <c r="U476" i="3"/>
  <c r="U477" i="3"/>
  <c r="U478" i="3"/>
  <c r="U479" i="3"/>
  <c r="U480" i="3"/>
  <c r="U481" i="3"/>
  <c r="U482" i="3"/>
  <c r="U483" i="3"/>
  <c r="U484" i="3"/>
  <c r="U485" i="3"/>
  <c r="U486" i="3"/>
  <c r="U487" i="3"/>
  <c r="U488" i="3"/>
  <c r="U489" i="3"/>
  <c r="U490" i="3"/>
  <c r="U491" i="3"/>
  <c r="U492" i="3"/>
  <c r="U493" i="3"/>
  <c r="U494" i="3"/>
  <c r="U495" i="3"/>
  <c r="U496" i="3"/>
  <c r="U497" i="3"/>
  <c r="U498" i="3"/>
  <c r="U499" i="3"/>
  <c r="U500" i="3"/>
  <c r="D82" i="2"/>
  <c r="E81" i="2"/>
  <c r="E80" i="2"/>
  <c r="E79" i="2"/>
  <c r="E78" i="2"/>
  <c r="E77" i="2"/>
  <c r="E76" i="2"/>
  <c r="E75" i="2"/>
  <c r="E74" i="2"/>
  <c r="E73" i="2"/>
  <c r="E72" i="2"/>
  <c r="R53" i="2"/>
  <c r="M53" i="2"/>
  <c r="G53" i="2"/>
  <c r="R52" i="2"/>
  <c r="M52" i="2"/>
  <c r="G52" i="2"/>
  <c r="R51" i="2"/>
  <c r="M51" i="2"/>
  <c r="G51" i="2"/>
  <c r="R50" i="2"/>
  <c r="M50" i="2"/>
  <c r="G50" i="2"/>
  <c r="R49" i="2"/>
  <c r="M49" i="2"/>
  <c r="G49" i="2"/>
  <c r="R48" i="2"/>
  <c r="M48" i="2"/>
  <c r="G48" i="2"/>
  <c r="R47" i="2"/>
  <c r="M47" i="2"/>
  <c r="G47" i="2"/>
  <c r="R46" i="2"/>
  <c r="M46" i="2"/>
  <c r="G46" i="2"/>
  <c r="R45" i="2"/>
  <c r="M45" i="2"/>
  <c r="G45" i="2"/>
  <c r="R44" i="2"/>
  <c r="M44" i="2"/>
  <c r="G44" i="2"/>
  <c r="E39" i="2"/>
  <c r="E38" i="2"/>
  <c r="E37" i="2"/>
  <c r="E36" i="2"/>
  <c r="E35" i="2"/>
  <c r="E34" i="2"/>
  <c r="E33" i="2"/>
  <c r="E32" i="2"/>
  <c r="E31" i="2"/>
  <c r="E30" i="2"/>
  <c r="E29" i="2"/>
</calcChain>
</file>

<file path=xl/sharedStrings.xml><?xml version="1.0" encoding="utf-8"?>
<sst xmlns="http://schemas.openxmlformats.org/spreadsheetml/2006/main" count="6253" uniqueCount="3291">
  <si>
    <t>기초자료 입력 (공통 C-01~C-06 / 사업 B-01~B-07 / 문서별 D-01~D-05 / 반복 R-01~R-07)</t>
  </si>
  <si>
    <t>불러올 레코드 선택:</t>
  </si>
  <si>
    <t>1. 공통 정보 (C)</t>
  </si>
  <si>
    <t>학교명 *</t>
  </si>
  <si>
    <t>C-01</t>
  </si>
  <si>
    <t>학년도 *</t>
  </si>
  <si>
    <t>C-02</t>
  </si>
  <si>
    <t>담당부서</t>
  </si>
  <si>
    <t>C-03</t>
  </si>
  <si>
    <t>담당자 직위</t>
  </si>
  <si>
    <t>C-04</t>
  </si>
  <si>
    <t>문서 발행일</t>
  </si>
  <si>
    <t>C-05</t>
  </si>
  <si>
    <t>문서번호</t>
  </si>
  <si>
    <t>C-06</t>
  </si>
  <si>
    <t>C-08</t>
  </si>
  <si>
    <t>담당자 성명</t>
  </si>
  <si>
    <t>C-07</t>
  </si>
  <si>
    <t>교장 성명(결재권자)</t>
  </si>
  <si>
    <t>2. 사업 정보 (B)</t>
  </si>
  <si>
    <t>구매명 *</t>
  </si>
  <si>
    <t>B-01</t>
  </si>
  <si>
    <t>구매 학년</t>
  </si>
  <si>
    <t>B-02</t>
  </si>
  <si>
    <t>계약방식 (계약방법안내에서 검토 후 반영)</t>
  </si>
  <si>
    <t>B-03</t>
  </si>
  <si>
    <t>기초금액(원)</t>
  </si>
  <si>
    <t>B-04</t>
  </si>
  <si>
    <t>예정수량</t>
  </si>
  <si>
    <t>B-05</t>
  </si>
  <si>
    <t>납품기한</t>
  </si>
  <si>
    <t>B-06</t>
  </si>
  <si>
    <t>제출기한</t>
  </si>
  <si>
    <t>B-07</t>
  </si>
  <si>
    <t>3. 문서별 정보 (D) — 서식 공통 기본값</t>
  </si>
  <si>
    <t>수신</t>
  </si>
  <si>
    <t>D-01</t>
  </si>
  <si>
    <t>제목 *</t>
  </si>
  <si>
    <t>D-02</t>
  </si>
  <si>
    <t>관련문서</t>
  </si>
  <si>
    <t>D-03</t>
  </si>
  <si>
    <t>붙임 목록</t>
  </si>
  <si>
    <t>D-04</t>
  </si>
  <si>
    <t>안내문 본문</t>
  </si>
  <si>
    <t>D-05</t>
  </si>
  <si>
    <t>4. 품목 반복행 (R-04 품목명 / R-05 수량 / R-06 단가 / K-01 금액 자동계산) — F-024 등에서 사용</t>
  </si>
  <si>
    <t>품목명</t>
  </si>
  <si>
    <t>수량</t>
  </si>
  <si>
    <t>단가(원)</t>
  </si>
  <si>
    <t>금액(자동, K-01)</t>
  </si>
  <si>
    <t>합계 (K-02)</t>
  </si>
  <si>
    <t>5. 업체 반복행 (R-03 업체명 / S열 R-08 대표자 성명 / X열 R-09 대표자 연락처) — C~F열은 F-015 학교 정량평가, H~L열은 F-016 학교 정성평가, N~Q열은 F-018 업체 자기평점이며 서로 혼용하지 않음</t>
  </si>
  <si>
    <t>업체명</t>
  </si>
  <si>
    <t>수행경험(10)</t>
  </si>
  <si>
    <t>공인인증(10)</t>
  </si>
  <si>
    <t>거리적접근성(15)</t>
  </si>
  <si>
    <t>상한가격(15)</t>
  </si>
  <si>
    <t>F-015 상태</t>
  </si>
  <si>
    <t>재질 등급(15)</t>
  </si>
  <si>
    <t>완성도 등급(10)</t>
  </si>
  <si>
    <t>A/S 등급(15)</t>
  </si>
  <si>
    <t>하자보상 등급(10)</t>
  </si>
  <si>
    <t>가감점(-15~5)</t>
  </si>
  <si>
    <t>F-016 상태</t>
  </si>
  <si>
    <t>자기 수행경험(10)</t>
  </si>
  <si>
    <t>자기 공인인증(10)</t>
  </si>
  <si>
    <t>자기 거리(15)</t>
  </si>
  <si>
    <t>자기 상한가격(15)</t>
  </si>
  <si>
    <t>F-018 상태</t>
  </si>
  <si>
    <t>대표자 성명(R-08)</t>
  </si>
  <si>
    <t>대표자 연락처(R-09)</t>
  </si>
  <si>
    <t>6. 위원 반복행 (R-01 역할·직위 / R-02 위원 성명) — 연락처·서명은 계속 입력 금지</t>
  </si>
  <si>
    <t>역할·직위</t>
  </si>
  <si>
    <t>마스킹 식별표시 (위원 ○○/위원 **만 허용)</t>
  </si>
  <si>
    <t>7. 평가점수 반복행 (R-07 점수 / K-03 평가 총점 자동계산) — 업체·위원 식별정보는 입력하지 않음</t>
  </si>
  <si>
    <t>평가항목</t>
  </si>
  <si>
    <t>배점</t>
  </si>
  <si>
    <t>점수</t>
  </si>
  <si>
    <t>점수 상태</t>
  </si>
  <si>
    <t>평가 총점 (K-03)</t>
  </si>
  <si>
    <t>빠른 출력 선택 (서식선택_출력과 실시간 연동)</t>
  </si>
  <si>
    <t>선택</t>
  </si>
  <si>
    <t>Form ID</t>
  </si>
  <si>
    <t>서식명</t>
  </si>
  <si>
    <t>보기</t>
  </si>
  <si>
    <t>순번</t>
  </si>
  <si>
    <t>학교명</t>
  </si>
  <si>
    <t>학년도</t>
  </si>
  <si>
    <t>담당자직위</t>
  </si>
  <si>
    <t>문서발행일</t>
  </si>
  <si>
    <t>구매명</t>
  </si>
  <si>
    <t>구매학년</t>
  </si>
  <si>
    <t>계약방식</t>
  </si>
  <si>
    <t>기초금액</t>
  </si>
  <si>
    <t>제목</t>
  </si>
  <si>
    <t>붙임목록</t>
  </si>
  <si>
    <t>안내문본문</t>
  </si>
  <si>
    <t>저장시각</t>
  </si>
  <si>
    <t>불러오기표시라벨</t>
  </si>
  <si>
    <t>담당자성명</t>
  </si>
  <si>
    <t>교장성명</t>
  </si>
  <si>
    <t>레코드순번</t>
  </si>
  <si>
    <t>행번호</t>
  </si>
  <si>
    <t>단가</t>
  </si>
  <si>
    <t>금액</t>
  </si>
  <si>
    <t>대표자성명</t>
  </si>
  <si>
    <t>대표자연락처</t>
  </si>
  <si>
    <t>역할직위</t>
  </si>
  <si>
    <t>위원성명</t>
  </si>
  <si>
    <t>수행경험점수</t>
  </si>
  <si>
    <t>공인인증점수</t>
  </si>
  <si>
    <t>거리적접근성점수</t>
  </si>
  <si>
    <t>상한가격점수</t>
  </si>
  <si>
    <t>재질점수</t>
  </si>
  <si>
    <t>완성도점수</t>
  </si>
  <si>
    <t>AS점수</t>
  </si>
  <si>
    <t>하자보상점수</t>
  </si>
  <si>
    <t>가감점</t>
  </si>
  <si>
    <t>수행경험자기점수</t>
  </si>
  <si>
    <t>공인인증자기점수</t>
  </si>
  <si>
    <t>거리적접근성자기점수</t>
  </si>
  <si>
    <t>상한가격자기점수</t>
  </si>
  <si>
    <t>서식 선택 · 출력</t>
  </si>
  <si>
    <t>각 서식 행의 [미리보기]/[PDF]/[HWPX] 버튼으로 바로 작성합니다(구현상태='Y'인 행만 동작). 여러 서식을 묶어 출력하려면 [기초자료입력]의 빠른 출력 선택 패널을 사용하세요.</t>
  </si>
  <si>
    <t>업무단계</t>
  </si>
  <si>
    <t>구현상태</t>
  </si>
  <si>
    <t>연결시트</t>
  </si>
  <si>
    <t>미리보기</t>
  </si>
  <si>
    <t>PDF</t>
  </si>
  <si>
    <t>HWPX</t>
  </si>
  <si>
    <t>F-001</t>
  </si>
  <si>
    <t>교복선정위원회 구성 기안</t>
  </si>
  <si>
    <t>준비</t>
  </si>
  <si>
    <t>Y</t>
  </si>
  <si>
    <t>F-001_위원회구성기안</t>
  </si>
  <si>
    <t>F-002</t>
  </si>
  <si>
    <t>위원 수락 및 확인서</t>
  </si>
  <si>
    <t>F-002_위원수락확인서</t>
  </si>
  <si>
    <t>F-003</t>
  </si>
  <si>
    <t>위원 청렴 및 보안 서약서</t>
  </si>
  <si>
    <t>F-003_위원청렴보안서약서</t>
  </si>
  <si>
    <t>F-004</t>
  </si>
  <si>
    <t>구매 추진 계획 수립</t>
  </si>
  <si>
    <t>F-004_구매추진계획수립기안문</t>
  </si>
  <si>
    <t>F-005</t>
  </si>
  <si>
    <t>구매 추진 계획안</t>
  </si>
  <si>
    <t>F-005_구매추진계획안</t>
  </si>
  <si>
    <t>F-006</t>
  </si>
  <si>
    <t>학교운영위원회 심의(안)</t>
  </si>
  <si>
    <t>F-006_운영위원회심의안</t>
  </si>
  <si>
    <t>F-007</t>
  </si>
  <si>
    <t>교복구매 구매 요청</t>
  </si>
  <si>
    <t>입찰</t>
  </si>
  <si>
    <t>F-007_구매요청기안문</t>
  </si>
  <si>
    <t>F-008</t>
  </si>
  <si>
    <t>교복 사양서</t>
  </si>
  <si>
    <t>F-008_교복사양서</t>
  </si>
  <si>
    <t>F-009</t>
  </si>
  <si>
    <t>기초금액 및 계약방법 결정</t>
  </si>
  <si>
    <t>F-009_기초금액계약방법결정</t>
  </si>
  <si>
    <t>F-010</t>
  </si>
  <si>
    <t>사전규격공개 기안문</t>
  </si>
  <si>
    <t>F-010_사전규격공개기안문</t>
  </si>
  <si>
    <t>F-011</t>
  </si>
  <si>
    <t>교복 학교주관구매 입찰 공고</t>
  </si>
  <si>
    <t>F-011_입찰공고</t>
  </si>
  <si>
    <t>F-012</t>
  </si>
  <si>
    <t>계약 특수조건</t>
  </si>
  <si>
    <t>F-012_계약특수조건</t>
  </si>
  <si>
    <t>F-013</t>
  </si>
  <si>
    <t>교복 디자인 및 규격서</t>
  </si>
  <si>
    <t>D</t>
  </si>
  <si>
    <t>HWPX 우선순위 위임(표·이미지 복합조판)</t>
  </si>
  <si>
    <t>F-014</t>
  </si>
  <si>
    <t>제안서 평가항목 및 배점기준</t>
  </si>
  <si>
    <t>평가</t>
  </si>
  <si>
    <t>F-014_평가항목배점기준</t>
  </si>
  <si>
    <t>F-015</t>
  </si>
  <si>
    <t>정량적 평가</t>
  </si>
  <si>
    <t>F-015_정량적평가</t>
  </si>
  <si>
    <t>F-016</t>
  </si>
  <si>
    <t>정성적 평가</t>
  </si>
  <si>
    <t>F-016_정성적평가</t>
  </si>
  <si>
    <t>F-017</t>
  </si>
  <si>
    <t>제출서류 자기확인서</t>
  </si>
  <si>
    <t>F-017_제출서류자기확인서</t>
  </si>
  <si>
    <t>F-018</t>
  </si>
  <si>
    <t>정량적 평가 자기 평점표</t>
  </si>
  <si>
    <t>F-018_정량적평가자기평점표</t>
  </si>
  <si>
    <t>F-019</t>
  </si>
  <si>
    <t>입찰참가신청서</t>
  </si>
  <si>
    <t>F-019_입찰참가신청서</t>
  </si>
  <si>
    <t>F-020</t>
  </si>
  <si>
    <t>입찰 참가 신고서</t>
  </si>
  <si>
    <t>F-020_입찰참가신고서</t>
  </si>
  <si>
    <t>F-021</t>
  </si>
  <si>
    <t>교복 납품 제안서</t>
  </si>
  <si>
    <t>F-021_교복납품제안서</t>
  </si>
  <si>
    <t>F-022</t>
  </si>
  <si>
    <t>교복 납품 실적표</t>
  </si>
  <si>
    <t>F-022_교복납품실적표</t>
  </si>
  <si>
    <t>F-023</t>
  </si>
  <si>
    <t>교복 제조 사양서</t>
  </si>
  <si>
    <t>F-023_교복제조사양서</t>
  </si>
  <si>
    <t>F-024</t>
  </si>
  <si>
    <t>품목별 단가 비율표</t>
  </si>
  <si>
    <t>F-024_단가비율표</t>
  </si>
  <si>
    <t>F-025</t>
  </si>
  <si>
    <t>교복 A/S 계획서</t>
  </si>
  <si>
    <t>F-025_교복AS계획서</t>
  </si>
  <si>
    <t>F-026</t>
  </si>
  <si>
    <t>소비자 불만 처리 계획</t>
  </si>
  <si>
    <t>N</t>
  </si>
  <si>
    <t>F-027</t>
  </si>
  <si>
    <t>위임장</t>
  </si>
  <si>
    <t>F-027_위임장</t>
  </si>
  <si>
    <t>F-028</t>
  </si>
  <si>
    <t>서약서</t>
  </si>
  <si>
    <t>F-029</t>
  </si>
  <si>
    <t>개인정보제공 동의서</t>
  </si>
  <si>
    <t>F-029_개인정보제공동의서</t>
  </si>
  <si>
    <t>F-030</t>
  </si>
  <si>
    <t>청렴계약 이행서약서</t>
  </si>
  <si>
    <t>F-030_청렴계약이행서약서</t>
  </si>
  <si>
    <t>F-031</t>
  </si>
  <si>
    <t>교복 품목별 금액표</t>
  </si>
  <si>
    <t>F-031_교복품목별금액표</t>
  </si>
  <si>
    <t>F-032</t>
  </si>
  <si>
    <t>제안서 접수 결과</t>
  </si>
  <si>
    <t>F-032_제안서접수결과</t>
  </si>
  <si>
    <t>F-033</t>
  </si>
  <si>
    <t>제안서 접수대장</t>
  </si>
  <si>
    <t>F-033_제안서접수대장</t>
  </si>
  <si>
    <t>F-034</t>
  </si>
  <si>
    <t>제안서 평가위원회 개최</t>
  </si>
  <si>
    <t>F-034_평가위원회개최</t>
  </si>
  <si>
    <t>F-035</t>
  </si>
  <si>
    <t>제안서 정량평가 결과</t>
  </si>
  <si>
    <t>F-035_정량평가결과</t>
  </si>
  <si>
    <t>F-036</t>
  </si>
  <si>
    <t>제안서 평가 결과</t>
  </si>
  <si>
    <t>F-036_제안서평가결과</t>
  </si>
  <si>
    <t>F-037</t>
  </si>
  <si>
    <t>평가위원회 참석 등록부</t>
  </si>
  <si>
    <t>F-037_평가위원회참석등록부</t>
  </si>
  <si>
    <t>F-038</t>
  </si>
  <si>
    <t>업체 참가 등록부</t>
  </si>
  <si>
    <t>F-038_업체참가등록부</t>
  </si>
  <si>
    <t>F-039</t>
  </si>
  <si>
    <t>업체별 제안서 평가표</t>
  </si>
  <si>
    <t>F-039_업체별제안서평가표</t>
  </si>
  <si>
    <t>F-040</t>
  </si>
  <si>
    <t>F-040_위원청렴보안서약서</t>
  </si>
  <si>
    <t>F-041</t>
  </si>
  <si>
    <t>낙찰자 결정</t>
  </si>
  <si>
    <t>계약</t>
  </si>
  <si>
    <t>F-041_낙찰자결정</t>
  </si>
  <si>
    <t>F-042</t>
  </si>
  <si>
    <t>낙찰자 결정 통보</t>
  </si>
  <si>
    <t>F-042_낙찰자결정통보</t>
  </si>
  <si>
    <t>F-043</t>
  </si>
  <si>
    <t>계약체결</t>
  </si>
  <si>
    <t>F-043_계약체결</t>
  </si>
  <si>
    <t>F-044</t>
  </si>
  <si>
    <t>사전 안내 가정통신문 안내</t>
  </si>
  <si>
    <t>구매</t>
  </si>
  <si>
    <t>F-044_사전안내가정통신문안내</t>
  </si>
  <si>
    <t>F-045</t>
  </si>
  <si>
    <t>교복구매 사전 안내 가정통신문</t>
  </si>
  <si>
    <t>F-045_사전안내가정통신문</t>
  </si>
  <si>
    <t>F-046</t>
  </si>
  <si>
    <t>수요조사 가정통신문 안내</t>
  </si>
  <si>
    <t>F-046_수요조사가정통신문안내</t>
  </si>
  <si>
    <t>F-047</t>
  </si>
  <si>
    <t>교복구매 수요조사 가정통신문</t>
  </si>
  <si>
    <t>F-047_수요조사가정통신문</t>
  </si>
  <si>
    <t>F-048</t>
  </si>
  <si>
    <t>교복 구매 안내(신청 수량 파악)</t>
  </si>
  <si>
    <t>F-048_교복구매안내신청수량파악</t>
  </si>
  <si>
    <t>F-049</t>
  </si>
  <si>
    <t>만족도 설문조사 실시</t>
  </si>
  <si>
    <t>사후평가</t>
  </si>
  <si>
    <t>F-049_만족도설문조사실시</t>
  </si>
  <si>
    <t>F-050</t>
  </si>
  <si>
    <t>만족도 조사 설문지</t>
  </si>
  <si>
    <t>F-050_만족도조사설문지</t>
  </si>
  <si>
    <t>F-051</t>
  </si>
  <si>
    <t>만족도 설문조사 결과</t>
  </si>
  <si>
    <t>F-052</t>
  </si>
  <si>
    <t>만족도 조사 설문 결과 서식</t>
  </si>
  <si>
    <t>교복 학교주관구매 구매 요청(안)</t>
  </si>
  <si>
    <t>시행일자</t>
  </si>
  <si>
    <t>수  신</t>
  </si>
  <si>
    <t>제  목</t>
  </si>
  <si>
    <t>붙임</t>
  </si>
  <si>
    <t>담당</t>
  </si>
  <si>
    <t>합계</t>
  </si>
  <si>
    <t>(경유)</t>
  </si>
  <si>
    <t>1. 관련：</t>
  </si>
  <si>
    <t>가. 대상 및 수량</t>
  </si>
  <si>
    <t>나. 예상단가</t>
  </si>
  <si>
    <t>다. 사양내역</t>
  </si>
  <si>
    <t>라. 납품기한</t>
  </si>
  <si>
    <t>붙임 참조</t>
  </si>
  <si>
    <t>협조자</t>
  </si>
  <si>
    <t>시행</t>
  </si>
  <si>
    <t>접수</t>
  </si>
  <si>
    <t>우편번호</t>
  </si>
  <si>
    <t>주소</t>
  </si>
  <si>
    <t>전화</t>
  </si>
  <si>
    <t>전송(팩스)</t>
  </si>
  <si>
    <t>이메일</t>
  </si>
  <si>
    <t>[서식 7] 교복 품목별 단가 비율표</t>
  </si>
  <si>
    <t>(업체 제출양식)</t>
  </si>
  <si>
    <t>품목</t>
  </si>
  <si>
    <t>단가비율(%)</t>
  </si>
  <si>
    <t>비고</t>
  </si>
  <si>
    <t>동복</t>
  </si>
  <si>
    <t>하복</t>
  </si>
  <si>
    <t>품목별 단가 비율 기준과 ±3% 이상 차이가 나는 품목이 있을 시 기준 미충족</t>
  </si>
  <si>
    <t>20○○년    월    일</t>
  </si>
  <si>
    <t>제안자 성  명                    (서명 또는 날인)</t>
  </si>
  <si>
    <t>[붙임 3] 제안서 평가항목 및 배점기준</t>
  </si>
  <si>
    <t>(예시안)</t>
  </si>
  <si>
    <t>평가 총점</t>
  </si>
  <si>
    <t>※ 제안서 평가기준은 예시안으로 학교 실정에 맞게 변경하여 사용합니다. 출력 전 담당자가 평가구분·배점기준·가감점 적용 여부를 최종 확인하십시오.</t>
  </si>
  <si>
    <t>구분</t>
  </si>
  <si>
    <t>배점기준</t>
  </si>
  <si>
    <t>평가점수</t>
  </si>
  <si>
    <t>학교별 평가기준 확인</t>
  </si>
  <si>
    <t>합 계</t>
  </si>
  <si>
    <t>■ 평가기준에 대한 상세 설명</t>
  </si>
  <si>
    <t>• 원본 예시안은 정량적 평가와 정성적 평가를 각 50점으로 구분하고, 수행경험·품질인증·거리·상한가격 및 재질·완성도·A/S·하자보상 항목을 제시합니다.</t>
  </si>
  <si>
    <t>• 현재 출력은 기초자료입력의 평가항목·배점·점수를 반영합니다. 학교별 배점기준, 가점·감점 및 평가구분은 원본 예시안과 최신 지침을 확인하여 확정하십시오.</t>
  </si>
  <si>
    <t>■ 평가 시 유의사항: 객관적인 자료와 제출된 제품의 품질을 기준으로 공정하게 평가하며, 최종 출력 전 평가기준과 점수의 사실관계를 확인하십시오.</t>
  </si>
  <si>
    <t>선택 업체 순번(자동, 인쇄 전용)</t>
  </si>
  <si>
    <t>[9-4] [붙임 3_1] [1단계] 정량적 평가</t>
  </si>
  <si>
    <t>[1단계] 정량적 평가(50점): 사업담당 또는 계약부서에서 평가</t>
  </si>
  <si>
    <t>평가 대상 업체</t>
  </si>
  <si>
    <t>※ 평가항목은 학교별 상황에 따라 자율적으로 변경 적용 가능함</t>
  </si>
  <si>
    <t>정량적 평가
(50점)</t>
  </si>
  <si>
    <t>1. 수행경험 (10)
- 입찰공고일 기준 최근 3년간 학교 주관구매 교복 납품실적(해당학교 실적 증명서 첨부)</t>
  </si>
  <si>
    <t>5건 이상</t>
  </si>
  <si>
    <t>3건 이상</t>
  </si>
  <si>
    <t>1건 이상 또는 해당연도 신규업체</t>
  </si>
  <si>
    <t>실적없음</t>
  </si>
  <si>
    <t>2. 공인인증(시험)기관의 품질인증 여부(10)
[한국의류시험연구원, FITI시험연구원, KOLAS기관의 시험성적서 등]
※ Q 마크 등 검사 인증</t>
  </si>
  <si>
    <t>교복 전품목 인증</t>
  </si>
  <si>
    <t>일부 품목 인증</t>
  </si>
  <si>
    <t>전품목 미인증</t>
  </si>
  <si>
    <t>3. 거리적 접근성(15)
- 학교와 교복업체(매장)와의 거리(사업자등록증의 사업장주소지 확인 및, 실제 매장 운영여부 반드시 현장 확인)</t>
  </si>
  <si>
    <t>이동거리 5km 이내</t>
  </si>
  <si>
    <t>이동거리 5km이상~10km미만</t>
  </si>
  <si>
    <t>이동거리 10km이상~15km미만</t>
  </si>
  <si>
    <t>이동거리 15km이상</t>
  </si>
  <si>
    <t>4. 품목별 상한가격(15)</t>
  </si>
  <si>
    <t>전품목 상한가격 기준 충족</t>
  </si>
  <si>
    <t>기준 미충족 품목이 있을 시</t>
  </si>
  <si>
    <t>50점 만점</t>
  </si>
  <si>
    <t>○○학교 사업담당자(계약담당자) (인 또는 서명)</t>
  </si>
  <si>
    <t>[9-5] [붙임 3_2] [2단계] 정성적 평가</t>
  </si>
  <si>
    <t>[2단계] 정성적 평가(50점): 교복선정위원회에서 평가</t>
  </si>
  <si>
    <t>대상 업체</t>
  </si>
  <si>
    <t>정성적 평가
(50점)</t>
  </si>
  <si>
    <t>재질(15점)</t>
  </si>
  <si>
    <t>1. 옷감의 촉감과 질감의 상태(10)
2. 섬유조직의 세밀함과 부드러움(10)
탁월15·우수12·보통9·미흡6·불량3</t>
  </si>
  <si>
    <t>완성도(10점)</t>
  </si>
  <si>
    <t>1. 바느질의 꼼꼼함
2. 단추·지퍼의 견고함
3. 마감처리의 완성도
4. 여유단의 정도
탁월10·우수8·보통6·미흡4·불량2</t>
  </si>
  <si>
    <t>A/S(15점)</t>
  </si>
  <si>
    <t>1. 무상 A/S 의무기간
2. A/S의 편의성(신속성)
3. 출장 A/S 가능 여부
4. A/S 내용(바느질·단추·지퍼 등)
탁월15·우수12·보통9·미흡6·불량3</t>
  </si>
  <si>
    <t>하자보상(10점)</t>
  </si>
  <si>
    <t>1. 제품하자에 대한 교환 등 하자 보상 및 소비자 불만 사항 처리 방안의 적정성
탁월10·우수8·보통6·미흡4·불량2</t>
  </si>
  <si>
    <t>가점 및 감점 요인</t>
  </si>
  <si>
    <t>· 최근 1년 공정거래위원회 담합 행정처분: -10
· 최근 3년 교복 만족도 조사: 80점 이상 +5 / 75점 이상 +2 / 65점 이상 0 / 60점 이상 -2 / 55점 미만 -5</t>
  </si>
  <si>
    <t>-15~+5</t>
  </si>
  <si>
    <t>○○학교 교복선정위원회 평가위원 (인 또는 서명)</t>
  </si>
  <si>
    <t>※ 업체명·대표자·연락처는 기초자료의 반복행에서 자동 반영합니다(대표자·연락처는 2026-09-23부터). 대리인 정보는 제출자가 작성하는 빈 칸으로 유지합니다.</t>
  </si>
  <si>
    <t>대표자</t>
  </si>
  <si>
    <t>연락처</t>
  </si>
  <si>
    <t>위임자(대리인 제출 시): 직위·이름·전화번호</t>
  </si>
  <si>
    <t>제출서류</t>
  </si>
  <si>
    <t>제출여부
(○,✕)</t>
  </si>
  <si>
    <t>비고
(서류 확인 사항)</t>
  </si>
  <si>
    <t>정량적 평가 자기 평점표[서식 1_1]</t>
  </si>
  <si>
    <t>1부</t>
  </si>
  <si>
    <t>입찰참가 신청서[서식 2]</t>
  </si>
  <si>
    <t>입찰 참가 신고서[서식 3]</t>
  </si>
  <si>
    <t>위임장[서식 10]</t>
  </si>
  <si>
    <t>대리인 재직증명서, 4대보험 가입증명서</t>
  </si>
  <si>
    <t>서약서[서식 11]</t>
  </si>
  <si>
    <t>개인정보제공 동의서[서식 12]</t>
  </si>
  <si>
    <t>청렴계약 이행서약서[서식 13]</t>
  </si>
  <si>
    <t>사업자등록증 사본</t>
  </si>
  <si>
    <t>중소기업확인서</t>
  </si>
  <si>
    <t>공정거래위원회 법위반사실확인서</t>
  </si>
  <si>
    <t>교복 납품 실적 증명서</t>
  </si>
  <si>
    <t>기타 평가기준에 따른 증명서류</t>
  </si>
  <si>
    <t>제안평가 반영 시 제출</t>
  </si>
  <si>
    <t>교복(동복·하복) 납품 제안서[서식 4]</t>
  </si>
  <si>
    <t>원본 1부, 사본 ○부</t>
  </si>
  <si>
    <t>사본 블라인드 처리</t>
  </si>
  <si>
    <t>교복 납품 실적표[서식 5]</t>
  </si>
  <si>
    <t>교복 제조 사양서[서식 6]</t>
  </si>
  <si>
    <t>품목별 단가 비율표[서식 7]</t>
  </si>
  <si>
    <t>교복 A/S 계획서[서식 8]</t>
  </si>
  <si>
    <t>소비자 불만 사항에 대한 처리방안[서식 9]</t>
  </si>
  <si>
    <t>교복 제조 및 판매 시설 현황서</t>
  </si>
  <si>
    <t>교복 샘플</t>
  </si>
  <si>
    <t>샘플 1부</t>
  </si>
  <si>
    <t>블라인드 처리</t>
  </si>
  <si>
    <t>[9-7] [서식 1_1] 정량적 평가 자기 평점표</t>
  </si>
  <si>
    <t>※ 업체 자기평점표입니다. 학교의 F-015 정량적 평가 점수와 별도로 입력·보관하며, 사실관계와 증빙은 제출자가 최종 확인합니다.</t>
  </si>
  <si>
    <t>자기 평점</t>
  </si>
  <si>
    <t>1. 수행경험 (10)
최근 3년간 학교 주관구매 교복 납품실적</t>
  </si>
  <si>
    <t>1건 이상 또는 신규업체</t>
  </si>
  <si>
    <t>2. 공인인증(시험)기관의 품질인증 여부(10)</t>
  </si>
  <si>
    <t>3. 거리적 접근성(15)
학교와 교복업체(매장)와의 거리</t>
  </si>
  <si>
    <t>5km 이상~10km 미만</t>
  </si>
  <si>
    <t>10km 이상~15km 미만</t>
  </si>
  <si>
    <t>15km 이상</t>
  </si>
  <si>
    <t>업체명·대표자는 기초자료의 업체 반복행에서 자동 반영합니다(대표자는 2026-09-23부터). 작성자·서명은 제출자가 직접 작성하는 빈 칸으로 유지합니다.</t>
  </si>
  <si>
    <t>입 찰 참 가 신 청 서
※ 아래 사항 중 해당되는 경우에만 기재하시기 바랍니다.</t>
  </si>
  <si>
    <t>처리기간
즉 시</t>
  </si>
  <si>
    <t>신
청
인</t>
  </si>
  <si>
    <t>상호 또는
법인명칭</t>
  </si>
  <si>
    <t>법인등록번호</t>
  </si>
  <si>
    <t>주 소</t>
  </si>
  <si>
    <t>전화번호</t>
  </si>
  <si>
    <t>주민등록번호</t>
  </si>
  <si>
    <t>입찰
개요</t>
  </si>
  <si>
    <t>입찰공고
(지명)번호</t>
  </si>
  <si>
    <t>입찰일자</t>
  </si>
  <si>
    <t>입찰건명</t>
  </si>
  <si>
    <t>입찰보증금</t>
  </si>
  <si>
    <t>귀 교에서 시행하는 위 건명에 대해 입찰보증금 납부를 면제받고자 하며, 낙찰자 결정 통지를 받은 후 10일 이내에 계약을 체결하지 않을 시 입찰금액의 5/100에 해당하는 입찰보증금을 납부할 것을 확약합니다.</t>
  </si>
  <si>
    <t>대리인·
사용인감</t>
  </si>
  <si>
    <t>본 입찰에 관한 일체의 권한을 다음의 자에게 위임합니다.
성 명 :
주민등록번호 :</t>
  </si>
  <si>
    <t>본 입찰에 사용할 인감을 다음과 같이 신고합니다.
(사용인감 날인)</t>
  </si>
  <si>
    <t>붙임서류 : 공고에 정한 서류</t>
  </si>
  <si>
    <t>교복 학교주관구매 입찰 참가 신고서</t>
  </si>
  <si>
    <t>※ 사업자 상호(업체명)만 기초자료의 반복행에서 반영합니다. 사업자 번호·대표자 성명·직인은 사업자가 직접 작성하는 빈 칸으로 유지합니다.</t>
  </si>
  <si>
    <t>사업자 상호</t>
  </si>
  <si>
    <t>사업자 번호</t>
  </si>
  <si>
    <t>사업자 대표</t>
  </si>
  <si>
    <t>※ 위 신고 사업자는 해당 학교의 ‘학교주관구매’를 저해하는 행위를 하는 경우, 향후 입찰에서 제외되는 등 불이익을 받을 수 있음을 확인하였습니다.</t>
  </si>
  <si>
    <t>위 신고인 사업자 대표 성명 ○○○ 사업자 직인</t>
  </si>
  <si>
    <t>[검토용] 원본 HWPX [9-9] [서식 4] 대조. 업체명·대표자·연락처(R-08·R-09, 2026-09-23부터)는 자동 반영하며 주소·서명은 직접 작성합니다.</t>
  </si>
  <si>
    <t>※ 업체명·대표자·연락처는 기초자료의 반복행에서 자동 반영합니다(대표자·연락처는 2026-09-23부터). 나머지 일반현황·연혁·제안자 성명은 직접 작성하십시오.</t>
  </si>
  <si>
    <t>1. 일반현황 및 연혁</t>
  </si>
  <si>
    <t>회사명</t>
  </si>
  <si>
    <t>사업분야</t>
  </si>
  <si>
    <t>회사설립년도</t>
  </si>
  <si>
    <t>직원현황</t>
  </si>
  <si>
    <t>해당부문 사업기간</t>
  </si>
  <si>
    <t>＜주요연혁＞</t>
  </si>
  <si>
    <t>2. 제안(제출)서류</t>
  </si>
  <si>
    <t>① 교복 납품 실적표(F-022)_x000D_
② 교복 제조 사양서(F-023)_x000D_
③ 품목별 단가 비율표(F-024)_x000D_
④ 교복 A/S 계획서(F-025)_x000D_
⑤ 소비자 불만 처리 계획(F-026)_x000D_
⑥ 위임장(F-027), 서약서(F-028), 개인정보 동의서(F-029)_x000D_
⑦ 품질인증·시험성적 등 제안요청서에서 정한 증빙서류</t>
  </si>
  <si>
    <t>제안자 성명                         (서명 또는 날인)</t>
  </si>
  <si>
    <t>[검토용] 원본 HWPX [9-10] [서식 5] 대조. 업체명만 자동 반영하며 실적행은 업체별 증명서와 대조하여 직접 작성합니다.</t>
  </si>
  <si>
    <t>교복 납품 실적(입찰공고일 기준 최근 3년 이내 실적)</t>
  </si>
  <si>
    <t>사업명</t>
  </si>
  <si>
    <t>사업기간</t>
  </si>
  <si>
    <t>계약금액
(천원)</t>
  </si>
  <si>
    <t>발주처</t>
  </si>
  <si>
    <t>붙임  실적증명서 각 1부.</t>
  </si>
  <si>
    <t>위와 같이 납품실적을 제출합니다.</t>
  </si>
  <si>
    <t>제안자 성 명                         (서명 또는 날인)</t>
  </si>
  <si>
    <t>[검토용] 원본 HWPX [9-11] [서식 6] 대조. 업체명만 자동 반영하며 재질·설명 내용은 직접 작성합니다.</t>
  </si>
  <si>
    <t>납품 교복 제조 사양서</t>
  </si>
  <si>
    <t>*서식은 입찰 업체 상황에 맞게 변경 사용 가능(사진 등 첨부 가능)</t>
  </si>
  <si>
    <t>생활형 교복</t>
  </si>
  <si>
    <t>견본 품목</t>
  </si>
  <si>
    <t>재질</t>
  </si>
  <si>
    <t>설명 내용</t>
  </si>
  <si>
    <t>후드 점퍼</t>
  </si>
  <si>
    <t>집업티</t>
  </si>
  <si>
    <t>맨투맨티</t>
  </si>
  <si>
    <t>긴바지</t>
  </si>
  <si>
    <t>반팔티</t>
  </si>
  <si>
    <t>반바지</t>
  </si>
  <si>
    <t>※ 국산섬유원단 사용 여부(한국섬유산업연합회 인증마크 획득) 등 상세히 기재</t>
  </si>
  <si>
    <t>[검토용] 원본 HWPX [9-14] [서식 8] 대조. 원문에 업체명 표시 자리가 없어 반영하지 않으며 A/S 계획 전 항목은 직접 작성합니다.</t>
  </si>
  <si>
    <t>1. A/S 기간</t>
  </si>
  <si>
    <t>가. 무상 A/S 기간 (                부터                까지 )</t>
  </si>
  <si>
    <t>2. A/S 편의성</t>
  </si>
  <si>
    <t>가. 사업장 소재지 :</t>
  </si>
  <si>
    <t>나. 신속성 : A/S 완료까지 소요되는 기간 (                일)</t>
  </si>
  <si>
    <t>다. 출장 A/S 가능여부 : 가능한 경우 출장 A/S 최소 학생 수 기재 (                명)</t>
  </si>
  <si>
    <t>라. 택배 A/S 가능여부 : 가능한 경우 택배비용 무상/유상 기재 (                )</t>
  </si>
  <si>
    <t>3. A/S지정업체 (A/S지정업체가 별도 있을 경우 교복업체와 관계를 입증할 계약서 등 첨부)</t>
  </si>
  <si>
    <t>가. 주 소 :</t>
  </si>
  <si>
    <t>나. 연락처 :</t>
  </si>
  <si>
    <t>다. 거리접근성 : 학교와 A/S 수선점과의 거리 기재 (                km)</t>
  </si>
  <si>
    <t>4. A/S 내용</t>
  </si>
  <si>
    <t>가. 시설현황 : A/S관련 시설 및 수량 기재(재단기, 오버로크 등)</t>
  </si>
  <si>
    <t>나. 무상A/S 세부내용</t>
  </si>
  <si>
    <t>- 바지/치마 기장수선  - 품·허리수선  - 헤진부위수선  - 단추  - 지퍼  - 바느질 등 세부적 사항 기재</t>
  </si>
  <si>
    <t>다. 유상A/S 세부내용</t>
  </si>
  <si>
    <t>-</t>
  </si>
  <si>
    <t>교복선정위원회 구성(안)</t>
  </si>
  <si>
    <t>내부결재</t>
  </si>
  <si>
    <t>가. 위원회명：교복선정위원회</t>
  </si>
  <si>
    <t>나. 구성인원：7인 이상(교원위원 3인, 학부모위원 2인, 학생위원 2인)</t>
  </si>
  <si>
    <t>※ 교장 및 행정실장은 위원에서 제외, 교원을 제외한 위원이 1/2 이상 포함되도록 구성</t>
  </si>
  <si>
    <t>다. 역 할</t>
  </si>
  <si>
    <t>1) 교복 디자인 및 사양 선정</t>
  </si>
  <si>
    <t>2) 교복 품질심사기준 설정 및 심사</t>
  </si>
  <si>
    <t>3) 교복 제작 감독</t>
  </si>
  <si>
    <t>4) 구매결과 평가 실시</t>
  </si>
  <si>
    <t>라. 위원 명단</t>
  </si>
  <si>
    <t>순</t>
  </si>
  <si>
    <t>직급(직위)</t>
  </si>
  <si>
    <t>성명</t>
  </si>
  <si>
    <t>붙임 1. 교복선정위원회 위원 수락 및 확인서 1부.</t>
  </si>
  <si>
    <t xml:space="preserve">      2. 교복선정위원회 위원 청렴 및 보안 서약서 1부.  끝.</t>
  </si>
  <si>
    <t>교복선정위원회 위원 수락 및 확인서</t>
  </si>
  <si>
    <t>업체와의 관련이 있는 것으로 판명될 경우, 즉시 위원직을 사퇴할 것이며, 추후 어떠한 이의도 제기하지 않을 것을 서약합니다.</t>
  </si>
  <si>
    <t>주      소 :</t>
  </si>
  <si>
    <t>성      명 :</t>
  </si>
  <si>
    <t>서      명 :                              (인)</t>
  </si>
  <si>
    <t>청렴 및 보안 서약서</t>
  </si>
  <si>
    <t>교복 학교주관구매 추진 계획 수립(안)</t>
  </si>
  <si>
    <t>❍ 근 거：학교안전과-○○(20○○. ○○. ○○.) 「교복 학교주관구매 운영 요령」</t>
  </si>
  <si>
    <t>❍ 목 적：교복 학교주관구매 지원을 통한 학부모의 경제적 부담 경감</t>
  </si>
  <si>
    <t>❍ 시 기：20○○. ○○월 ~ 20○○. ○○월</t>
  </si>
  <si>
    <t>❍ 대 상：해당 학년도 모든 신입생</t>
  </si>
  <si>
    <t>❍ 학교장이 업체와 계약 체결 후 교복을 일괄 구매하는 학교주관구매 실시</t>
  </si>
  <si>
    <t>❍ 교복의 품질과 가격을 종합적으로 심사할 수 있는 2단계 입찰로 투명성·공정성·가격 경쟁력 확보</t>
  </si>
  <si>
    <t>❍ 교원, 학생대표, 학부모 대표 등으로 「교복선정위원회」를 구성·운영하여 명확하고 합리적인 심사기준 설정</t>
  </si>
  <si>
    <t>단계 및 시기</t>
  </si>
  <si>
    <t>주요 추진 사항</t>
  </si>
  <si>
    <t>교복 구매 계획 수립 [4월]</t>
  </si>
  <si>
    <t>교복 구매 계획 수립(추진일정, 디자인, 품질기준, 상한가격, 계약방식 등 포함)</t>
  </si>
  <si>
    <t>사업부서</t>
  </si>
  <si>
    <t>학교운영위원회 심의 [4월~5월]</t>
  </si>
  <si>
    <t>교복 구매 계획 학교운영위원회 심의</t>
  </si>
  <si>
    <t>입찰 공고 [6월~7월]</t>
  </si>
  <si>
    <t>구매물량 확정 단서 명시, A/S·반품·교환 요청사항 포함, 납품기한 명시</t>
  </si>
  <si>
    <t>계약부서</t>
  </si>
  <si>
    <t>1단계 품질심사(제안서 평가)</t>
  </si>
  <si>
    <t>교복선정위원회 품질(제안서) 심사</t>
  </si>
  <si>
    <t>사업부서(계약부서)</t>
  </si>
  <si>
    <t>2단계 가격 경쟁</t>
  </si>
  <si>
    <t>품질 적격업체 대상 가격 입찰</t>
  </si>
  <si>
    <t>사업자 선정·계약 체결 [7월~8월]</t>
  </si>
  <si>
    <t>낙찰통지 후 계약서 작성(단가계약 체결)</t>
  </si>
  <si>
    <t>학교주관구매 홍보 [12월~다음연도 1월]</t>
  </si>
  <si>
    <t>신입생 배정·합격자 통지 시 구매 방법 안내</t>
  </si>
  <si>
    <t>구성 인원 확정 및 치수 측정 [다음연도 1~2월]</t>
  </si>
  <si>
    <t>물량 확정 후 40일의 납품기한 보장</t>
  </si>
  <si>
    <t>교복 구매/납품 [다음연도 2월]</t>
  </si>
  <si>
    <t>교내 또는 업체 매장에서 검사·검수 실시</t>
  </si>
  <si>
    <t>대금 지급 [다음연도 3월]</t>
  </si>
  <si>
    <t>학교회계 절차에 따라 세입·세출 처리</t>
  </si>
  <si>
    <t>검사·검수 및 평가·환류 [다음연도 2~3월]</t>
  </si>
  <si>
    <t>계약 내용 확인 후 검수, 교복 만족도 조사</t>
  </si>
  <si>
    <t>❍ 교복디자인 선정·공개</t>
  </si>
  <si>
    <t>1) 신입생 교복은 원칙적으로 전년도 교복 디자인으로 한다.</t>
  </si>
  <si>
    <t>2) 교복 형태에 관한 사항을 학생 생활규정으로 명문화하고, 사양서와 사진, 규정 등을 학교 규정집과 학교 누리집 공지사항 등을 통해 공개한다.</t>
  </si>
  <si>
    <t>※ 교복 디자인 변경 시 도교육청 누리집 등을 통해 공개(최소 입찰공고 1개월 전까지)</t>
  </si>
  <si>
    <t>❍ 교복선정위원회 구성 및 역할</t>
  </si>
  <si>
    <t>1) 교복선정위원회 구성 현황(위원 성명은 개인정보이므로 마스킹 식별표시만 표시함)</t>
  </si>
  <si>
    <t>2) 역할：(제안서 심사) 디자인 적합성·재질·바느질 상태·A/S(의무기간 1년)·하자 이행 등 품질심사 기준 설정 및 제안서 평가·적격업체 선정 / (제작 감독) 계약 체결 후 제작 상황 확인(샘플검사·원단검사 등) / (검수) 납품 시 수량·사양서 등 계약 내용 확인 후 검수, 품질검사 실시 / (평가) 착용 이후 학생·학부모 의견수렴을 거쳐 구매 결과 평가 실시</t>
  </si>
  <si>
    <t>※ 교복 업계 이해관계자는 위촉 불가, 위원 후보자로부터 확인서·서약서 징구. 필요시 교복 제조·판매 시설 실사 실시</t>
  </si>
  <si>
    <t>❍ 교복 구매 기준</t>
  </si>
  <si>
    <t>1) 교복 구매 시 품질기준, 디자인, 상한 가격, 구매절차 및 입찰방법, 참가자 신청 일정 및 비용 납부, A/S 방안 등에 관한 사항을 포함한다.</t>
  </si>
  <si>
    <t>2) 신입생 3월 동복 착용 시 교복 제작 일정을 감안하여 8월까지 사업자를 선정하여 추진한다.</t>
  </si>
  <si>
    <t>❍ 입찰 공고</t>
  </si>
  <si>
    <t>1) 교복 구매 사업자 선정을 위한 입찰공고문을 작성하여 교복사양서와 함께 학교 누리집 및 지정 정보처리장치 등에 게재한다.</t>
  </si>
  <si>
    <t>2) 입찰에 부치는 사항, 입찰·개찰의 장소 및 일시, 참가자격, 낙찰자 결정방법, 계약 방법, 이행예정 기간 등을 명시하되, 구매물량은 「학생 인원에 따라 구매 물량 확정」이라는 단서를 반드시 명시한다.</t>
  </si>
  <si>
    <t>3) 물량변동 분쟁을 방지하도록 단가계약을 체결하되, 전입생 등 추가 구매가 가능하도록 충분한 수량을 확보한다.</t>
  </si>
  <si>
    <t>4) 입찰 참가 사업자는 학교에 입찰 참가 신청서를 제출한다.</t>
  </si>
  <si>
    <t>5) 기초가격은 교육청 상한 가격을 넘지 않는 선에서 교복사양(디자인·원단 등)을 고려한 거래실례가격·견적가격 등을 감안해 산출한다.</t>
  </si>
  <si>
    <t>6) 입찰 공고 등에 관한 사항은 관련 법령과 규정을 준수하여 진행한다.</t>
  </si>
  <si>
    <t>❍ 교복 납품 사업자 선정</t>
  </si>
  <si>
    <t>1) 교복선정위원회가 응찰 사업자를 대상으로 2단계 입찰(품질 → 가격)을 심사한다.</t>
  </si>
  <si>
    <t>2) 품질 심사：가격 심사 참가를 위한 최소 품질기준 합격 여부를 심사하며, 명확한 기준에 따라 엄격히 심사하고 Q-MARK 검사 기준 등을 적극 활용한다.</t>
  </si>
  <si>
    <t>3) 가격 경쟁：품질 합격 업체를 대상으로 입찰 관련 법령을 준수해 가격 경쟁을 실시하며, 상한 가격 초과·지역제한 미충족 업체는 탈락시킨다.</t>
  </si>
  <si>
    <t>4) 사업자 선정：최종 낙찰자를 사업자로 선정하고 공급 단가만 계약하되 「구매물량은 신청 학생 인원에 따라 확정」이라는 단서를 반드시 명시한다(단가계약 체결).</t>
  </si>
  <si>
    <t>※ 계약 시 확인 사항：무상 A/S 기한(1년 의무기간)·처리과정, 납품 기일 설정 및 계약이행지급각서 등 제출, 원단 검사 시 의류 시험성적서 제출, 납품 시점 하자이행보증보험증권 제출, 계약 특수조건(전입생 추가 구매 물량 확보) 명시</t>
  </si>
  <si>
    <t>❍ 규모 확정 및 학교회계 처리</t>
  </si>
  <si>
    <t>1) 3월 입학 동복 착용의 경우 예비소집일 등을 통해 신속히 참여 규모를 확정하고 회계처리한다.</t>
  </si>
  <si>
    <t>※ 신청 시 희망 치수와 실제측정 치수를 함께 조사한다.</t>
  </si>
  <si>
    <t>❍ 검수 및 평가·환류</t>
  </si>
  <si>
    <t>1) 계약 체결 후 원단 구입 전 샘플 검사(1차), 원단 검사(2차) 등 제작 상황을 수시로 확인한다.</t>
  </si>
  <si>
    <t>2) 물품 검수 시 수량·사양서 등 계약내용 및 제조 연월 표시 여부(라벨 불량·품질 표시 등)를 철저히 확인 후 검수한다.</t>
  </si>
  <si>
    <t>3) 교복 품질 검사 실시 후 검수한다.</t>
  </si>
  <si>
    <t>4) 착용 이후 학생·학부모 의견 수렴을 거쳐 「교복선정위원회」에서 구매 결과 평가를 실시한다.</t>
  </si>
  <si>
    <t>❍ 공정하고 투명한 입찰 방법을 통하여 저렴하고 높은 품질의 교복을 확보하고, 학교회계 관련 법령 및 절차에 따른 진행으로 교복구매의 합리성을 도모한다.</t>
  </si>
  <si>
    <t>붙임  교복 사양서 1부.  끝.</t>
  </si>
  <si>
    <t>안건번호</t>
  </si>
  <si>
    <t>제출일자</t>
  </si>
  <si>
    <t>제 안 자</t>
  </si>
  <si>
    <t>제안설명자</t>
  </si>
  <si>
    <t>1. 제안 이유</t>
  </si>
  <si>
    <t>❍ 근 거：「초·중등교육법」 제30조의2, 제32조 제1항</t>
  </si>
  <si>
    <t>2. 주요 내용</t>
  </si>
  <si>
    <t>가. 목적</t>
  </si>
  <si>
    <t>❍ 투명하고 공정한 선정 절차로 우수한 품질과 가격 경쟁력 확보</t>
  </si>
  <si>
    <t>❍ 학부모 교육비 부담을 경감하여 교복 가격 안정화 도모</t>
  </si>
  <si>
    <t>나. 교복 납품 사업자 선정 방법</t>
  </si>
  <si>
    <t>❍ 교복선정위원회를 구성하여 교복에 대한 2단계 경쟁(품질 → 가격)을 심사</t>
  </si>
  <si>
    <t>다. 교복구매 상한가격</t>
  </si>
  <si>
    <t>라. 협의사항</t>
  </si>
  <si>
    <t>❍ 교복선정위원회 구성</t>
  </si>
  <si>
    <t>직위</t>
  </si>
  <si>
    <t>❍ 기타 의견 수렴</t>
  </si>
  <si>
    <t>※ 참고 서식이니 해당학교의 학교운영위원회 서식을 사용할 것</t>
  </si>
  <si>
    <t>교복 학교주관구매 기초금액 및 계약방법 결정</t>
  </si>
  <si>
    <t>1. 관련：지방자치단체 입찰 및 계약 집행기준 및 지방자치단체를 당사자로 하는 계약에 관한 법률 시행령</t>
  </si>
  <si>
    <t>가. 건 명：</t>
  </si>
  <si>
    <t>나. 물품개요：</t>
  </si>
  <si>
    <t>교복 제작사양서 참조</t>
  </si>
  <si>
    <t>다. 기초금액：</t>
  </si>
  <si>
    <t>라. 납품기한：</t>
  </si>
  <si>
    <t>마. 계약방법：</t>
  </si>
  <si>
    <t>붙임 교복 제작 사양서 1부. 끝.</t>
  </si>
  <si>
    <t>1. 관련：지방자치단체를 당사자로 하는 계약에 관한 법률 및 같은 법 시행령</t>
  </si>
  <si>
    <t>가. 사 업 명：</t>
  </si>
  <si>
    <t>나. 기초금액：</t>
  </si>
  <si>
    <t>다. 배정예산：</t>
  </si>
  <si>
    <t>라. 공개방법：</t>
  </si>
  <si>
    <t>마. 공개사항：</t>
  </si>
  <si>
    <t>바. 사전공개기간：</t>
  </si>
  <si>
    <t>사. 의견등록마감일시：</t>
  </si>
  <si>
    <t>지정정보처리장치(G2B)를 통한 사전규격 공개</t>
  </si>
  <si>
    <t>1. 입찰에 부치는 사항</t>
  </si>
  <si>
    <t>구매예정수량</t>
  </si>
  <si>
    <t>구성품목 및 규격</t>
  </si>
  <si>
    <t>붙임 교복 사양서 참조</t>
  </si>
  <si>
    <t>입찰 방법</t>
  </si>
  <si>
    <t>납품장소</t>
  </si>
  <si>
    <t>특기사항</t>
  </si>
  <si>
    <t>낙찰업체는 품목별 단가표·의류시험성적서 등 원문 공고에서 요구하는 서류를 담당자 최종 확인 후 제출합니다.</t>
  </si>
  <si>
    <t>2. 입찰방법</t>
  </si>
  <si>
    <t>가. 본 입찰은 전자입찰 방식으로 진행하며, 규격제안서는 학교에 직접 제출하고 가격입찰서는 G2B 전자입찰시스템을 이용하여 제출합니다.
나. 단가입찰·지역제한·2단계 입찰(규격·가격 동시) 및 청렴서약제 적용 여부는 최신 공고 기준을 담당자가 확인합니다.
다. 공동도급 허용 여부와 제출 방식은 공고 전 최종 확인합니다.</t>
  </si>
  <si>
    <t>3. 입찰 참가자격</t>
  </si>
  <si>
    <t>가. 관련 법령에 따른 자격 요건을 갖추고 입찰 참가 제한 사유가 없는 업체이어야 합니다.
나. 중소기업·소상공인 확인서 및 본점 소재지 제한, G2B 이용자 등록·신원확인 요건은 공고일 기준으로 담당자가 확인합니다.</t>
  </si>
  <si>
    <t>4. 계약업체 선정절차</t>
  </si>
  <si>
    <t>가. 제안서 및 가격입찰서 제출  나. 교복선정위원회를 통한 제안서 평가  다. 적격자에 한한 가격 개찰  라. 예정가격 이하 최저가격 입찰자 선정</t>
  </si>
  <si>
    <t>5. 제안서 제출</t>
  </si>
  <si>
    <t>6. 가격입찰서 제출</t>
  </si>
  <si>
    <t>가. 제출기간: 담당자 최종 확인
나. 제출 장소: 국가종합전자조달시스템(G2B) 전자제출
다. 제출방법·운영시간 및 전자입찰 유의사항은 최신 나라장터 안내를 확인합니다.</t>
  </si>
  <si>
    <t>7. 제안서 평가 및 효력</t>
  </si>
  <si>
    <t>가. 평가 일시·장소와 평가항목 및 배점기준은 담당자가 확정합니다.
나. 제안업체는 평가 내용과 결과에 이의를 제기할 수 없으며, 공고문·특수조건과 상충하는 제안서 내용은 효력이 없습니다.
다. 보완 요구·제출서류 미비 시 처리 기준은 원문 공고와 최신 법령을 확인합니다.</t>
  </si>
  <si>
    <t>8. 가격입찰서 개찰 및 낙찰자 결정방법</t>
  </si>
  <si>
    <t>가. 개찰 일시·장소는 담당자가 확정합니다.
나. 규격평가 적격업체에 한해 가격을 개찰하고, 예정가격 이하 최저가격 입찰자를 낙찰자로 선정합니다.
다. 동일가격 입찰 등 세부 낙찰 기준은 공고 전 최신 법령·집행기준을 확인합니다.</t>
  </si>
  <si>
    <t>9. 입찰보증금 납부 및 귀속</t>
  </si>
  <si>
    <t>입찰보증금 납부 확약·낙찰자의 계약 미체결 시 조치 등은 지방계약법 및 공고일 현재 집행기준에 따릅니다.</t>
  </si>
  <si>
    <t>10. 입찰의 무효 및 유의사항</t>
  </si>
  <si>
    <t>관련 법령·전자입찰 유의서에 해당하는 입찰은 무효로 하며, 입찰참가자는 공고문·계약특수조건·규격서·평가기준 및 계약조건을 숙지해야 합니다.</t>
  </si>
  <si>
    <t>11. 계약체결 및 이행</t>
  </si>
  <si>
    <t>최종낙찰자는 품목별 단가표, 계약·하자 이행보증 및 원단 시험성적서 등 계약서류를 제출해야 하며, 계약 체결·이행 조건은 최신 법령과 계약서에 따릅니다.</t>
  </si>
  <si>
    <t>12. 기타사항</t>
  </si>
  <si>
    <t>전자입찰 시스템 문의처, 견본품 반환, 개인정보 보호, 하도급 제한 및 입찰·계약 문의처는 학교가 공고 전 최신 정보로 직접 기입합니다. 개인정보·연락처는 이 통합문서에서 자동 반영하지 않습니다.</t>
  </si>
  <si>
    <t>제1조(구매 수량 및 구매 단가)</t>
  </si>
  <si>
    <t>제2조(교복 치수 측정)</t>
  </si>
  <si>
    <t>① 「공급자」는 교복 규격서대로 성실히 제작하기 위해 학생 신체 치수 등을 측정할 장소와 시간 등을 학교와 사전 협의하여 정하고, 측정 장소와 시간은 교복을 구매하는 학생들이 개별적으로 방문하여 이용하는 데에 불편함이 없어야 하며, 측정기간은 주말을 포함하여 최소 5일 이상으로 하여야 한다.
② 「공급자」는 학생 신체 치수 측정 시 교직원 또는 보호자 동반 하에 공개된 장소에서 실시하며 남학생은 남성이 여학생은 여성이 신체 치수를 측정하도록 해야 한다.
③ 「학교」는 「공급자」의 교복 제작을 위한 신체 치수 측정에 적극 협조하여야 하며, 「공급자」는 교복을 착용할 학생의 신체 치수에 맞는 교복을 정확하게 제조하여 납품하여야 한다.
④ 교복 치수 측정 또는 교복 수령을 위해 학생이 업체 방문 시 「공급자」가 본 공고문에 명시된 교복 품목 외의 의류를 판매할 경우 해당 의류구입비는 교복구입지원비로 지원할 수 없으며 「공급자」는 반드시 학생 및 학부모가 자비로 부담하여 구매해야 함을 학생 및 학부모에게 알리고 판매해야 한다.</t>
  </si>
  <si>
    <t>제3조(납품 기한 및 장소)</t>
  </si>
  <si>
    <t>제4조(납품 전 확인)</t>
  </si>
  <si>
    <t>① 「공급자」는 제출한 샘플과 동일한 원부자재를 사용해야 하며 「학교」는 공급자의 제조공정을 확인할 수 있다.
② 「학교」는 「공급자」의 제조공정에서 봉제 상태를 검수할 수 있으며 「공급자」는 이에 성실하게 응해야 한다.</t>
  </si>
  <si>
    <t>제5조(교복의 상태)</t>
  </si>
  <si>
    <t>① 원단은 오염, 파열, 절상이 없어야 한다.
② 재단은 반듯해야 하며, 염색불량, 이색원단은 사용하지 않아야 한다.
③ 땀의 띔, 땀의 터짐이 없어야 하고, 봉제선은 굽은 봉제선, 이음 봉제선 벗어남이 눈에 띄지 않아야 한다.
④ 단추 구멍은 단추크기에 맞게 알맞게 뚫어야 한다.
⑤ 각 부의 봉합은 윗실, 밑실의 당겨짐, 늘어짐이 없어야 한다.
⑥ 제품의 실밥 등은 깨끗이 정리해 눈에 띄지 않아야 한다.
⑦ 통풍이 잘 되어야 하며, 비침이 없어야 한다.</t>
  </si>
  <si>
    <t>제6조(검사·검수)</t>
  </si>
  <si>
    <t>① 「공급자」는 계약일 이후 제조된 교복 완제품(기장 등 치수 조정 시 수선 완료)을 납품하여야 한다.
② 공급자는 학교가 제시한 규격과 일치한 교복을 납품하여야 하며, 납품 시 분별하기 쉽게 구매 학생의 학년/반, 성명이 기재된 개별 포장이 되어 있어야 한다.
③ 「공급자」는 교복의 안감에 품목별로 치수, 원단의 재질, 세탁 및 보관 시 유의사항, 수선을 받을 수 있는 「공급자」의 연락처, 제조년월 등이 기재된 라벨을 부착하여야 한다.
④ Q마크 인증 제품, 국산 섬유제품 인증 제품을 공급하는 「납품사」는 Q마크와 한국섬유산업연합회에서 발급하는 「국산 섬유제품 인증마크」를 교복에 부착하여 납품한다.(비용은 「공급자」 부담)
⑤ 업체에서 구입한 원단의 「시험성적서」를 납품 시 제출하여야 한다.
⑥ 「공급자」는 「학교」에 최종납품확인서를 제출하여야 하고 「학교」의 검사·검수에 합격하여야 납품이 완료된다.</t>
  </si>
  <si>
    <t>제7조(품질검사)</t>
  </si>
  <si>
    <t>① 「학교」는 「공급자」가 학생에게 지급한 교복 중에서 일부를 지정하여 전문기관에 교복 품질에 대한 검사를 의뢰할 수 있다.
② 「학교」는 전문기관의 검사 결과 교복 품질의 문제가 발생된 경우 「공급자」에게 교환 등 관계법령에 따라 필요한 조치를 요구할 수 있고, 「공급자」는 「학교」의 요구사항을 성실히 이행하여야 한다.</t>
  </si>
  <si>
    <t>제8조(교환 및 제품의 하자)</t>
  </si>
  <si>
    <t>① 납품된 교복은 제출했던 견본과 동일해야 하며, 「학교」에서 제시한 규격서, 교복 구매특수조건과 불일치(원단, 봉제상태 등)할 경우 무상으로 교환을 해주어야 한다.
② 미리 측정한 교복 구매 학생의 치수와 다르게 제작된 것이 「학교」의 학생 및 학부모 등에 의하여 확인될 경우, 「공급자」는 지체 없이 치수에 맞게 무상 교환해줘야 한다. (단, 개인변형 시 해당되지 않음)
③ 제품 하자에 대한 교환 등 소비자 불만에 대한 처리는 제안서 제출 시 제출한 「소비자불만사항에 대한 처리계획」에 따라 처리하도록 한다.</t>
  </si>
  <si>
    <t>제9조(하자보증)</t>
  </si>
  <si>
    <t>공급자는 동복과 하복 납품시점에 각각 「하자이행보증보험」 증권을 각각 제출하여야 한다. (하자보증기간 : 1년, 구매확정금액에 대한 증권 제출)</t>
  </si>
  <si>
    <t>제10조(사후관리)</t>
  </si>
  <si>
    <t>① 「공급자」는 「공급자」가 납품한 전체 교복에 대하여 납품일로부터 3년간 품질보증을 해야 하고, 납품 후 1년간 무상 A/S를 해주어야 한다.
② 「공급자」의 교복 납품 후 학생의 귀책사유(학생귀책사유 여부는 공급자가 증명)로 교복이 손상되고 「공급자」에게 수선을 요구하면 「공급자」는 실제 수선비를 청구하고 성실하게 수선해 주어야 한다.
③ 지정한 A/S 수선점이 중도에 폐업할 경우 「공급자」는 1주일 이내에 가까운 A/S 수선점을 재지정하고, 「학교」에 통보해야 한다.
④ 「공급자」는 A/S 요청 시 신속·친절하게 처리해주어야 한다.</t>
  </si>
  <si>
    <t>제11조(지연배상금)</t>
  </si>
  <si>
    <t>「공급자」는 본 계약의 성실한 이행을 위하여 납기를 준수하여야 하며 납기가 지연될 때에는 납기지연 지체일수 1일에 대하여 계약금액의 0.8/1000에 해당하는 금액을 지체일수에 곱한 지연배상금을 「학교」가 납품 대금에서 공제한 후 「공급자」에게 지불한다. 단, 「학교」의 귀책사유에 의해 납기가 지연되거나 천재지변 등 불가피한 사유로 인하여 납기가 지연될 때에는 그러하지 아니한다.</t>
  </si>
  <si>
    <t>제12조(대금청구)</t>
  </si>
  <si>
    <t>「공급자」가 납품 후 「학교」의 검사·검수가 완료되었을 때, 「공급자」의 대금청구에 따라 지정된 금융기관의 예금계좌로 5일 이내(토·공휴일 제외)에 송금하여 대금을 지불한다.</t>
  </si>
  <si>
    <t>제13조(금액변경)</t>
  </si>
  <si>
    <t>「공급자」는 계약기간 중 발생한 원단의 시장가격 변동 등의 사유로 계약금액 또는 1벌당 교복가격의 변경을 요구할 수 없다. 재학생 및 전입생의 희망에 따른 추가 구매 시에도 동일한 단가를 적용한다.</t>
  </si>
  <si>
    <t>제14조(계약불이행 등)</t>
  </si>
  <si>
    <t>① 「공급자」의 고의, 과실 등의 사유로 계약이행 과정에서 불법행위가 발생하거나, 계약의 불이행, 납품된 물품의 중대한 하자발생 시 「공급자」는 민·형사상의 모든 책임을 진다.
② 「공급자」는 개인정보 보호 관련 법규에 따라 계약기간 중에는 물론 납품 완료 후에도 개인정보가 외부에 유출되지 않도록 하여야 하며, 개인정보 유출 시 모든 민·형사상의 책임을 진다.</t>
  </si>
  <si>
    <t>제15조(하도급 금지)</t>
  </si>
  <si>
    <t>본 계약은 「공급자」가 직접 수행해야 하며 제3자에게 하도급 할 수 없다.</t>
  </si>
  <si>
    <t>제16조(디자인 소유권)</t>
  </si>
  <si>
    <t>디자인 제작에 관계없이 선정된 디자인의 소유권은 학교에 귀속된다.</t>
  </si>
  <si>
    <t>제17조(계약 내용 해석)</t>
  </si>
  <si>
    <t>① 계약 내용의 해석에 있어 「학교」와 「공급자」 간에 이견이 있으면 계약서 본문과 본 계약 특수조건 등의 종합적이고 합리적인 해석을 통해 본래의 계약체결 취지와 학교주관구매 시행 목적에 부합하는 방향으로 해석하여야 한다.
② 본 계약 특수 조건에서 규정하지 아니한 사항에 대해서는 「학교」와 「공급자」가 상호 협의하여 결정한다.</t>
  </si>
  <si>
    <t>제18조(부정당업자의 제재)</t>
  </si>
  <si>
    <t>① 「학교」는 「업체」가 「지방자치단체를 당사자로 하는 계약에 관한 법률 시행령」 제92조에 따라 각 호에 해당하는 행위를 한 경우 「업체」를 도교육청에 부정당업자로 신고하여야 한다.
1. 계약을 이행할 때 부실하게 하거나 조잡하게 하거나 부당하게 하거나 부정한 행위를 한 자
2. 정당한 이유 없이 낙찰된 후 계약을 체결하지 아니한 자 또는 계약을 체결한 이후 계약이행을 하지 아니하거나 계약서에 정한 조건을 위반하여 이행한 자
3. 입찰, 계약 체결 또는 이행과정에서 입찰자 또는 계약상대자 간에 서로 상의하여 미리 입찰가격, 수주물량 또는 계약의 내용 등을 협정하였거나 특정인의 낙찰 또는 납품대상자 선정을 위하여 담합한 자
4. 입찰·낙찰 또는 계약의 체결·이행과 관련하여 사기로 지방자치단체에 손해를 끼친 자</t>
  </si>
  <si>
    <t>제19조(소송관할)</t>
  </si>
  <si>
    <t>본 계약서의 각 항의 해석상 이의가 있을 때에는 서로 협의하며, 다툼이 있을 때에는 「학교」의 관할법원으로 한다.</t>
  </si>
  <si>
    <t>1. 섬유혼용률(허용범위는 학교·업체 협의로 기재)</t>
  </si>
  <si>
    <t>섬유 혼용률</t>
  </si>
  <si>
    <t>2. 제작 시 유의 사항</t>
  </si>
  <si>
    <t>1) 전년도와 변동 여부</t>
  </si>
  <si>
    <t>2) 규정 및 유의사항(학교 교복 규정에 반영할 내용 표기)</t>
  </si>
  <si>
    <t>3. 교복 디자인 및 규격서(디자인 이미지는 담당자가 직접 붙여넣음)</t>
  </si>
  <si>
    <t>디자인 이미지(전,후면)</t>
  </si>
  <si>
    <t>원단 및 색상</t>
  </si>
  <si>
    <t>제작시 유의사항</t>
  </si>
  <si>
    <t>(이미지 붙여넣기 공간)</t>
  </si>
  <si>
    <t>낙찰 업체 선택 순번(자동, 인쇄 전용)</t>
  </si>
  <si>
    <t>교복 학교주관구매 낙찰자 결정(안)</t>
  </si>
  <si>
    <t>가. 건  명：</t>
  </si>
  <si>
    <t>다. 예정가격：</t>
  </si>
  <si>
    <t>라. 낙찰자</t>
  </si>
  <si>
    <t>순위</t>
  </si>
  <si>
    <t>투찰금액(원)</t>
  </si>
  <si>
    <t>낙찰률(%)</t>
  </si>
  <si>
    <t>비고(주소)</t>
  </si>
  <si>
    <t>마. 근거：「지방자치단체를 당사자로 하는 계약에 관한 법률 시행령」 제42조.  끝.</t>
  </si>
  <si>
    <t>교복 학교주관구매 낙찰자 결정 통보</t>
  </si>
  <si>
    <t>1. 귀사의 무궁한 발전을 기원합니다.</t>
  </si>
  <si>
    <t>가. 낙찰자</t>
  </si>
  <si>
    <t>계약체결금액(원)</t>
  </si>
  <si>
    <t>나. 제출서류</t>
  </si>
  <si>
    <t>1) 품목별 산출내역서 1부.</t>
  </si>
  <si>
    <t>2) 원단 의류 시험성적서 1부.</t>
  </si>
  <si>
    <t>3) 사용인장계(조달등록 인장 아닌 경우) 1부.</t>
  </si>
  <si>
    <t>4) 법인 등기사항증명서(법인) 또는 주민등록등본(개인) 1부.  끝.</t>
  </si>
  <si>
    <t>계약상대자 선택 순번(자동, 인쇄 전용)</t>
  </si>
  <si>
    <t>교복 학교주관구매 계약 체결(안)</t>
  </si>
  <si>
    <t>가. 계약명：</t>
  </si>
  <si>
    <t>단가(원) 입력：</t>
  </si>
  <si>
    <t>(담당자가 계약 단가를 직접 입력함 — 기초자료입력 미연동, K-01)</t>
  </si>
  <si>
    <t>나. 계약금액：</t>
  </si>
  <si>
    <t>※ 최종구매수량은 희망 학생 수에 따라 증감될 수 있음.</t>
  </si>
  <si>
    <t>3. 계약상대자</t>
  </si>
  <si>
    <t>소재지</t>
  </si>
  <si>
    <t>4. 계약보증금：교복단가에 예정 수량을 곱한 금액의 10%(보증서 전자 접수)</t>
  </si>
  <si>
    <t>6. 계약방법：나라장터(G2B)를 통한 전자계약</t>
  </si>
  <si>
    <t>붙임 1. 계약서(초안) 1부.</t>
  </si>
  <si>
    <t xml:space="preserve">      2. 교복 사양서 1부.</t>
  </si>
  <si>
    <t xml:space="preserve">      3. 교복 구매계약 특수조건 1부.</t>
  </si>
  <si>
    <t xml:space="preserve">      4. 입찰가격산출내역서(품목별 단가표) 1부.</t>
  </si>
  <si>
    <t xml:space="preserve">      5. 기타서류(별첨).  끝.</t>
  </si>
  <si>
    <t>신입생 교복구매 사전 안내 가정통신문 발송</t>
  </si>
  <si>
    <t>내부결재(사업부서)</t>
  </si>
  <si>
    <t>1. 관련: 전북특별자치도교육청 학교안전과-0000(20○○.) 학교주관공동구매 요령</t>
  </si>
  <si>
    <t>2. 상급학교 진학 이전에 교복 구매에 대한 사전 안내를 실시하기 위하여 붙임과 같이 가정통신문을 발송하고자 합니다.</t>
  </si>
  <si>
    <t>가. 대상:</t>
  </si>
  <si>
    <t>나. 내용:</t>
  </si>
  <si>
    <t>붙임 교복구매 사전 안내 가정통신문 1부. 끝.</t>
  </si>
  <si>
    <t>안녕하십니까? 졸업과 함께 상급학교로 진학함을 축하드립니다.</t>
  </si>
  <si>
    <t>정부의「교복 가격 안정화 방안」(2013.7.9)에 따라, 학교는 ‘학교주관구매’를 실시하고 있으며, 전북 도내 교복을 착용하는 대부분의 중·고등학교는 ‘교복 학교주관구매 제도’를 실시하고 있습니다.</t>
  </si>
  <si>
    <t>교복은 ‘학교주관구매’의 권고 상한가인 동복 000원, 하복 000원 이하로 지원하게 됩니다. 학교별 자체 구매계획에 따라 업체를 선정하며, 학생들은 진학하는 중학교(고등학교)에서 교복을 현물로 지원 받습니다.</t>
  </si>
  <si>
    <t>기타 교복 착용 여부와 구매 일정, 착용 시기 등 세부사항은 신입생 배정 발표 이후에 해당 학교의 안내를 통해 반드시 확인하시고, 학교의 안내 없이 교복을 개별적으로 구매하여 착오가 생기는 일이 없도록 유의하시기 바랍니다.</t>
  </si>
  <si>
    <t>감사합니다.</t>
  </si>
  <si>
    <t>신입생 예비소집일 교복구매 수요조사 가정통신문 발송</t>
  </si>
  <si>
    <t>2. 정확한 교복 물량 파악을 위한 학교주관구매 수요조사를 위해 붙임과 같이 가정통신문을 발송하고자 합니다.</t>
  </si>
  <si>
    <t>붙임 교복구매 수요조사 가정통신문 1부. 끝.</t>
  </si>
  <si>
    <t>우리 학교는 정부의 교복 가격 안정화 방안과 우리교육청의 교복구매비 지원 사업에 따라 교복에 대한 「학교주관구매」를 통한 교복지원을 하고 있습니다.</t>
  </si>
  <si>
    <t>※ 참고: 2026학년도 충북교육청 교복 학교주관구매 권고 상한가는 동복(4pcs 기준) 245,400원, 하복(2pcs 기준) 99,170원임</t>
  </si>
  <si>
    <t>아울러, 추가 구매를 희망하는 경우(신품 또는 할인된 이월품 선택 가능) 학교에 사전 신청하여 주시기 바랍니다.(교복 물려입기를 할 경우 서식 변경해서 안내)</t>
  </si>
  <si>
    <t>--------------------------------------- 절 취 선 ---------------------------------------</t>
  </si>
  <si>
    <t>년   월   일</t>
  </si>
  <si>
    <t>(※신입생 배정 번호 또는 학년 반을 기재) 이름 (　　　　　)</t>
  </si>
  <si>
    <t>보호자 성명 (　　　　　) 전화번호 (　　　　　)</t>
  </si>
  <si>
    <t>【예시】교복 신청 수량(품목별)</t>
  </si>
  <si>
    <t>품목: 교복(동복)</t>
  </si>
  <si>
    <t>품목(남학생)</t>
  </si>
  <si>
    <t>신청 수량</t>
  </si>
  <si>
    <t>구매가격(원)</t>
  </si>
  <si>
    <t>품목(여학생)</t>
  </si>
  <si>
    <t>자켓</t>
  </si>
  <si>
    <t>셔츠</t>
  </si>
  <si>
    <t>블라우스</t>
  </si>
  <si>
    <t>·</t>
  </si>
  <si>
    <t>※ 교복 품목: 「학칙(학생생활규정)」에서 규정한 단체복 품목</t>
  </si>
  <si>
    <t>우리 학교는 정부의 교복 가격 안정화 방안(2013.7.)에 따라 교복을 학교에서 구매하는 「교복 학교주관구매」를 실시하고 있습니다.</t>
  </si>
  <si>
    <t>학교주관구매로 학부모가 부담하는 교복(상의, 하의, ○○○, ○○)의 가격은 000원이며, 학생들은 ○○년 ○월 ○일부터 교복을 착용하게 됩니다.</t>
  </si>
  <si>
    <t>※ 「교복 물려 입기(중고교복 활용)」 등의 사유로 「학교주관구매」에 참여를 희망하지 않는 경우에도 아래 교복 구매 신청서의 해당란에 표시하여 제출하여 주시되, 학교의 안내 없이 교복을 개별적으로 구매하여 착오가 생기는 일이 없도록 유의하시기 바랍니다.</t>
  </si>
  <si>
    <t>*교복 자율화로 인해 교복 구입여부가 선택사항 인 경우, 반드시 학부모에게 안내</t>
  </si>
  <si>
    <t>---------------------------- 절 취 선 ----------------------------</t>
  </si>
  <si>
    <t>&lt; 교복 구매 신청서 &gt;</t>
  </si>
  <si>
    <t>※ 아래 희망하는 곳의 ( )에 「○」표 하시기 바랍니다.</t>
  </si>
  <si>
    <t>「학교주관 교복구매」에 참여
(학교에서 교복 구매)</t>
  </si>
  <si>
    <t>「학교주관 교복구매」에 미참여
[학교, 구청 등에서 실시하는 중고교복 활용사업(행사)에서 교복을 구함]</t>
  </si>
  <si>
    <t>「교복물려입기」를 통해 교복을 구하고자 함[학교 등]</t>
  </si>
  <si>
    <t>「중고교복나눔장터」에서 교복을 구하고자 함[구청 등]</t>
  </si>
  <si>
    <t>교복 학교주관구매 만족도 설문조사 실시</t>
  </si>
  <si>
    <t>2. 교복 학교주관구매에 대한 만족도 조사를 실시하기 위하여 붙임과 같이 설문지를 발송하고자 합니다.</t>
  </si>
  <si>
    <t>붙임 교복 학교주관구매 만족도 설문지 1부. 끝.</t>
  </si>
  <si>
    <t>교복 품질 향상과 향후 「교복 학교주관구매」 운영에 참고하고자 설문조사를 실시하오니 성심껏 응답하여 주시기 바랍니다.</t>
  </si>
  <si>
    <t>설문 조사 내용은 「학교주관교복구매」 운영에 따른 분석 자료로만 활용하고 그 외에 일체 다른 목적으로 사용하지 않을 것을 약속드립니다.</t>
  </si>
  <si>
    <t>영역</t>
  </si>
  <si>
    <t>내용</t>
  </si>
  <si>
    <t>매우 만족</t>
  </si>
  <si>
    <t>만족</t>
  </si>
  <si>
    <t>보통</t>
  </si>
  <si>
    <t>불만</t>
  </si>
  <si>
    <t>매우 불만</t>
  </si>
  <si>
    <t>가격</t>
  </si>
  <si>
    <t>교복 가격에 만족한다.</t>
  </si>
  <si>
    <t>품질(바느질, 재질 등)</t>
  </si>
  <si>
    <t>상의 재질에 만족한다.</t>
  </si>
  <si>
    <t>상의 바느질 및 마감 처리에 만족한다.</t>
  </si>
  <si>
    <t>하의 재질에 만족한다.</t>
  </si>
  <si>
    <t>하의 바느질 및 마감 처리에 만족한다.</t>
  </si>
  <si>
    <t>치수</t>
  </si>
  <si>
    <t>교복 치수에 만족한다.</t>
  </si>
  <si>
    <t>구매절차 및 사후관리</t>
  </si>
  <si>
    <t>구매 안내 방식 및 친절도에 만족한다.</t>
  </si>
  <si>
    <t>교복 수령 방식(구매 장소 등)에 만족한다.</t>
  </si>
  <si>
    <t>교복 수령 시기에 만족한다.</t>
  </si>
  <si>
    <t>치수 및 불량 교환 방식, A/S 절차 및 방식에 만족한다.</t>
  </si>
  <si>
    <t>소계</t>
  </si>
  <si>
    <t>총점(10문항×10점=100점 만점 중 조사자의 점수)</t>
  </si>
  <si>
    <t>합계 (          )점</t>
  </si>
  <si>
    <t>전체조사자의 점수합계/조사자수 = 만족도(학교작성)</t>
  </si>
  <si>
    <t>평균 (          )점</t>
  </si>
  <si>
    <t>※ 동복/하복별로 실시하고, 항목별 평균을 합산하여 전체 만족도를 확인합니다.</t>
  </si>
  <si>
    <t>[ 기타 의견 ]</t>
  </si>
  <si>
    <t>위 임 장</t>
  </si>
  <si>
    <t>○ 상 호 :</t>
  </si>
  <si>
    <t>○ 사업자등록번호 :</t>
  </si>
  <si>
    <t>○ 대 표 자 :</t>
  </si>
  <si>
    <t>○ 주 소 :</t>
  </si>
  <si>
    <t>○ 전 화 번 호 :</t>
  </si>
  <si>
    <t>성  명</t>
  </si>
  <si>
    <t>주  소</t>
  </si>
  <si>
    <t>붙임 1. 대리인 재직증명서 1부.</t>
  </si>
  <si>
    <t xml:space="preserve">      2. 사회보장보험 납입증명서(가입증명서) 1부.(4대 보험 중 한가지만 제출)</t>
  </si>
  <si>
    <t>위임자 :                                        (인)</t>
  </si>
  <si>
    <t>○ 개인정보의 수집 및 이용 목적：입찰업체 대표자 및 위임자 확인용</t>
  </si>
  <si>
    <t>○ 수집하려는 개인정보 항목：대표자 및 위임자 생년월일, 전화번호, 주소</t>
  </si>
  <si>
    <t>○ 개인정보의 보유 및 이용 기간：입찰등록서류 보존기간 만료 후 폐기</t>
  </si>
  <si>
    <t>○ 상기 정보제공에 대한 동의는 거부할 권리가 있으며 동의하지 않을 경우 입찰참가자격 등록에 제한이 있음을 알려드립니다.</t>
  </si>
  <si>
    <t>동의 □                    동의하지 않음 □</t>
  </si>
  <si>
    <t>(이 응답란은 제출자가 자필로 표시하는 빈 칸이며, 어떤 값도 자동 입력·저장·집계하지 않습니다.)</t>
  </si>
  <si>
    <t>업 체 명：</t>
  </si>
  <si>
    <t>사업자등록번호：</t>
  </si>
  <si>
    <t>대 표 자：                                        (인)</t>
  </si>
  <si>
    <t>당사는 「지방계약법」제6조의2에 따라 모든 공사·용역·물품 등의 입찰에 참가하거나 수의계약을 체결하면서 아래의 내용을 이행할 것을 약속하며, 이를 위반할 경우 입찰·낙찰의 취소, 계약의 해제·해지 및 부정당업자의 입찰참가자격 제한 등 모든 불이익을 감수하고, 이에 대해 민·형사상 어떠한 이의도 제기하지 않을 것임을 서약합니다.</t>
  </si>
  <si>
    <t>1. 입찰, 낙찰, 계약의 체결 및 이행, 제16조에 따른 감독, 제17조에 따른 검사와 관련된 직접 또는 간접적인 사례(사례금), 증여, 금품·향응 등(친인척 등에 대한 부정한 취업 제공 포함)의 부당한 이익을 제공하지 않겠습니다.</t>
  </si>
  <si>
    <t>2. 특정인의 낙찰을 위한 담합 등 입찰의 자유경쟁을 방해하는 행위나 불공정한 행위를 하지 않겠습니다.</t>
  </si>
  <si>
    <t>3. 공정한 직무수행을 방해하는 알선·청탁을 통하여 입찰 또는 계약과 관련된 특정 정보의 제공을 요구하거나 받는 행위를 하지 않겠습니다.</t>
  </si>
  <si>
    <t>4. 회사 임·직원이 관계 공무원에게 금품, 향응 등(친인척 등에 대한 부정한 취업 제공 포함)을 제공하거나 담합 등 불공정 행위를 하지 않도록 하는 회사윤리강령과 공익신고자에 대해서 비밀보장 보호 및 일체의 불이익처분을 하지 않는 사규를 제정토록 노력하겠습니다.</t>
  </si>
  <si>
    <t>20        .    .    .</t>
  </si>
  <si>
    <t>서약자 업체명 :                              대표 :                              (인)</t>
  </si>
  <si>
    <t>교복 품목별 금액표(품목별 1인당 계약단가)</t>
  </si>
  <si>
    <t>2. 산출내역(※ 단가, 부가가치세 및 부속품, 부가비용(기장수선비 등) 일체 포함)</t>
  </si>
  <si>
    <t>■ 필수 항목</t>
  </si>
  <si>
    <t>금액비율(%)</t>
  </si>
  <si>
    <t>계약 금액(원단위 절사)</t>
  </si>
  <si>
    <t>※ 본교 학생(신입생, 재학생, 전입생) 교복 구매 또는 희망에 따른 추가구매 시에도 동일하게 위의 단가로 납품할 것을 서약합니다.</t>
  </si>
  <si>
    <t>20        년    월    일</t>
  </si>
  <si>
    <t>업체명 :                              대표자                              (인)</t>
  </si>
  <si>
    <t>※ 최종 낙찰자는 당초 제출한 단가 비율표대로 작성하여 주시기 바랍니다.</t>
  </si>
  <si>
    <t>□ 제안서 접수 결과 □</t>
  </si>
  <si>
    <t>접수번호</t>
  </si>
  <si>
    <t>접수일자</t>
  </si>
  <si>
    <t>업체현황</t>
  </si>
  <si>
    <t>접수_x000D_
일자</t>
  </si>
  <si>
    <t>접수_x000D_
번호</t>
  </si>
  <si>
    <t>회사현황</t>
  </si>
  <si>
    <t>접수인(대리인)현황</t>
  </si>
  <si>
    <t>샘플 반환</t>
  </si>
  <si>
    <t xml:space="preserve">_x000D_
</t>
  </si>
  <si>
    <t>번호</t>
  </si>
  <si>
    <t>접수인</t>
  </si>
  <si>
    <t>일자</t>
  </si>
  <si>
    <t>수령인</t>
  </si>
  <si>
    <t>※ 샘플은 낙찰업체를 제외하고, 낙찰자 결정 이후 7일 이내 업체에서 수거</t>
  </si>
  <si>
    <t>(탈락업체에서 샘플 미수거 시 폐기처분 할 수 있음)</t>
  </si>
  <si>
    <t>가. 일시：</t>
  </si>
  <si>
    <t>나. 장소：</t>
  </si>
  <si>
    <t>다. 대상：</t>
  </si>
  <si>
    <t>라. 안내방법：개별통지. 끝.</t>
  </si>
  <si>
    <t>□ 정량평가 □</t>
  </si>
  <si>
    <t>수행경험</t>
  </si>
  <si>
    <t>품질인증</t>
  </si>
  <si>
    <t>접근성</t>
  </si>
  <si>
    <t>상한가격</t>
  </si>
  <si>
    <t>붙임  1. 정량 평가표 각 1부.  2. 업체별 실적, 품질 인증, 상한 가격 자료(별첨) 각 1부.  끝.</t>
  </si>
  <si>
    <t>규격 평가(제안서 평가)</t>
  </si>
  <si>
    <t>정량평가</t>
  </si>
  <si>
    <t>정성평가</t>
  </si>
  <si>
    <t>적부 판정</t>
  </si>
  <si>
    <t>비 고</t>
  </si>
  <si>
    <t>※ 적격 여부 판정 점수：합계 80점 이상</t>
  </si>
  <si>
    <t>붙임  1. 제안서 평가위원 등록부 1부.  2. 제안서 설명 업체 참가자 등록부 1부.  3. 제안서 평가의결서 및 집계표 각 1부.  4. 업체별 평가표 00부.  5. 평가위원 청렴 및 보안각서 각 1부.  끝.</t>
  </si>
  <si>
    <t>1. 일시：</t>
  </si>
  <si>
    <t>2. 장소：</t>
  </si>
  <si>
    <t>회의실</t>
  </si>
  <si>
    <t>3. 참석자 현황</t>
  </si>
  <si>
    <t>서명</t>
  </si>
  <si>
    <t>제안서 설명 업체 참가 등록부</t>
  </si>
  <si>
    <t>회사</t>
  </si>
  <si>
    <t>제안자</t>
  </si>
  <si>
    <t>제안심사_x000D_
관리번호</t>
  </si>
  <si>
    <t>※ 제안 심사 관리 번호</t>
  </si>
  <si>
    <t>○ 제안서 블라인드 평가를 위한 관리번호</t>
  </si>
  <si>
    <t>○ 접수 완료 후 제안평가 심사 실시(30분 이상 확보) 전 추첨하여 관리번호 부여</t>
  </si>
  <si>
    <t>- 관리번호는 교복 샘플과 평가위원용 제안서에 표기하여 관리한다.</t>
  </si>
  <si>
    <t>위원명</t>
  </si>
  <si>
    <t>옷감의재질
(15점)</t>
  </si>
  <si>
    <t>교복의완성도
(10점)</t>
  </si>
  <si>
    <t>A/S
(15점)</t>
  </si>
  <si>
    <t>하자
(10점)</t>
  </si>
  <si>
    <t>점수합계
(50점)</t>
  </si>
  <si>
    <t>위원별 평가 점수 중
최고점 및 최저점을 제외</t>
  </si>
  <si>
    <t>총계</t>
  </si>
  <si>
    <t>평균</t>
  </si>
  <si>
    <t>※ 학교의 제안서 평가항목에 맞게 변경 가능</t>
  </si>
  <si>
    <t>교복선정위원회 위원 청렴 및 보안 서약서</t>
  </si>
  <si>
    <t>2. ○○학교 교복 학교 주관 교복선정 위원회 지위를 이용하여 관련업체로부터 어떠한 경우에도 금품·향응·편의 등을 수수하거나 제공받지 않을 것이며, 이러한 상황이 발생하면 사업부서에 통보하여 공정한 평가가 이루어지도록 하겠습니다.</t>
  </si>
  <si>
    <t>3. 업무상 취득한 비밀을 준수하고 보안관계 규정 및 지침을 성실히 수행하겠습니다.</t>
  </si>
  <si>
    <t>4. 평가와 관련하여 알게 된 업무상 비밀을 타인에게 누설하지 않겠으며, 업무상 취득한 비밀을 누설할 때에는 관계법규에 따라 처벌을 받는 것에 이의를 제기하지 않겠습니다.</t>
  </si>
  <si>
    <t>20 년 월 일</t>
  </si>
  <si>
    <t>서 약 자  성 명 :                         (인)</t>
  </si>
  <si>
    <t>지역</t>
  </si>
  <si>
    <t>급별</t>
  </si>
  <si>
    <t>설립</t>
  </si>
  <si>
    <t>전주</t>
  </si>
  <si>
    <t>고등</t>
  </si>
  <si>
    <t>사립</t>
  </si>
  <si>
    <t>동암고등학교</t>
  </si>
  <si>
    <t>전주시 완산구 소태정4길 1</t>
  </si>
  <si>
    <t>223-5553</t>
  </si>
  <si>
    <t>특수</t>
  </si>
  <si>
    <t>동암차돌학교</t>
  </si>
  <si>
    <t>전주시 완산구 천잠로 275</t>
  </si>
  <si>
    <t>223-4443</t>
  </si>
  <si>
    <t>상산고등학교</t>
  </si>
  <si>
    <t>전주시 완산구 거마평로 130</t>
  </si>
  <si>
    <t>239-5320</t>
  </si>
  <si>
    <t>중등</t>
  </si>
  <si>
    <t>공립</t>
  </si>
  <si>
    <t>서전주중학교</t>
  </si>
  <si>
    <t>전주시 완산구 거마평로 205</t>
  </si>
  <si>
    <t>221-1359</t>
  </si>
  <si>
    <t>양현고등학교</t>
  </si>
  <si>
    <t>전주시 덕진구 틀못2길 9</t>
  </si>
  <si>
    <t>249-6103</t>
  </si>
  <si>
    <t>완산고등학교</t>
  </si>
  <si>
    <t>전주시 완산구 능안자구길 55</t>
  </si>
  <si>
    <t>220-9202</t>
  </si>
  <si>
    <t>완산여자고등학교</t>
  </si>
  <si>
    <t>전주시 완산구 덕적골1길 60</t>
  </si>
  <si>
    <t>227-4452</t>
  </si>
  <si>
    <t>완산중학교</t>
  </si>
  <si>
    <t>227-0741</t>
  </si>
  <si>
    <t>우석고등학교</t>
  </si>
  <si>
    <t>전주시 덕진구 쪽구름2길 22</t>
  </si>
  <si>
    <t>210-5202</t>
  </si>
  <si>
    <t>유일여자고등학교</t>
  </si>
  <si>
    <t>전주시 덕진구 안덕원로 301</t>
  </si>
  <si>
    <t>245-3310</t>
  </si>
  <si>
    <t>전라고등학교</t>
  </si>
  <si>
    <t>전주시 덕진구 솔내7길 25</t>
  </si>
  <si>
    <t>251-4902</t>
  </si>
  <si>
    <t>전라중학교</t>
  </si>
  <si>
    <t>전주시 덕진구 세병로 196</t>
  </si>
  <si>
    <t>252-2758</t>
  </si>
  <si>
    <t>국립</t>
  </si>
  <si>
    <t>전북대학교사범대학부설고등학교</t>
  </si>
  <si>
    <t>전주시 덕진구 백제대로 567</t>
  </si>
  <si>
    <t>270-3549</t>
  </si>
  <si>
    <t>전북여자고등학교</t>
  </si>
  <si>
    <t>전주시 덕진구 여산로 232</t>
  </si>
  <si>
    <t>210-5901</t>
  </si>
  <si>
    <t>전북중학교</t>
  </si>
  <si>
    <t>211-0993</t>
  </si>
  <si>
    <t>전일고등학교</t>
  </si>
  <si>
    <t>전주시 완산구 우전로 249</t>
  </si>
  <si>
    <t>239-3005</t>
  </si>
  <si>
    <t>전일중학교</t>
  </si>
  <si>
    <t>전주시 덕진구 모래내6길 36</t>
  </si>
  <si>
    <t>252-2709</t>
  </si>
  <si>
    <t>전주고등학교</t>
  </si>
  <si>
    <t>전주시 완산구 권삼득로 2</t>
  </si>
  <si>
    <t>285-0212</t>
  </si>
  <si>
    <t>전주곤지중학교</t>
  </si>
  <si>
    <t>전주시 완산구 매곡로 22</t>
  </si>
  <si>
    <t>230-2463</t>
  </si>
  <si>
    <t>전주공업고등학교</t>
  </si>
  <si>
    <t>전주시 덕진구 여산로 101</t>
  </si>
  <si>
    <t>210-9334</t>
  </si>
  <si>
    <t>초등</t>
  </si>
  <si>
    <t>전주교육대학교전주부설초등학교</t>
  </si>
  <si>
    <t>전주시 완산구 팔달로 74</t>
  </si>
  <si>
    <t>284-3198</t>
  </si>
  <si>
    <t>전주근영여자고등학교</t>
  </si>
  <si>
    <t>전주시 완산구 영경1길 11</t>
  </si>
  <si>
    <t>223-8984</t>
  </si>
  <si>
    <t>전주근영중학교</t>
  </si>
  <si>
    <t>223-8512</t>
  </si>
  <si>
    <t>전주금암초등학교</t>
  </si>
  <si>
    <t>전주시 덕진구 권삼득로 210</t>
  </si>
  <si>
    <t>254-2274</t>
  </si>
  <si>
    <t>전주금평초등학교</t>
  </si>
  <si>
    <t>전주시 덕진구 명주3길 16</t>
  </si>
  <si>
    <t>246-4119</t>
  </si>
  <si>
    <t>전주기린중학교</t>
  </si>
  <si>
    <t>전주시 덕진구 동부대로 739</t>
  </si>
  <si>
    <t>245-5690</t>
  </si>
  <si>
    <t>전주기린초등학교</t>
  </si>
  <si>
    <t>전주시 덕진구 견훤로 260</t>
  </si>
  <si>
    <t>241-7442</t>
  </si>
  <si>
    <t>전주기전여자고등학교</t>
  </si>
  <si>
    <t>전주시 완산구 유연로 133</t>
  </si>
  <si>
    <t>236-8932</t>
  </si>
  <si>
    <t>전주기전중학교</t>
  </si>
  <si>
    <t>236-5082</t>
  </si>
  <si>
    <t>전주남중학교</t>
  </si>
  <si>
    <t>전주시 완산구 덕적골2길 30</t>
  </si>
  <si>
    <t>282-6304</t>
  </si>
  <si>
    <t>전주남초등학교</t>
  </si>
  <si>
    <t>전주시 완산구 장승배기로 376</t>
  </si>
  <si>
    <t>284-4064</t>
  </si>
  <si>
    <t>유치원</t>
  </si>
  <si>
    <t>전주늘품유치원</t>
  </si>
  <si>
    <t>전주시 덕진구 반룡로 158-9</t>
  </si>
  <si>
    <t>214-8791</t>
  </si>
  <si>
    <t>전주대성초등학교</t>
  </si>
  <si>
    <t>전주시 완산구 고덕산1길 20</t>
  </si>
  <si>
    <t>284-9927</t>
  </si>
  <si>
    <t>전주대정초등학교</t>
  </si>
  <si>
    <t>전주시 완산구 맏내로 57</t>
  </si>
  <si>
    <t>236-9551</t>
  </si>
  <si>
    <t>전주대학교사범대학부설고등학교</t>
  </si>
  <si>
    <t>전주시 완산구 천잠로 313</t>
  </si>
  <si>
    <t>220-9501</t>
  </si>
  <si>
    <t>전주덕일중학교</t>
  </si>
  <si>
    <t>전주시 덕진구 하가로 67</t>
  </si>
  <si>
    <t>249-2600</t>
  </si>
  <si>
    <t>전주덕일초등학교</t>
  </si>
  <si>
    <t>전주시 덕진구 하가로 71</t>
  </si>
  <si>
    <t>279-3105</t>
  </si>
  <si>
    <t>전주덕진중학교</t>
  </si>
  <si>
    <t>전주시 덕진구 기린대로 541-48</t>
  </si>
  <si>
    <t>276-1578</t>
  </si>
  <si>
    <t>전주덕진초등학교</t>
  </si>
  <si>
    <t>전주시 덕진구 들사평로 61</t>
  </si>
  <si>
    <t>252-0871</t>
  </si>
  <si>
    <t>전주동북초등학교</t>
  </si>
  <si>
    <t>전주시 덕진구 견훤왕궁로 227</t>
  </si>
  <si>
    <t>252-5368</t>
  </si>
  <si>
    <t>전주동신초등학교</t>
  </si>
  <si>
    <t>전주시 덕진구 우아9길 1</t>
  </si>
  <si>
    <t>245-1527</t>
  </si>
  <si>
    <t>전주동중학교</t>
  </si>
  <si>
    <t>전주시 덕진구 심방죽로 23</t>
  </si>
  <si>
    <t>246-1394</t>
  </si>
  <si>
    <t>전주동초등학교</t>
  </si>
  <si>
    <t>전주시 완산구 물왕멀로 72</t>
  </si>
  <si>
    <t>285-0671</t>
  </si>
  <si>
    <t>전주만성중학교</t>
  </si>
  <si>
    <t>전주시 덕진구 오공로 99</t>
  </si>
  <si>
    <t>717-3008</t>
  </si>
  <si>
    <t>전주만성초등학교</t>
  </si>
  <si>
    <t>전주시 덕진구 중동로 32</t>
  </si>
  <si>
    <t>290-0900</t>
  </si>
  <si>
    <t>전주만수초등학교</t>
  </si>
  <si>
    <t>전주시 덕진구 호성로 130</t>
  </si>
  <si>
    <t>247-7751</t>
  </si>
  <si>
    <t>전주문정유치원</t>
  </si>
  <si>
    <t>전주시 완산구 구이로 1979</t>
  </si>
  <si>
    <t>237-5233</t>
  </si>
  <si>
    <t>전주문정초등학교</t>
  </si>
  <si>
    <t>221-8097</t>
  </si>
  <si>
    <t>전주문학초등학교</t>
  </si>
  <si>
    <t>전주시 완산구 문학로 30</t>
  </si>
  <si>
    <t>715-1032</t>
  </si>
  <si>
    <t>전주미산초등학교</t>
  </si>
  <si>
    <t>전주시 덕진구 전미로 160</t>
  </si>
  <si>
    <t>253-7344</t>
  </si>
  <si>
    <t>전주반월초등학교</t>
  </si>
  <si>
    <t>전주시 덕진구 혁신로 707</t>
  </si>
  <si>
    <t>212-4308</t>
  </si>
  <si>
    <t>전주북일초등학교</t>
  </si>
  <si>
    <t>전주시 덕진구 견훤로 336</t>
  </si>
  <si>
    <t>242-4097</t>
  </si>
  <si>
    <t>전주북초등학교</t>
  </si>
  <si>
    <t>전주시 덕진구 소리로 180</t>
  </si>
  <si>
    <t>241-5949</t>
  </si>
  <si>
    <t>전주삼천남초등학교</t>
  </si>
  <si>
    <t>전주시 완산구 거마남로 65</t>
  </si>
  <si>
    <t>223-2911</t>
  </si>
  <si>
    <t>전주삼천초등학교</t>
  </si>
  <si>
    <t>전주시 완산구 성지산로 38</t>
  </si>
  <si>
    <t>221-5808</t>
  </si>
  <si>
    <t>전주새뜰유치원</t>
  </si>
  <si>
    <t>전주시 덕진구 중동 803</t>
  </si>
  <si>
    <t>717-3200</t>
  </si>
  <si>
    <t>전주새솔유치원</t>
  </si>
  <si>
    <t>전주시 덕진구 화암1길 24</t>
  </si>
  <si>
    <t>274-6100</t>
  </si>
  <si>
    <t>전주새연초등학교</t>
  </si>
  <si>
    <t>전주시 완산구 봉곡로 60</t>
  </si>
  <si>
    <t>270-8181</t>
  </si>
  <si>
    <t>전주생명과학고등학교</t>
  </si>
  <si>
    <t>전주시 덕진구 안덕원로 195</t>
  </si>
  <si>
    <t>240-1712</t>
  </si>
  <si>
    <t>전주서곡중학교</t>
  </si>
  <si>
    <t>전주시 완산구 서곡6길 23</t>
  </si>
  <si>
    <t>277-7832</t>
  </si>
  <si>
    <t>전주서곡초등학교</t>
  </si>
  <si>
    <t>전주시 완산구 서곡7길 30</t>
  </si>
  <si>
    <t>278-8121</t>
  </si>
  <si>
    <t>전주서문초등학교</t>
  </si>
  <si>
    <t>전주시 완산구 서신천변11길 19</t>
  </si>
  <si>
    <t>255-4383</t>
  </si>
  <si>
    <t>전주서신중학교</t>
  </si>
  <si>
    <t>전주시 완산구 안터2길 40</t>
  </si>
  <si>
    <t>253-6617</t>
  </si>
  <si>
    <t>전주서신초등학교</t>
  </si>
  <si>
    <t>전주시 완산구 전룡로 119</t>
  </si>
  <si>
    <t>254-5461</t>
  </si>
  <si>
    <t>전주서원초등학교</t>
  </si>
  <si>
    <t>전주시 완산구 오두정길 45</t>
  </si>
  <si>
    <t>221-8056</t>
  </si>
  <si>
    <t>전주서일초등학교</t>
  </si>
  <si>
    <t>전주시 완산구 새터로 73</t>
  </si>
  <si>
    <t>251-8991</t>
  </si>
  <si>
    <t>전주서중학교</t>
  </si>
  <si>
    <t>전주시 완산구 당산로 2</t>
  </si>
  <si>
    <t>254-2667</t>
  </si>
  <si>
    <t>전주서천초등학교</t>
  </si>
  <si>
    <t>전주시 완산구 당산로 9</t>
  </si>
  <si>
    <t>274-7075</t>
  </si>
  <si>
    <t>전주선화학교</t>
  </si>
  <si>
    <t>전주시 완산구 효자로 39</t>
  </si>
  <si>
    <t>220-0508</t>
  </si>
  <si>
    <t>전주성심여자고등학교</t>
  </si>
  <si>
    <t>전주시 완산구 경기전길 130</t>
  </si>
  <si>
    <t>232-2513</t>
  </si>
  <si>
    <t>전주성심여자중학교</t>
  </si>
  <si>
    <t>232-0131</t>
  </si>
  <si>
    <t>전주성현유치원</t>
  </si>
  <si>
    <t>전주시 덕진구 만성남로 39-7</t>
  </si>
  <si>
    <t>213-0511</t>
  </si>
  <si>
    <t>전주솔내고등학교</t>
  </si>
  <si>
    <t>전주시 덕진구 송천중앙로 170</t>
  </si>
  <si>
    <t>270-8208</t>
  </si>
  <si>
    <t>전주솔내유치원</t>
  </si>
  <si>
    <t>전주시 덕진구 백석4길 22</t>
  </si>
  <si>
    <t>254-3771</t>
  </si>
  <si>
    <t>전주솔빛중학교</t>
  </si>
  <si>
    <t>전주시 덕진구 솔내6길 33</t>
  </si>
  <si>
    <t>254-9912</t>
  </si>
  <si>
    <t>전주송북초등학교</t>
  </si>
  <si>
    <t>전주시 덕진구 천마산로 16</t>
  </si>
  <si>
    <t>251-5811</t>
  </si>
  <si>
    <t>전주송원초등학교</t>
  </si>
  <si>
    <t>전주시 덕진구 와룡로 25</t>
  </si>
  <si>
    <t>251-7155</t>
  </si>
  <si>
    <t>전주송천초등학교</t>
  </si>
  <si>
    <t>전주시 덕진구 송천1길 10</t>
  </si>
  <si>
    <t>252-2616</t>
  </si>
  <si>
    <t>전주신동초등학교</t>
  </si>
  <si>
    <t>전주시 덕진구 솔내로 211</t>
  </si>
  <si>
    <t>278-4011</t>
  </si>
  <si>
    <t>전주신성초등학교</t>
  </si>
  <si>
    <t>전주시 완산구 평화8길 16-36</t>
  </si>
  <si>
    <t>225-6902</t>
  </si>
  <si>
    <t>전주신일중학교</t>
  </si>
  <si>
    <t>전주시 완산구 견훤왕궁2길 8</t>
  </si>
  <si>
    <t>288-3450</t>
  </si>
  <si>
    <t>전주신흥고등학교</t>
  </si>
  <si>
    <t>전주시 완산구 서원로 399</t>
  </si>
  <si>
    <t>232-7101</t>
  </si>
  <si>
    <t>전주신흥중학교</t>
  </si>
  <si>
    <t>287-2112</t>
  </si>
  <si>
    <t>전주아름유치원</t>
  </si>
  <si>
    <t>전주시 덕진구 정여립로 874</t>
  </si>
  <si>
    <t>279-6709</t>
  </si>
  <si>
    <t>전주아중중학교</t>
  </si>
  <si>
    <t>전주시 덕진구 중상보로 16</t>
  </si>
  <si>
    <t>240-7913</t>
  </si>
  <si>
    <t>전주아중초등학교</t>
  </si>
  <si>
    <t>전주시 덕진구 인교5길 23</t>
  </si>
  <si>
    <t>241-7742</t>
  </si>
  <si>
    <t>전주양지중학교</t>
  </si>
  <si>
    <t>전주시 완산구 양지2길 11-16</t>
  </si>
  <si>
    <t>226-0052</t>
  </si>
  <si>
    <t>전주양지초등학교</t>
  </si>
  <si>
    <t>전주시 완산구 양지2길 11-26</t>
  </si>
  <si>
    <t>226-2692</t>
  </si>
  <si>
    <t>전주양현중학교</t>
  </si>
  <si>
    <t>전주시 덕진구 만성북4길 10</t>
  </si>
  <si>
    <t>717-8600</t>
  </si>
  <si>
    <t>전주양현초등학교</t>
  </si>
  <si>
    <t>전주시 덕진구 만성서로 96</t>
  </si>
  <si>
    <t>717-1700</t>
  </si>
  <si>
    <t>전주여울초등학교</t>
  </si>
  <si>
    <t>전주시 완산구 고사평8길 11</t>
  </si>
  <si>
    <t>255-9077</t>
  </si>
  <si>
    <t>전주여자고등학교</t>
  </si>
  <si>
    <t>전주시 덕진구 모래내6길 14</t>
  </si>
  <si>
    <t>710-5561</t>
  </si>
  <si>
    <t>전주여자상업고등학교</t>
  </si>
  <si>
    <t>전주시 완산구 따박골2길 21</t>
  </si>
  <si>
    <t>220-6401</t>
  </si>
  <si>
    <t>전주영생고등학교</t>
  </si>
  <si>
    <t>전주시 완산구 천잠로 333</t>
  </si>
  <si>
    <t>220-3500</t>
  </si>
  <si>
    <t>전주오송중학교</t>
  </si>
  <si>
    <t>전주시 덕진구 천마산로 69</t>
  </si>
  <si>
    <t>250-4301</t>
  </si>
  <si>
    <t>전주오송초등학교</t>
  </si>
  <si>
    <t>전주시 덕진구 천마산로 87</t>
  </si>
  <si>
    <t>251-6472</t>
  </si>
  <si>
    <t>전주온고을중학교</t>
  </si>
  <si>
    <t>전주시 덕진구 무삼지로 26</t>
  </si>
  <si>
    <t>245-5219</t>
  </si>
  <si>
    <t>전주온빛중학교</t>
  </si>
  <si>
    <t>전주시 덕진구 틀못4길 10</t>
  </si>
  <si>
    <t>214-8452</t>
  </si>
  <si>
    <t>전주온빛초등학교</t>
  </si>
  <si>
    <t>전주시 덕진구 틀못3길 7</t>
  </si>
  <si>
    <t>249-6602</t>
  </si>
  <si>
    <t>전주온샘유치원</t>
  </si>
  <si>
    <t>전주시 덕진구 심방죽로 24</t>
  </si>
  <si>
    <t>242-5412</t>
  </si>
  <si>
    <t>전주완산서초등학교</t>
  </si>
  <si>
    <t>전주시 완산구 안행로 127</t>
  </si>
  <si>
    <t>284-9303</t>
  </si>
  <si>
    <t>전주완산초등학교</t>
  </si>
  <si>
    <t>284-8844</t>
  </si>
  <si>
    <t>전주용덕초등학교</t>
  </si>
  <si>
    <t>전주시 덕진구 용덕길 30</t>
  </si>
  <si>
    <t>211-1626</t>
  </si>
  <si>
    <t>전주용소중학교</t>
  </si>
  <si>
    <t>전주시 덕진구 송천로 112</t>
  </si>
  <si>
    <t>270-0366</t>
  </si>
  <si>
    <t>전주용소초등학교</t>
  </si>
  <si>
    <t>전주시 덕진구 송천4길 38</t>
  </si>
  <si>
    <t>270-0200</t>
  </si>
  <si>
    <t>전주용와초등학교</t>
  </si>
  <si>
    <t>전주시 완산구 장승배기로 14</t>
  </si>
  <si>
    <t>237-3142</t>
  </si>
  <si>
    <t>전주용흥중학교</t>
  </si>
  <si>
    <t>전주시 완산구 장승배기로 12</t>
  </si>
  <si>
    <t>237-2732</t>
  </si>
  <si>
    <t>전주용흥초등학교</t>
  </si>
  <si>
    <t>전주시 완산구 삼천천변1길 16</t>
  </si>
  <si>
    <t>227-4636</t>
  </si>
  <si>
    <t>전주우림중학교</t>
  </si>
  <si>
    <t>전주시 완산구 우전로 119</t>
  </si>
  <si>
    <t>220-4910</t>
  </si>
  <si>
    <t>전주우림초등학교</t>
  </si>
  <si>
    <t>전주시 완산구 소태정로 21</t>
  </si>
  <si>
    <t>715-1052</t>
  </si>
  <si>
    <t>전주우아중학교</t>
  </si>
  <si>
    <t>전주시 덕진구 호성로 6</t>
  </si>
  <si>
    <t>241-2652</t>
  </si>
  <si>
    <t>전주우전중학교</t>
  </si>
  <si>
    <t>전주시 완산구 쑥고개로 375-28</t>
  </si>
  <si>
    <t>222-8933</t>
  </si>
  <si>
    <t>전주우전초등학교</t>
  </si>
  <si>
    <t>전주시 완산구 우전2길 11</t>
  </si>
  <si>
    <t>221-9892</t>
  </si>
  <si>
    <t>전주원동초등학교</t>
  </si>
  <si>
    <t>전주시 덕진구 원동로 3</t>
  </si>
  <si>
    <t>212-9119</t>
  </si>
  <si>
    <t>전주유치원</t>
  </si>
  <si>
    <t>전주시 완산구 대동로 33</t>
  </si>
  <si>
    <t>253-9561</t>
  </si>
  <si>
    <t>전주유화학교</t>
  </si>
  <si>
    <t>전주시 덕진구 모래내6길 26-16</t>
  </si>
  <si>
    <t>253-1238</t>
  </si>
  <si>
    <t>전주은화학교</t>
  </si>
  <si>
    <t>전주시 완산구 효자로 28-20</t>
  </si>
  <si>
    <t>220-0902</t>
  </si>
  <si>
    <t>전주인봉초등학교</t>
  </si>
  <si>
    <t>전주시 덕진구 무삼지로 7</t>
  </si>
  <si>
    <t>240-1908</t>
  </si>
  <si>
    <t>전주인후초등학교</t>
  </si>
  <si>
    <t>전주시 덕진구 무삼지로 67</t>
  </si>
  <si>
    <t>244-8983</t>
  </si>
  <si>
    <t>전주자연초등학교</t>
  </si>
  <si>
    <t>전주시 덕진구 세병로 150</t>
  </si>
  <si>
    <t>717-2300</t>
  </si>
  <si>
    <t>전주장동초등학교</t>
  </si>
  <si>
    <t>전주시 덕진구 원장동안길 73</t>
  </si>
  <si>
    <t>211-9494</t>
  </si>
  <si>
    <t>전주전라초등학교</t>
  </si>
  <si>
    <t>246-7356</t>
  </si>
  <si>
    <t>전주전일초등학교</t>
  </si>
  <si>
    <t>전주시 덕진구 태진로 98</t>
  </si>
  <si>
    <t>251-7121</t>
  </si>
  <si>
    <t>전주제일고등학교</t>
  </si>
  <si>
    <t>전주시 완산구 관선5길 15</t>
  </si>
  <si>
    <t>284-3161</t>
  </si>
  <si>
    <t>전주조촌초등학교</t>
  </si>
  <si>
    <t>전주시 덕진구 쪽구름로 39</t>
  </si>
  <si>
    <t>211-1574</t>
  </si>
  <si>
    <t>전주중산초등학교</t>
  </si>
  <si>
    <t>전주시 완산구 중산중앙로 9-10</t>
  </si>
  <si>
    <t>220-6500</t>
  </si>
  <si>
    <t>전주중앙여자고등학교</t>
  </si>
  <si>
    <t>전주시 덕진구 석소로 25</t>
  </si>
  <si>
    <t>240-1822</t>
  </si>
  <si>
    <t>전주중앙중학교</t>
  </si>
  <si>
    <t>전주시 덕진구 공북2길 20</t>
  </si>
  <si>
    <t>252-2364</t>
  </si>
  <si>
    <t>전주중앙초등학교</t>
  </si>
  <si>
    <t>전주시 완산구 경기전길 99</t>
  </si>
  <si>
    <t>282-6003</t>
  </si>
  <si>
    <t>전주중인초등학교</t>
  </si>
  <si>
    <t>전주시 완산구 중인1길 80</t>
  </si>
  <si>
    <t>222-5971</t>
  </si>
  <si>
    <t>전주중학교</t>
  </si>
  <si>
    <t>전주시 덕진구 솔내5길 9</t>
  </si>
  <si>
    <t>273-1916</t>
  </si>
  <si>
    <t>전주지곡초등학교</t>
  </si>
  <si>
    <t>전주시 완산구 평화로 85</t>
  </si>
  <si>
    <t>280-0505</t>
  </si>
  <si>
    <t>전주진북초등학교</t>
  </si>
  <si>
    <t>전주시 덕진구 진북1길 11</t>
  </si>
  <si>
    <t>252-1102</t>
  </si>
  <si>
    <t>전주초등학교</t>
  </si>
  <si>
    <t>254-2373</t>
  </si>
  <si>
    <t>전주초포초등학교</t>
  </si>
  <si>
    <t>전주시 덕진구 초포로 171</t>
  </si>
  <si>
    <t>253-8151</t>
  </si>
  <si>
    <t>전주팔복초등학교</t>
  </si>
  <si>
    <t>전주시 덕진구 팔과정로 181</t>
  </si>
  <si>
    <t>211-2774</t>
  </si>
  <si>
    <t>전주평화중학교</t>
  </si>
  <si>
    <t>전주시 완산구 평화로 74</t>
  </si>
  <si>
    <t>221-8793</t>
  </si>
  <si>
    <t>전주평화초등학교</t>
  </si>
  <si>
    <t>전주시 완산구 꽃밭정로 65</t>
  </si>
  <si>
    <t>284-9500</t>
  </si>
  <si>
    <t>전주푸른샘유치원</t>
  </si>
  <si>
    <t>전주시 완산구 홍산로 80</t>
  </si>
  <si>
    <t>714-2511</t>
  </si>
  <si>
    <t>전주풍남유치원</t>
  </si>
  <si>
    <t>전주시 완산구 견훤왕궁로 16</t>
  </si>
  <si>
    <t>286-2162</t>
  </si>
  <si>
    <t>전주풍남중학교</t>
  </si>
  <si>
    <t>전주시 완산구 거마평로 83</t>
  </si>
  <si>
    <t>223-3502</t>
  </si>
  <si>
    <t>전주풍남초등학교</t>
  </si>
  <si>
    <t>286-4281</t>
  </si>
  <si>
    <t>전주하가초등학교</t>
  </si>
  <si>
    <t>전주시 덕진구 경동로 11</t>
  </si>
  <si>
    <t>272-1067</t>
  </si>
  <si>
    <t>전주한들초등학교</t>
  </si>
  <si>
    <t>전주시 완산구 화산천변8길 10</t>
  </si>
  <si>
    <t>227-1851</t>
  </si>
  <si>
    <t>전주한일고등학교</t>
  </si>
  <si>
    <t>전주시 완산구 백제대로 442</t>
  </si>
  <si>
    <t>274-2162</t>
  </si>
  <si>
    <t>전주해성고등학교</t>
  </si>
  <si>
    <t>전주시 완산구 계룡산길 88</t>
  </si>
  <si>
    <t>224-6110</t>
  </si>
  <si>
    <t>전주해성중학교</t>
  </si>
  <si>
    <t>237-1974</t>
  </si>
  <si>
    <t>전주호성중학교</t>
  </si>
  <si>
    <t>전주시 덕진구 배미실마을길 23</t>
  </si>
  <si>
    <t>253-6946</t>
  </si>
  <si>
    <t>전주홍산유치원</t>
  </si>
  <si>
    <t>전주시 완산구 마전들로 30</t>
  </si>
  <si>
    <t>224-9595</t>
  </si>
  <si>
    <t>전주홍산초등학교</t>
  </si>
  <si>
    <t>전주시 완산구</t>
  </si>
  <si>
    <t>230-5100</t>
  </si>
  <si>
    <t>전주화산초등학교</t>
  </si>
  <si>
    <t>전주시 완산구 따박골7길 20</t>
  </si>
  <si>
    <t>284-8805</t>
  </si>
  <si>
    <t>전주화정중학교</t>
  </si>
  <si>
    <t>전주시 덕진구 세병로 66</t>
  </si>
  <si>
    <t>717-6500</t>
  </si>
  <si>
    <t>전주화정초등학교</t>
  </si>
  <si>
    <t>전주시 덕진구 세병로 55</t>
  </si>
  <si>
    <t>270-8403</t>
  </si>
  <si>
    <t>전주효림초등학교</t>
  </si>
  <si>
    <t>전주시 완산구 강변로 128</t>
  </si>
  <si>
    <t>227-3522</t>
  </si>
  <si>
    <t>전주효문중학교</t>
  </si>
  <si>
    <t>전주시 완산구 용리로 92</t>
  </si>
  <si>
    <t>221-1131</t>
  </si>
  <si>
    <t>전주효문초등학교</t>
  </si>
  <si>
    <t>전주시 완산구 거마평로 105</t>
  </si>
  <si>
    <t>221-6834</t>
  </si>
  <si>
    <t>전주효자초등학교</t>
  </si>
  <si>
    <t>전주시 완산구 송정로 47</t>
  </si>
  <si>
    <t>221-2380</t>
  </si>
  <si>
    <t>전주효정중학교</t>
  </si>
  <si>
    <t>231-0407</t>
  </si>
  <si>
    <t>전주효천초등학교</t>
  </si>
  <si>
    <t>전주시 완산구 효천중앙로 31</t>
  </si>
  <si>
    <t>717-6100</t>
  </si>
  <si>
    <t>한국전통문화고등학교</t>
  </si>
  <si>
    <t>전주시 완산구 중인1길 68-13</t>
  </si>
  <si>
    <t>711-7704</t>
  </si>
  <si>
    <t>호남제일고등학교</t>
  </si>
  <si>
    <t>전주시 완산구 서원로 53</t>
  </si>
  <si>
    <t>220-9080</t>
  </si>
  <si>
    <t>장수</t>
  </si>
  <si>
    <t>계남중학교</t>
  </si>
  <si>
    <t>장수군 계남면 계남중길 52</t>
  </si>
  <si>
    <t>352-0979</t>
  </si>
  <si>
    <t>계남초등학교</t>
  </si>
  <si>
    <t>장수군 계남면 조곡길 1</t>
  </si>
  <si>
    <t>352-0909</t>
  </si>
  <si>
    <t>계북중학교</t>
  </si>
  <si>
    <t>장수군 계북면 장무로 1005-12</t>
  </si>
  <si>
    <t>353-1177</t>
  </si>
  <si>
    <t>계북초등학교</t>
  </si>
  <si>
    <t>장수군 계북면 문성길 7</t>
  </si>
  <si>
    <t>352-1108</t>
  </si>
  <si>
    <t>덕유샘학교</t>
  </si>
  <si>
    <t>장수군 계북면 장무로 1326</t>
  </si>
  <si>
    <t>352-7761</t>
  </si>
  <si>
    <t>백화고등학교</t>
  </si>
  <si>
    <t>장수군 장계면 백화로 4-31</t>
  </si>
  <si>
    <t>351-0106</t>
  </si>
  <si>
    <t>번암중학교</t>
  </si>
  <si>
    <t>장수군 번암면 지지로 28-12</t>
  </si>
  <si>
    <t>353-5132</t>
  </si>
  <si>
    <t>번암초등학교</t>
  </si>
  <si>
    <t>장수군 번암면 동강길 21</t>
  </si>
  <si>
    <t>353-5546</t>
  </si>
  <si>
    <t>번암초등학교동화분교장</t>
  </si>
  <si>
    <t>장수군 번암면 지지로 610</t>
  </si>
  <si>
    <t>353-5512</t>
  </si>
  <si>
    <t>산서고등학교</t>
  </si>
  <si>
    <t>장수군 산서면 보산로 1852-6</t>
  </si>
  <si>
    <t>351-4137</t>
  </si>
  <si>
    <t>산서중학교</t>
  </si>
  <si>
    <t>산서초등학교</t>
  </si>
  <si>
    <t>장수군 산서면 동백로 7</t>
  </si>
  <si>
    <t>351-4138</t>
  </si>
  <si>
    <t>수남초등학교</t>
  </si>
  <si>
    <t>장수군 장수읍 장수로 1898</t>
  </si>
  <si>
    <t>351-2511</t>
  </si>
  <si>
    <t>장계중학교</t>
  </si>
  <si>
    <t>장수군 장계면 장무로 239-6</t>
  </si>
  <si>
    <t>352-0135</t>
  </si>
  <si>
    <t>장계초등학교</t>
  </si>
  <si>
    <t>장수군 장계면 한들로 69</t>
  </si>
  <si>
    <t>351-0087</t>
  </si>
  <si>
    <t>장수고등학교</t>
  </si>
  <si>
    <t>장수군 장수읍 장천로 254-16</t>
  </si>
  <si>
    <t>350-5123</t>
  </si>
  <si>
    <t>장수중학교</t>
  </si>
  <si>
    <t>장수군 장수읍 호비로 68</t>
  </si>
  <si>
    <t>351-2383</t>
  </si>
  <si>
    <t>장수초등학교</t>
  </si>
  <si>
    <t>장수군 장수읍 향교길 11-8</t>
  </si>
  <si>
    <t>351-5514</t>
  </si>
  <si>
    <t>장수한사랑유치원</t>
  </si>
  <si>
    <t>장수군 장수읍 장천로 237</t>
  </si>
  <si>
    <t>353-8832</t>
  </si>
  <si>
    <t>전북유니텍고등학교</t>
  </si>
  <si>
    <t>장수군 장계면 장계7길 3</t>
  </si>
  <si>
    <t>351-1518</t>
  </si>
  <si>
    <t>천천중학교</t>
  </si>
  <si>
    <t>장수군 천천면 춘송길 47</t>
  </si>
  <si>
    <t>353-1092</t>
  </si>
  <si>
    <t>천천초등학교</t>
  </si>
  <si>
    <t>장수군 천천면 송탄로 22</t>
  </si>
  <si>
    <t>353-0525</t>
  </si>
  <si>
    <t>한국마사고등학교</t>
  </si>
  <si>
    <t>장수군 장계면 명덕길 14</t>
  </si>
  <si>
    <t>353-2580</t>
  </si>
  <si>
    <t>임실</t>
  </si>
  <si>
    <t>갈담초등학교</t>
  </si>
  <si>
    <t>임실군 강진면 호국로 65</t>
  </si>
  <si>
    <t>643-1895</t>
  </si>
  <si>
    <t>관촌중학교</t>
  </si>
  <si>
    <t>임실군 관촌면 사선10길 23</t>
  </si>
  <si>
    <t>642-0311</t>
  </si>
  <si>
    <t>관촌초등학교</t>
  </si>
  <si>
    <t>임실군 관촌면 사선6길 11</t>
  </si>
  <si>
    <t>642-0035</t>
  </si>
  <si>
    <t>대리초등학교</t>
  </si>
  <si>
    <t>임실군 신평면 대리로 187</t>
  </si>
  <si>
    <t>642-0778</t>
  </si>
  <si>
    <t>덕치초등학교</t>
  </si>
  <si>
    <t>임실군 덕치면 인덕로 1217</t>
  </si>
  <si>
    <t>643-5063</t>
  </si>
  <si>
    <t>마암초등학교</t>
  </si>
  <si>
    <t>임실군 운암면 마암2길 84</t>
  </si>
  <si>
    <t>222-6090</t>
  </si>
  <si>
    <t>삼계중학교</t>
  </si>
  <si>
    <t>임실군 삼계면 삼계2길 16</t>
  </si>
  <si>
    <t>642-2970</t>
  </si>
  <si>
    <t>삼계초등학교</t>
  </si>
  <si>
    <t>임실군 삼계면 삼계1길 20-3</t>
  </si>
  <si>
    <t>642-7506</t>
  </si>
  <si>
    <t>섬진중학교</t>
  </si>
  <si>
    <t>임실군 강진면 강운로 87</t>
  </si>
  <si>
    <t>643-1101</t>
  </si>
  <si>
    <t>성수중학교</t>
  </si>
  <si>
    <t>임실군 성수면 월삼로</t>
  </si>
  <si>
    <t>642-9014</t>
  </si>
  <si>
    <t>성수초등학교</t>
  </si>
  <si>
    <t>임실군 성수면 임진로 189</t>
  </si>
  <si>
    <t>642-9011</t>
  </si>
  <si>
    <t>신평초등학교</t>
  </si>
  <si>
    <t>임실군 신평면 가덕로 683</t>
  </si>
  <si>
    <t>643-7005</t>
  </si>
  <si>
    <t>오수중학교</t>
  </si>
  <si>
    <t>임실군 오수면 충효로 2099-15</t>
  </si>
  <si>
    <t>642-5475</t>
  </si>
  <si>
    <t>오수초등학교</t>
  </si>
  <si>
    <t>임실군 오수면 충효로 2059</t>
  </si>
  <si>
    <t>642-5005</t>
  </si>
  <si>
    <t>운암초등학교</t>
  </si>
  <si>
    <t>임실군 운암면 상운길 12</t>
  </si>
  <si>
    <t>643-0005</t>
  </si>
  <si>
    <t>임실고등학교</t>
  </si>
  <si>
    <t>임실군 임실읍 봉황로 257</t>
  </si>
  <si>
    <t>644-7512</t>
  </si>
  <si>
    <t>임실기림초등학교</t>
  </si>
  <si>
    <t>임실군 임실읍 봉황로 369</t>
  </si>
  <si>
    <t>642-2155</t>
  </si>
  <si>
    <t>임실동중학교</t>
  </si>
  <si>
    <t>임실군 임실읍 봉황로 147</t>
  </si>
  <si>
    <t>642-2537</t>
  </si>
  <si>
    <t>임실둥지유치원</t>
  </si>
  <si>
    <t>임실군 임실읍 봉황7길 15-3</t>
  </si>
  <si>
    <t>643-9506</t>
  </si>
  <si>
    <t>임실초등학교</t>
  </si>
  <si>
    <t>임실군 임실읍 봉황로 64-12</t>
  </si>
  <si>
    <t>643-5752</t>
  </si>
  <si>
    <t>전북펫고등학교</t>
  </si>
  <si>
    <t>임실군 오수면 충효로 2099-23</t>
  </si>
  <si>
    <t>642-5081</t>
  </si>
  <si>
    <t>지사중학교</t>
  </si>
  <si>
    <t>임실군 지사면 충효로 2469</t>
  </si>
  <si>
    <t>642-4683</t>
  </si>
  <si>
    <t>지사초등학교</t>
  </si>
  <si>
    <t>임실군 지사면 방계3길 10</t>
  </si>
  <si>
    <t>642-4064</t>
  </si>
  <si>
    <t>청웅중학교</t>
  </si>
  <si>
    <t>임실군 청웅면 청웅로 131-7</t>
  </si>
  <si>
    <t>643-8020</t>
  </si>
  <si>
    <t>청웅초등학교</t>
  </si>
  <si>
    <t>임실군 청웅면 청웅로 188</t>
  </si>
  <si>
    <t>643-9470</t>
  </si>
  <si>
    <t>한국치즈과학고등학교</t>
  </si>
  <si>
    <t>임실군 강진면 갈담3길 48</t>
  </si>
  <si>
    <t>643-1308</t>
  </si>
  <si>
    <t>순창</t>
  </si>
  <si>
    <t>구림중학교</t>
  </si>
  <si>
    <t>순창군 구림면 방화로 6</t>
  </si>
  <si>
    <t>652-8435</t>
  </si>
  <si>
    <t>구림초등학교</t>
  </si>
  <si>
    <t>652-8424</t>
  </si>
  <si>
    <t>금과초등학교</t>
  </si>
  <si>
    <t>순창군 금과면 신매우1길 11</t>
  </si>
  <si>
    <t>652-6054</t>
  </si>
  <si>
    <t>동계고등학교</t>
  </si>
  <si>
    <t>순창군 동계면 강동로 74</t>
  </si>
  <si>
    <t>652-4305</t>
  </si>
  <si>
    <t>동계중학교</t>
  </si>
  <si>
    <t>동계초등학교</t>
  </si>
  <si>
    <t>순창군 동계면 동계로 35</t>
  </si>
  <si>
    <t>652-4043</t>
  </si>
  <si>
    <t>동산초등학교</t>
  </si>
  <si>
    <t>순창군 복흥면 동산길 17</t>
  </si>
  <si>
    <t>652-7449</t>
  </si>
  <si>
    <t>복흥중학교</t>
  </si>
  <si>
    <t>순창군 복흥면 금월로 33-4</t>
  </si>
  <si>
    <t>652-7566</t>
  </si>
  <si>
    <t>복흥초등학교</t>
  </si>
  <si>
    <t>순창군 복흥면 정산로 12</t>
  </si>
  <si>
    <t>652-1612</t>
  </si>
  <si>
    <t>새솔중학교</t>
  </si>
  <si>
    <t>순창군 순창읍 장류로 295-11</t>
  </si>
  <si>
    <t>653-2644</t>
  </si>
  <si>
    <t>순창고등학교</t>
  </si>
  <si>
    <t>순창군 순창읍 옥천로 67-14</t>
  </si>
  <si>
    <t>653-2792</t>
  </si>
  <si>
    <t>순창북중학교</t>
  </si>
  <si>
    <t>순창군 순창읍 옥천로 67-13</t>
  </si>
  <si>
    <t>653-2675</t>
  </si>
  <si>
    <t>순창옥천유치원</t>
  </si>
  <si>
    <t>순창군 순창읍 순창6길 37</t>
  </si>
  <si>
    <t>653-6566</t>
  </si>
  <si>
    <t>순창제일고등학교</t>
  </si>
  <si>
    <t>순창군 순창읍 담순로 1411</t>
  </si>
  <si>
    <t>653-1992</t>
  </si>
  <si>
    <t>순창중앙초등학교</t>
  </si>
  <si>
    <t>순창군 순창읍 장류로 385</t>
  </si>
  <si>
    <t>653-2524</t>
  </si>
  <si>
    <t>순창중학교</t>
  </si>
  <si>
    <t>순창군 순창읍 담순로 1418</t>
  </si>
  <si>
    <t>653-2727</t>
  </si>
  <si>
    <t>순창초등학교</t>
  </si>
  <si>
    <t>순창군 순창읍 순창7길 40</t>
  </si>
  <si>
    <t>653-3162</t>
  </si>
  <si>
    <t>시산초등학교</t>
  </si>
  <si>
    <t>순창군 쌍치면 시산길 45</t>
  </si>
  <si>
    <t>652-2656</t>
  </si>
  <si>
    <t>쌍치중학교</t>
  </si>
  <si>
    <t>순창군 쌍치면 쌍계로 30-5</t>
  </si>
  <si>
    <t>652-2773</t>
  </si>
  <si>
    <t>쌍치초등학교</t>
  </si>
  <si>
    <t>순창군 쌍치면 반계길 40</t>
  </si>
  <si>
    <t>652-2508</t>
  </si>
  <si>
    <t>옥천초등학교</t>
  </si>
  <si>
    <t>순창군 순창읍 순창6길 33</t>
  </si>
  <si>
    <t>653-3595</t>
  </si>
  <si>
    <t>유등초등학교</t>
  </si>
  <si>
    <t>순창군 유등면 유등로 413</t>
  </si>
  <si>
    <t>652-1007</t>
  </si>
  <si>
    <t>인계초등학교</t>
  </si>
  <si>
    <t>순창군 인계면 인성로 162-7</t>
  </si>
  <si>
    <t>652-7007</t>
  </si>
  <si>
    <t>적성초등학교</t>
  </si>
  <si>
    <t>순창군 적성면 적성로 149-7</t>
  </si>
  <si>
    <t>652-1694</t>
  </si>
  <si>
    <t>팔덕초등학교</t>
  </si>
  <si>
    <t>순창군 팔덕면 강천로 328</t>
  </si>
  <si>
    <t>652-5888</t>
  </si>
  <si>
    <t>풍산초등학교</t>
  </si>
  <si>
    <t>순창군 풍산면 금풍로 997-10</t>
  </si>
  <si>
    <t>652-9509</t>
  </si>
  <si>
    <t>고창</t>
  </si>
  <si>
    <t>가평초등학교</t>
  </si>
  <si>
    <t>고창군 신림면 가평로 472</t>
  </si>
  <si>
    <t>562-4167</t>
  </si>
  <si>
    <t>강호항공고등학교</t>
  </si>
  <si>
    <t>고창군 고창읍 중거리당산로 78-22</t>
  </si>
  <si>
    <t>560-5000</t>
  </si>
  <si>
    <t>고수초등학교</t>
  </si>
  <si>
    <t>고창군 고수면 고수로 93</t>
  </si>
  <si>
    <t>562-0005</t>
  </si>
  <si>
    <t>고창고등학교</t>
  </si>
  <si>
    <t>고창군 고창읍 모양성로 50</t>
  </si>
  <si>
    <t>561-2441</t>
  </si>
  <si>
    <t>고창꿈푸른유치원</t>
  </si>
  <si>
    <t>고창군 고창읍 남정2길 30</t>
  </si>
  <si>
    <t>561-6538</t>
  </si>
  <si>
    <t>고창남중학교</t>
  </si>
  <si>
    <t>고창군 성송면 대성로 877</t>
  </si>
  <si>
    <t>563-1944</t>
  </si>
  <si>
    <t>고창남초등학교</t>
  </si>
  <si>
    <t>고창군 고창읍 중거리당산로 111</t>
  </si>
  <si>
    <t>564-2078</t>
  </si>
  <si>
    <t>고창부안초등학교</t>
  </si>
  <si>
    <t>고창군 부안면 복분자로 806</t>
  </si>
  <si>
    <t>562-2020</t>
  </si>
  <si>
    <t>고창북고등학교</t>
  </si>
  <si>
    <t>고창군 흥덕면 선운대로 3714-32</t>
  </si>
  <si>
    <t>562-6978</t>
  </si>
  <si>
    <t>고창북중학교</t>
  </si>
  <si>
    <t>고창군 부안면 복분자로 788-141</t>
  </si>
  <si>
    <t>562-2572</t>
  </si>
  <si>
    <t>고창중학교</t>
  </si>
  <si>
    <t>고창군 고창읍 보릿골로 35</t>
  </si>
  <si>
    <t>564-2901</t>
  </si>
  <si>
    <t>고창초등학교</t>
  </si>
  <si>
    <t>고창군 고창읍 중앙로 259</t>
  </si>
  <si>
    <t>560-1703~4</t>
  </si>
  <si>
    <t>공음중학교</t>
  </si>
  <si>
    <t>고창군 공음면 공음길 74-6</t>
  </si>
  <si>
    <t>562-7323</t>
  </si>
  <si>
    <t>공음초등학교</t>
  </si>
  <si>
    <t>고창군 공음면 공음길 20</t>
  </si>
  <si>
    <t>562-7006</t>
  </si>
  <si>
    <t>대산초등학교</t>
  </si>
  <si>
    <t>고창군 대산면 장자산로 669</t>
  </si>
  <si>
    <t>562-8072</t>
  </si>
  <si>
    <t>대성중학교</t>
  </si>
  <si>
    <t>고창군 대산면 고산성로 29-11</t>
  </si>
  <si>
    <t>562-8050</t>
  </si>
  <si>
    <t>대아초등학교</t>
  </si>
  <si>
    <t>고창군 아산면 녹두로 776</t>
  </si>
  <si>
    <t>562-5006</t>
  </si>
  <si>
    <t>동호초등학교</t>
  </si>
  <si>
    <t>고창군 해리면 신동호길 18</t>
  </si>
  <si>
    <t>563-6298</t>
  </si>
  <si>
    <t>매산초등학교</t>
  </si>
  <si>
    <t>고창군 대산면 매산초등길 22</t>
  </si>
  <si>
    <t>562-8018</t>
  </si>
  <si>
    <t>무장초등학교</t>
  </si>
  <si>
    <t>고창군 무장면 무장초등길 24</t>
  </si>
  <si>
    <t>562-9011</t>
  </si>
  <si>
    <t>봉암초등학교</t>
  </si>
  <si>
    <t>고창군 부안면 인촌로 505</t>
  </si>
  <si>
    <t>562-1717</t>
  </si>
  <si>
    <t>상하중학교</t>
  </si>
  <si>
    <t>고창군 상하면 상하1길 34</t>
  </si>
  <si>
    <t>564-6260</t>
  </si>
  <si>
    <t>상하초등학교</t>
  </si>
  <si>
    <t>고창군 상하면 상하1길 36</t>
  </si>
  <si>
    <t>563-0016</t>
  </si>
  <si>
    <t>성내중학교</t>
  </si>
  <si>
    <t>고창군 성내면 선운대로 4223-11</t>
  </si>
  <si>
    <t>562-3016</t>
  </si>
  <si>
    <t>성내초등학교</t>
  </si>
  <si>
    <t>고창군 성내면 시기2길 2</t>
  </si>
  <si>
    <t>562-3210</t>
  </si>
  <si>
    <t>성송초등학교</t>
  </si>
  <si>
    <t>고창군 성송면 백토1길 10</t>
  </si>
  <si>
    <t>563-1006</t>
  </si>
  <si>
    <t>신림중학교</t>
  </si>
  <si>
    <t>고창군 신림면 대강길 19-2</t>
  </si>
  <si>
    <t>562-4006</t>
  </si>
  <si>
    <t>신림초등학교</t>
  </si>
  <si>
    <t>고창군 신림면 동법지길 61</t>
  </si>
  <si>
    <t>562-4010</t>
  </si>
  <si>
    <t>심원중학교</t>
  </si>
  <si>
    <t>고창군 심원면 심원로 158-11</t>
  </si>
  <si>
    <t>563-5066</t>
  </si>
  <si>
    <t>심원초등학교</t>
  </si>
  <si>
    <t>고창군 심원면 심원로 229</t>
  </si>
  <si>
    <t>563-5020</t>
  </si>
  <si>
    <t>아산중학교</t>
  </si>
  <si>
    <t>고창군 아산면 목동로 336</t>
  </si>
  <si>
    <t>562-5622</t>
  </si>
  <si>
    <t>아산초등학교</t>
  </si>
  <si>
    <t>고창군 아산면 영모정길 45</t>
  </si>
  <si>
    <t>562-1570</t>
  </si>
  <si>
    <t>영선중학교</t>
  </si>
  <si>
    <t>고창군 무장면 왕제산로 713</t>
  </si>
  <si>
    <t>562-9704</t>
  </si>
  <si>
    <t>자유고등학교</t>
  </si>
  <si>
    <t>고창군 고창읍 모양성로 95</t>
  </si>
  <si>
    <t>560-3600</t>
  </si>
  <si>
    <t>자유중학교</t>
  </si>
  <si>
    <t>고창군 고창읍 보릿골로 176</t>
  </si>
  <si>
    <t>560-3500</t>
  </si>
  <si>
    <t>전북인공지능고등학교</t>
  </si>
  <si>
    <t>562-9703</t>
  </si>
  <si>
    <t>해리고등학교</t>
  </si>
  <si>
    <t>고창군 해리면 해리중앙로 146</t>
  </si>
  <si>
    <t>563-6044</t>
  </si>
  <si>
    <t>해리중학교</t>
  </si>
  <si>
    <t>고창군 해리면 해리중앙로 120</t>
  </si>
  <si>
    <t>563-6072</t>
  </si>
  <si>
    <t>해리초등학교</t>
  </si>
  <si>
    <t>고창군 해리면 해리중앙로 152</t>
  </si>
  <si>
    <t>563-5319</t>
  </si>
  <si>
    <t>흥덕중학교</t>
  </si>
  <si>
    <t>고창군 흥덕면 잿말길 21</t>
  </si>
  <si>
    <t>562-6067</t>
  </si>
  <si>
    <t>흥덕초등학교</t>
  </si>
  <si>
    <t>고창군 흥덕면 흥덕초등길 13</t>
  </si>
  <si>
    <t>562-6021</t>
  </si>
  <si>
    <t>부안</t>
  </si>
  <si>
    <t>격포초등학교</t>
  </si>
  <si>
    <t>부안군 변산면 격포윗길 11</t>
  </si>
  <si>
    <t>582-8613</t>
  </si>
  <si>
    <t>계화중학교</t>
  </si>
  <si>
    <t>부안군 계화면 창북중앙길 92</t>
  </si>
  <si>
    <t>582-1502</t>
  </si>
  <si>
    <t>곰소초등학교</t>
  </si>
  <si>
    <t>부안군 진서면 작도길 7</t>
  </si>
  <si>
    <t>582-7029</t>
  </si>
  <si>
    <t>낭주중학교</t>
  </si>
  <si>
    <t>부안군 부안읍 교동1길 42</t>
  </si>
  <si>
    <t>583-8381</t>
  </si>
  <si>
    <t>동북초등학교</t>
  </si>
  <si>
    <t>부안군 동진면 제전길 63</t>
  </si>
  <si>
    <t>582-5291</t>
  </si>
  <si>
    <t>동진초등학교</t>
  </si>
  <si>
    <t>부안군 동진면 동진로 145</t>
  </si>
  <si>
    <t>583-5026</t>
  </si>
  <si>
    <t>백룡초등학교</t>
  </si>
  <si>
    <t>부안군 백산면 시기길 15</t>
  </si>
  <si>
    <t>582-2010</t>
  </si>
  <si>
    <t>백산고등학교</t>
  </si>
  <si>
    <t>부안군 백산면 백산로 379</t>
  </si>
  <si>
    <t>582-2052</t>
  </si>
  <si>
    <t>백산중학교</t>
  </si>
  <si>
    <t>582-2046</t>
  </si>
  <si>
    <t>백산초등학교</t>
  </si>
  <si>
    <t>부안군 백산면 백산로 306-7</t>
  </si>
  <si>
    <t>581-8602</t>
  </si>
  <si>
    <t>변산서중학교</t>
  </si>
  <si>
    <t>부안군 변산면 지서로 139</t>
  </si>
  <si>
    <t>582-8122</t>
  </si>
  <si>
    <t>변산중학교</t>
  </si>
  <si>
    <t>부안군 진서면 청자로 921</t>
  </si>
  <si>
    <t>582-1212</t>
  </si>
  <si>
    <t>변산초등학교</t>
  </si>
  <si>
    <t>부안군 변산면 지서1길 11</t>
  </si>
  <si>
    <t>582-8026</t>
  </si>
  <si>
    <t>보안중학교</t>
  </si>
  <si>
    <t>부안군 보안면 영전길 37</t>
  </si>
  <si>
    <t>583-6560</t>
  </si>
  <si>
    <t>부안고등학교</t>
  </si>
  <si>
    <t>부안군 부안읍 문정로 32</t>
  </si>
  <si>
    <t>584-2951</t>
  </si>
  <si>
    <t>부안남초등학교</t>
  </si>
  <si>
    <t>부안군 부안읍 연곡로 7</t>
  </si>
  <si>
    <t>584-3289</t>
  </si>
  <si>
    <t>부안동초등학교</t>
  </si>
  <si>
    <t>부안군 부안읍 석정로 313</t>
  </si>
  <si>
    <t>580-7777</t>
  </si>
  <si>
    <t>부안여자고등학교</t>
  </si>
  <si>
    <t>부안군 부안읍 교동1길 54</t>
  </si>
  <si>
    <t>584-8083</t>
  </si>
  <si>
    <t>부안중학교</t>
  </si>
  <si>
    <t>부안군 부안읍 당산로 1</t>
  </si>
  <si>
    <t>583-8352</t>
  </si>
  <si>
    <t>부안초등학교</t>
  </si>
  <si>
    <t>부안군 부안읍 부풍로 29</t>
  </si>
  <si>
    <t>580-6600</t>
  </si>
  <si>
    <t>부안해오름유치원</t>
  </si>
  <si>
    <t>부안군 부안읍 봉덕리 446</t>
  </si>
  <si>
    <t>581-8826</t>
  </si>
  <si>
    <t>삼남중학교</t>
  </si>
  <si>
    <t>부안군 부안읍 용계길 29</t>
  </si>
  <si>
    <t>583-2584</t>
  </si>
  <si>
    <t>상서중학교</t>
  </si>
  <si>
    <t>부안군 상서면 고인돌로 17</t>
  </si>
  <si>
    <t>582-5300</t>
  </si>
  <si>
    <t>서림고등학교</t>
  </si>
  <si>
    <t>부안군 부안읍 용암로 70-5</t>
  </si>
  <si>
    <t>902-7710</t>
  </si>
  <si>
    <t>영전초등학교</t>
  </si>
  <si>
    <t>부안군 보안면 부안로 1158</t>
  </si>
  <si>
    <t>582-3006</t>
  </si>
  <si>
    <t>우덕초등학교</t>
  </si>
  <si>
    <t>부안군 상서면 부안로 1971</t>
  </si>
  <si>
    <t>582-5011</t>
  </si>
  <si>
    <t>위도고등학교(휴교)</t>
  </si>
  <si>
    <t>부안군 위도면 위도로 245</t>
  </si>
  <si>
    <t>582-9822</t>
  </si>
  <si>
    <t>위도중학교</t>
  </si>
  <si>
    <t>위도초등학교</t>
  </si>
  <si>
    <t>부안군 위도면 진리잔등로 113-3</t>
  </si>
  <si>
    <t>583-3808</t>
  </si>
  <si>
    <t>전북베이커리고등학교</t>
  </si>
  <si>
    <t>부안군 행안면 춘헌길 1</t>
  </si>
  <si>
    <t>583-7337</t>
  </si>
  <si>
    <t>전북자동차고등학교</t>
  </si>
  <si>
    <t>부안군 줄포면 우포로 10</t>
  </si>
  <si>
    <t>584-9407</t>
  </si>
  <si>
    <t>주산초등학교</t>
  </si>
  <si>
    <t>부안군 주산면 주산초교길 86-11</t>
  </si>
  <si>
    <t>582-6007</t>
  </si>
  <si>
    <t>줄포중학교</t>
  </si>
  <si>
    <t>부안군 줄포면 부안로 938</t>
  </si>
  <si>
    <t>582-9810</t>
  </si>
  <si>
    <t>줄포초등학교</t>
  </si>
  <si>
    <t>부안군 줄포면 줄포초교길 16</t>
  </si>
  <si>
    <t>580-1820</t>
  </si>
  <si>
    <t>창북초등학교</t>
  </si>
  <si>
    <t>부안군 계화면 창북중앙길 115</t>
  </si>
  <si>
    <t>584-1501</t>
  </si>
  <si>
    <t>하서중학교</t>
  </si>
  <si>
    <t>부안군 하서면 변산로 852</t>
  </si>
  <si>
    <t>581-4206</t>
  </si>
  <si>
    <t>하서초등학교</t>
  </si>
  <si>
    <t>부안군 하서면 서당로 99</t>
  </si>
  <si>
    <t>582-4024</t>
  </si>
  <si>
    <t>행안초등학교</t>
  </si>
  <si>
    <t>부안군 행안면 월륜길 18</t>
  </si>
  <si>
    <t>584-1205</t>
  </si>
  <si>
    <t>군산</t>
  </si>
  <si>
    <t>개정초등학교</t>
  </si>
  <si>
    <t>군산시 개정면 동정1길 5</t>
  </si>
  <si>
    <t>452-6364</t>
  </si>
  <si>
    <t>군산가람유치원</t>
  </si>
  <si>
    <t>군산시 궁포안4길 6</t>
  </si>
  <si>
    <t>454-8008</t>
  </si>
  <si>
    <t>군산경포초등학교</t>
  </si>
  <si>
    <t>군산시 백릉로 75</t>
  </si>
  <si>
    <t>445-4772</t>
  </si>
  <si>
    <t>군산고등학교</t>
  </si>
  <si>
    <t>군산시 팔마로 177</t>
  </si>
  <si>
    <t>472-7800</t>
  </si>
  <si>
    <t>군산구암초등학교</t>
  </si>
  <si>
    <t>군산시 경암3길 64-1</t>
  </si>
  <si>
    <t>445-2405</t>
  </si>
  <si>
    <t>군산금강중학교</t>
  </si>
  <si>
    <t>군산시 황룡2길 61</t>
  </si>
  <si>
    <t>471-8230</t>
  </si>
  <si>
    <t>군산금광초등학교</t>
  </si>
  <si>
    <t>군산시 대학로 100</t>
  </si>
  <si>
    <t>462-3652</t>
  </si>
  <si>
    <t>군산금빛초등학교</t>
  </si>
  <si>
    <t>군산시 궁포3로 48</t>
  </si>
  <si>
    <t>453-9009</t>
  </si>
  <si>
    <t>군산기계공업고등학교</t>
  </si>
  <si>
    <t>군산시 군중길 28</t>
  </si>
  <si>
    <t>730-5500</t>
  </si>
  <si>
    <t>군산나운초등학교</t>
  </si>
  <si>
    <t>군산시 신설로 50</t>
  </si>
  <si>
    <t>465-8101</t>
  </si>
  <si>
    <t>군산남중학교</t>
  </si>
  <si>
    <t>군산시 대학로 222</t>
  </si>
  <si>
    <t>460-0852</t>
  </si>
  <si>
    <t>군산남초등학교</t>
  </si>
  <si>
    <t>군산시 삼학7길 4</t>
  </si>
  <si>
    <t>462-2521</t>
  </si>
  <si>
    <t>군산내흥초등학교</t>
  </si>
  <si>
    <t>군산시 사옥2길 33-18</t>
  </si>
  <si>
    <t>446-5622</t>
  </si>
  <si>
    <t>군산대성중학교</t>
  </si>
  <si>
    <t>군산시 임피면 임피향교길 44-6</t>
  </si>
  <si>
    <t>453-2127</t>
  </si>
  <si>
    <t>군산도담유치원</t>
  </si>
  <si>
    <t>군산시 칠성1길 26</t>
  </si>
  <si>
    <t>464-9215</t>
  </si>
  <si>
    <t>군산동고등학교</t>
  </si>
  <si>
    <t>군산시 달여길 50</t>
  </si>
  <si>
    <t>450-1104</t>
  </si>
  <si>
    <t>군산동산중학교</t>
  </si>
  <si>
    <t>군산시 동지곡길 100</t>
  </si>
  <si>
    <t>442-8105</t>
  </si>
  <si>
    <t>군산동원중학교</t>
  </si>
  <si>
    <t>군산시 의료원로 146</t>
  </si>
  <si>
    <t>472-2100</t>
  </si>
  <si>
    <t>군산동초등학교</t>
  </si>
  <si>
    <t>군산시 번영로 181</t>
  </si>
  <si>
    <t>452-3732</t>
  </si>
  <si>
    <t>군산명화학교</t>
  </si>
  <si>
    <t>군산시 상나운1길 37</t>
  </si>
  <si>
    <t>462-2159</t>
  </si>
  <si>
    <t>군산문화초등학교</t>
  </si>
  <si>
    <t>군산시 문화안길 51</t>
  </si>
  <si>
    <t>465-0908</t>
  </si>
  <si>
    <t>군산미성초등학교</t>
  </si>
  <si>
    <t>군산시 칠성2길 27</t>
  </si>
  <si>
    <t>464-7545</t>
  </si>
  <si>
    <t>군산미장초등학교</t>
  </si>
  <si>
    <t>군산시 미장안길 14</t>
  </si>
  <si>
    <t>440-1301</t>
  </si>
  <si>
    <t>군산바다유치원</t>
  </si>
  <si>
    <t>군산시 문화9길 18</t>
  </si>
  <si>
    <t>466-1860</t>
  </si>
  <si>
    <t>군산산북중학교</t>
  </si>
  <si>
    <t>군산시 동아로 109</t>
  </si>
  <si>
    <t>468-0222</t>
  </si>
  <si>
    <t>군산산북초등학교</t>
  </si>
  <si>
    <t>군산시 원산북2길 29</t>
  </si>
  <si>
    <t>465-2414</t>
  </si>
  <si>
    <t>군산상일고등학교</t>
  </si>
  <si>
    <t>군산시 석치1길 17</t>
  </si>
  <si>
    <t>469-7220</t>
  </si>
  <si>
    <t>군산새빛유치원</t>
  </si>
  <si>
    <t>군산시 패총로 70</t>
  </si>
  <si>
    <t>442-6425</t>
  </si>
  <si>
    <t>군산서초등학교</t>
  </si>
  <si>
    <t>군산시 중앙로 230</t>
  </si>
  <si>
    <t>445-3664</t>
  </si>
  <si>
    <t>군산서해초등학교</t>
  </si>
  <si>
    <t>군산시 의료원로 162</t>
  </si>
  <si>
    <t>468-1672</t>
  </si>
  <si>
    <t>군산서흥중학교</t>
  </si>
  <si>
    <t>군산시 축동로 129</t>
  </si>
  <si>
    <t>460-0703</t>
  </si>
  <si>
    <t>군산수송초등학교</t>
  </si>
  <si>
    <t>군산시 월명로 312</t>
  </si>
  <si>
    <t>465-2821</t>
  </si>
  <si>
    <t>군산신풍초등학교</t>
  </si>
  <si>
    <t>군산시 하나운3길 7</t>
  </si>
  <si>
    <t>465-1001</t>
  </si>
  <si>
    <t>군산신흥초등학교</t>
  </si>
  <si>
    <t>군산시 백토로 129</t>
  </si>
  <si>
    <t>467-2272</t>
  </si>
  <si>
    <t>군산아리울초등학교</t>
  </si>
  <si>
    <t>군산시 수송동로 90</t>
  </si>
  <si>
    <t>440-8804</t>
  </si>
  <si>
    <t>군산여자고등학교</t>
  </si>
  <si>
    <t>군산시 월명1길 16</t>
  </si>
  <si>
    <t>440-1110</t>
  </si>
  <si>
    <t>군산여자상업고등학교</t>
  </si>
  <si>
    <t>군산시 신지길 42-8</t>
  </si>
  <si>
    <t>460-0321</t>
  </si>
  <si>
    <t>군산영광여자고등학교</t>
  </si>
  <si>
    <t>군산시 둔배미길 21</t>
  </si>
  <si>
    <t>440-8500</t>
  </si>
  <si>
    <t>군산영광중학교</t>
  </si>
  <si>
    <t>440-8700</t>
  </si>
  <si>
    <t>군산용문초등학교</t>
  </si>
  <si>
    <t>군산시 미룡로 32-8</t>
  </si>
  <si>
    <t>466-8237</t>
  </si>
  <si>
    <t>군산우리별유치원</t>
  </si>
  <si>
    <t>군산시 경암5길 77-20</t>
  </si>
  <si>
    <t>442-6147</t>
  </si>
  <si>
    <t>군산월명중학교</t>
  </si>
  <si>
    <t>군산시 설림5길 90</t>
  </si>
  <si>
    <t>462-3334</t>
  </si>
  <si>
    <t>군산월명초등학교</t>
  </si>
  <si>
    <t>군산시 수송동로 24</t>
  </si>
  <si>
    <t>472-3001</t>
  </si>
  <si>
    <t>군산자양중학교</t>
  </si>
  <si>
    <t>군산시 옥구읍 우치산3길 40</t>
  </si>
  <si>
    <t>464-9372</t>
  </si>
  <si>
    <t>군산제일고등학교</t>
  </si>
  <si>
    <t>군산시 경기장로 142</t>
  </si>
  <si>
    <t>440-0240</t>
  </si>
  <si>
    <t>군산제일중학교</t>
  </si>
  <si>
    <t>440-3110</t>
  </si>
  <si>
    <t>군산중앙고등학교</t>
  </si>
  <si>
    <t>군산시 성산면 환동길 17</t>
  </si>
  <si>
    <t>453-9025</t>
  </si>
  <si>
    <t>군산중앙여자고등학교</t>
  </si>
  <si>
    <t>군산시 축동2길 27</t>
  </si>
  <si>
    <t>465-1602</t>
  </si>
  <si>
    <t>군산중앙유치원</t>
  </si>
  <si>
    <t>군산시 중앙로 91</t>
  </si>
  <si>
    <t>446-9171</t>
  </si>
  <si>
    <t>군산중앙중학교</t>
  </si>
  <si>
    <t>군산시 성산면 군장대길 13</t>
  </si>
  <si>
    <t>450-4000</t>
  </si>
  <si>
    <t>군산중앙초등학교</t>
  </si>
  <si>
    <t>443-1735</t>
  </si>
  <si>
    <t>군산중학교</t>
  </si>
  <si>
    <t>군산시 군중길 18</t>
  </si>
  <si>
    <t>465-5927</t>
  </si>
  <si>
    <t>군산지곡초등학교</t>
  </si>
  <si>
    <t>군산시 신지길 26</t>
  </si>
  <si>
    <t>461-3686</t>
  </si>
  <si>
    <t>군산진포중학교</t>
  </si>
  <si>
    <t>군산시 진포3길 66</t>
  </si>
  <si>
    <t>462-3206</t>
  </si>
  <si>
    <t>군산진포초등학교</t>
  </si>
  <si>
    <t>군산시 나운안길 54</t>
  </si>
  <si>
    <t>464-5694</t>
  </si>
  <si>
    <t>군산초등학교</t>
  </si>
  <si>
    <t>군산시 지곡로 68</t>
  </si>
  <si>
    <t>472-7703</t>
  </si>
  <si>
    <t>군산푸른솔초등학교</t>
  </si>
  <si>
    <t>군산시 축동로 20</t>
  </si>
  <si>
    <t>460-1708</t>
  </si>
  <si>
    <t>군산풍문초등학교</t>
  </si>
  <si>
    <t>군산시 풍마길 22</t>
  </si>
  <si>
    <t>445-2575</t>
  </si>
  <si>
    <t>군산흥남초등학교</t>
  </si>
  <si>
    <t>군산시 서흥안2길 20</t>
  </si>
  <si>
    <t>466-0018</t>
  </si>
  <si>
    <t>나포중학교</t>
  </si>
  <si>
    <t>군산시 나포면 등동1길 6-5</t>
  </si>
  <si>
    <t>453-1744</t>
  </si>
  <si>
    <t>나포초등학교</t>
  </si>
  <si>
    <t>군산시 나포면 교동1길 23</t>
  </si>
  <si>
    <t>453-1006</t>
  </si>
  <si>
    <t>당북초등학교</t>
  </si>
  <si>
    <t>군산시 옥산면 백석로 40</t>
  </si>
  <si>
    <t>462-8983</t>
  </si>
  <si>
    <t>대야남초등학교</t>
  </si>
  <si>
    <t>군산시 대야면 남군산로 116</t>
  </si>
  <si>
    <t>451-2359</t>
  </si>
  <si>
    <t>대야초등학교</t>
  </si>
  <si>
    <t>군산시 대야면 대야관통로 141-13</t>
  </si>
  <si>
    <t>451-2905</t>
  </si>
  <si>
    <t>무녀도초등학교</t>
  </si>
  <si>
    <t>군산시 옥도면 무녀도2길 33</t>
  </si>
  <si>
    <t>465-7011</t>
  </si>
  <si>
    <t>문창초등학교</t>
  </si>
  <si>
    <t>군산시 공항로 394</t>
  </si>
  <si>
    <t>466-3008</t>
  </si>
  <si>
    <t>미룡초등학교</t>
  </si>
  <si>
    <t>군산시 대학로 498-10</t>
  </si>
  <si>
    <t>467-6846</t>
  </si>
  <si>
    <t>발산초등학교</t>
  </si>
  <si>
    <t>군산시 개정면 바르메길 43</t>
  </si>
  <si>
    <t>451-2156</t>
  </si>
  <si>
    <t>새만금초등학교</t>
  </si>
  <si>
    <t>군산시 요죽5길 42</t>
  </si>
  <si>
    <t>469-7602</t>
  </si>
  <si>
    <t>서수초등학교</t>
  </si>
  <si>
    <t>군산시 서수면 항쟁로 199</t>
  </si>
  <si>
    <t>453-3021</t>
  </si>
  <si>
    <t>성산초등학교</t>
  </si>
  <si>
    <t>군산시 성산면 동군산로 39</t>
  </si>
  <si>
    <t>453-0006</t>
  </si>
  <si>
    <t>소룡초등학교</t>
  </si>
  <si>
    <t>군산시 설림길 55</t>
  </si>
  <si>
    <t>468-9103</t>
  </si>
  <si>
    <t>술산초등학교</t>
  </si>
  <si>
    <t>군산시 임피면 술산길 54</t>
  </si>
  <si>
    <t>453-3364</t>
  </si>
  <si>
    <t>오봉초등학교</t>
  </si>
  <si>
    <t>군산시 회현면 오봉길 55</t>
  </si>
  <si>
    <t>466-5323</t>
  </si>
  <si>
    <t>옥구중학교</t>
  </si>
  <si>
    <t>군산시 대야면 만자로 60</t>
  </si>
  <si>
    <t>451-2946</t>
  </si>
  <si>
    <t>옥구초등학교</t>
  </si>
  <si>
    <t>군산시 옥구읍 옥구로 50</t>
  </si>
  <si>
    <t>464-9596</t>
  </si>
  <si>
    <t>옥봉초등학교</t>
  </si>
  <si>
    <t>군산시 옥서면 옥봉초교길 29</t>
  </si>
  <si>
    <t>471-2005</t>
  </si>
  <si>
    <t>옥산초등학교</t>
  </si>
  <si>
    <t>군산시 옥산면 여로2길 40</t>
  </si>
  <si>
    <t>464-4015</t>
  </si>
  <si>
    <t>임피중학교</t>
  </si>
  <si>
    <t>군산시 서수면 항쟁로 138</t>
  </si>
  <si>
    <t>453-9642</t>
  </si>
  <si>
    <t>임피초등학교</t>
  </si>
  <si>
    <t>군산시 임피면 동헌길 38</t>
  </si>
  <si>
    <t>453-2676</t>
  </si>
  <si>
    <t>전북외국어고등학교</t>
  </si>
  <si>
    <t>군산시 해망로 525</t>
  </si>
  <si>
    <t>465-0086</t>
  </si>
  <si>
    <t>전주교육대학교군산부설초등학교</t>
  </si>
  <si>
    <t>군산시 팔마로 185</t>
  </si>
  <si>
    <t>442-2188</t>
  </si>
  <si>
    <t>창오초등학교</t>
  </si>
  <si>
    <t>군산시 성산면 동군산로 393</t>
  </si>
  <si>
    <t>453-2201</t>
  </si>
  <si>
    <t>한들고등학교</t>
  </si>
  <si>
    <t>451-2915</t>
  </si>
  <si>
    <t>해성초등학교</t>
  </si>
  <si>
    <t>군산시 옥성남길 21</t>
  </si>
  <si>
    <t>466-2775</t>
  </si>
  <si>
    <t>회현중학교</t>
  </si>
  <si>
    <t>군산시 회현면 대위로 426</t>
  </si>
  <si>
    <t>466-5147</t>
  </si>
  <si>
    <t>회현초등학교</t>
  </si>
  <si>
    <t>군산시 회현면 회현로 139</t>
  </si>
  <si>
    <t>466-5054</t>
  </si>
  <si>
    <t>익산</t>
  </si>
  <si>
    <t>금마초등학교</t>
  </si>
  <si>
    <t>익산시 금마면 금마4길 38</t>
  </si>
  <si>
    <t>836-9224</t>
  </si>
  <si>
    <t>남성고등학교</t>
  </si>
  <si>
    <t>익산시 동서로35길 41-4</t>
  </si>
  <si>
    <t>841-3813</t>
  </si>
  <si>
    <t>남성중학교</t>
  </si>
  <si>
    <t>익산시 동서로35길 41</t>
  </si>
  <si>
    <t>841-3818</t>
  </si>
  <si>
    <t>낭산초등학교</t>
  </si>
  <si>
    <t>익산시 낭산면 우신길 142</t>
  </si>
  <si>
    <t>861-5108</t>
  </si>
  <si>
    <t>다송초등학교</t>
  </si>
  <si>
    <t>익산시 함열읍 익산대로 1351</t>
  </si>
  <si>
    <t>861-0303</t>
  </si>
  <si>
    <t>망성초등학교</t>
  </si>
  <si>
    <t>익산시 망성면 여강로 903</t>
  </si>
  <si>
    <t>861-8707</t>
  </si>
  <si>
    <t>미륵초등학교</t>
  </si>
  <si>
    <t>익산시 금마면 용순길 243</t>
  </si>
  <si>
    <t>836-6258</t>
  </si>
  <si>
    <t>삼기중학교</t>
  </si>
  <si>
    <t>익산시 삼기면 황금로 499</t>
  </si>
  <si>
    <t>858-7911</t>
  </si>
  <si>
    <t>삼기초등학교</t>
  </si>
  <si>
    <t>익산시 삼기면 황금로 523</t>
  </si>
  <si>
    <t>858-7273</t>
  </si>
  <si>
    <t>석불초등학교</t>
  </si>
  <si>
    <t>익산시 삼기면 진북로 267</t>
  </si>
  <si>
    <t>858-7027</t>
  </si>
  <si>
    <t>성당중학교</t>
  </si>
  <si>
    <t>익산시 성당면 함안로 671-333</t>
  </si>
  <si>
    <t>862-0516</t>
  </si>
  <si>
    <t>성당초등학교</t>
  </si>
  <si>
    <t>익산시 성당면 성당로 354-16</t>
  </si>
  <si>
    <t>862-0244</t>
  </si>
  <si>
    <t>성북초등학교</t>
  </si>
  <si>
    <t>익산시 망성면 신작길 17-5</t>
  </si>
  <si>
    <t>861-8744</t>
  </si>
  <si>
    <t>성일고등학교</t>
  </si>
  <si>
    <t>익산시 황등면 화강암로 229</t>
  </si>
  <si>
    <t>720-3520</t>
  </si>
  <si>
    <t>여산고등학교</t>
  </si>
  <si>
    <t>익산시 여산면 가람로 465</t>
  </si>
  <si>
    <t>836-5145</t>
  </si>
  <si>
    <t>여산중학교</t>
  </si>
  <si>
    <t>익산시 여산면 가람로 459-10</t>
  </si>
  <si>
    <t>836-5144</t>
  </si>
  <si>
    <t>여산초등학교</t>
  </si>
  <si>
    <t>익산시 여산면 동헌길 14</t>
  </si>
  <si>
    <t>836-5163</t>
  </si>
  <si>
    <t>영만초등학교</t>
  </si>
  <si>
    <t>익산시 오산면 선화로4길 42-9</t>
  </si>
  <si>
    <t>850-4800</t>
  </si>
  <si>
    <t>오산남초등학교</t>
  </si>
  <si>
    <t>익산시 오산면 남전1길 27</t>
  </si>
  <si>
    <t>841-1614</t>
  </si>
  <si>
    <t>오산초등학교</t>
  </si>
  <si>
    <t>익산시 오산면 오산로 38</t>
  </si>
  <si>
    <t>841-2087</t>
  </si>
  <si>
    <t>왕궁남초등학교</t>
  </si>
  <si>
    <t>익산시 왕궁면 학호길 12</t>
  </si>
  <si>
    <t>291-0516</t>
  </si>
  <si>
    <t>왕궁중학교</t>
  </si>
  <si>
    <t>익산시 왕궁면 왕궁로 556</t>
  </si>
  <si>
    <t>832-4049</t>
  </si>
  <si>
    <t>왕궁초등학교</t>
  </si>
  <si>
    <t>익산시 왕궁면 견우길 3</t>
  </si>
  <si>
    <t>834-4252</t>
  </si>
  <si>
    <t>왕북초등학교</t>
  </si>
  <si>
    <t>익산시 왕궁면 금광길 54-12</t>
  </si>
  <si>
    <t>832-4102</t>
  </si>
  <si>
    <t>용남초등학교</t>
  </si>
  <si>
    <t>익산시 용안면 입산길 13</t>
  </si>
  <si>
    <t>861-2612</t>
  </si>
  <si>
    <t>용북초등학교</t>
  </si>
  <si>
    <t>익산시 용안면 용북로 81</t>
  </si>
  <si>
    <t>861-3613</t>
  </si>
  <si>
    <t>용산초등학교</t>
  </si>
  <si>
    <t>익산시 황등면 용산로 193</t>
  </si>
  <si>
    <t>857-6826</t>
  </si>
  <si>
    <t>용성초등학교</t>
  </si>
  <si>
    <t>익산시 낭산면 하맹길 183</t>
  </si>
  <si>
    <t>861-5109</t>
  </si>
  <si>
    <t>용안중학교</t>
  </si>
  <si>
    <t>익산시 용안면 현내1로 71-8</t>
  </si>
  <si>
    <t>862-7766</t>
  </si>
  <si>
    <t>용안초등학교</t>
  </si>
  <si>
    <t>익산시 용안면 용안교동1길 6-1</t>
  </si>
  <si>
    <t>861-3610</t>
  </si>
  <si>
    <t>웅포중학교</t>
  </si>
  <si>
    <t>익산시 웅포면 덕성길 13</t>
  </si>
  <si>
    <t>862-6078</t>
  </si>
  <si>
    <t>웅포초등학교</t>
  </si>
  <si>
    <t>익산시 웅포면 강변로 10-1</t>
  </si>
  <si>
    <t>862-6513</t>
  </si>
  <si>
    <t>원광고등학교</t>
  </si>
  <si>
    <t>익산시 무왕로31길 139</t>
  </si>
  <si>
    <t>832-6612</t>
  </si>
  <si>
    <t>원광보건고등학교</t>
  </si>
  <si>
    <t>익산시 선화로13길 72</t>
  </si>
  <si>
    <t>850-0002</t>
  </si>
  <si>
    <t>원광여자고등학교</t>
  </si>
  <si>
    <t>850-1100</t>
  </si>
  <si>
    <t>원광여자중학교</t>
  </si>
  <si>
    <t>850-1600</t>
  </si>
  <si>
    <t>원광중학교</t>
  </si>
  <si>
    <t>익산시 무왕로31길 154</t>
  </si>
  <si>
    <t>720-1000</t>
  </si>
  <si>
    <t>이리계문초등학교</t>
  </si>
  <si>
    <t>익산시 계문길 79-8</t>
  </si>
  <si>
    <t>857-5093</t>
  </si>
  <si>
    <t>이리고등학교</t>
  </si>
  <si>
    <t>익산시 익산대로36길 35</t>
  </si>
  <si>
    <t>859-7114</t>
  </si>
  <si>
    <t>이리고현초등학교</t>
  </si>
  <si>
    <t>익산시 선화로23길 44</t>
  </si>
  <si>
    <t>851-2107</t>
  </si>
  <si>
    <t>이리공업고등학교</t>
  </si>
  <si>
    <t>익산시 동서로14길 30-2</t>
  </si>
  <si>
    <t>858-3712</t>
  </si>
  <si>
    <t>이리남성여자고등학교</t>
  </si>
  <si>
    <t>841-3821</t>
  </si>
  <si>
    <t>이리남성여자중학교</t>
  </si>
  <si>
    <t>익산시 동서로 35길 41</t>
  </si>
  <si>
    <t>841-3825</t>
  </si>
  <si>
    <t>이리남중학교</t>
  </si>
  <si>
    <t>익산시 배산로3길 55</t>
  </si>
  <si>
    <t>841-6924</t>
  </si>
  <si>
    <t>이리남창초등학교</t>
  </si>
  <si>
    <t>익산시 인북로 171</t>
  </si>
  <si>
    <t>855-2210</t>
  </si>
  <si>
    <t>이리남초등학교</t>
  </si>
  <si>
    <t>익산시 번영로 2040-9</t>
  </si>
  <si>
    <t>851-1413</t>
  </si>
  <si>
    <t>이리동남초등학교</t>
  </si>
  <si>
    <t>익산시 동천로7길 18</t>
  </si>
  <si>
    <t>842-8294</t>
  </si>
  <si>
    <t>이리동북초등학교</t>
  </si>
  <si>
    <t>익산시 고봉로 190-3</t>
  </si>
  <si>
    <t>857-1281</t>
  </si>
  <si>
    <t>이리동산초등학교</t>
  </si>
  <si>
    <t>익산시 평동로23길 46</t>
  </si>
  <si>
    <t>857-2230</t>
  </si>
  <si>
    <t>이리동중학교</t>
  </si>
  <si>
    <t>익산시 동천로7길 44</t>
  </si>
  <si>
    <t>855-3164</t>
  </si>
  <si>
    <t>이리동초등학교</t>
  </si>
  <si>
    <t>익산시 동서로51길 57</t>
  </si>
  <si>
    <t>830-6805</t>
  </si>
  <si>
    <t>이리마한초등학교</t>
  </si>
  <si>
    <t>익산시 무왕로17길 47</t>
  </si>
  <si>
    <t>831-6001</t>
  </si>
  <si>
    <t>이리모현초등학교</t>
  </si>
  <si>
    <t>익산시 배산로14길 12-4</t>
  </si>
  <si>
    <t>858-2450</t>
  </si>
  <si>
    <t>이리백제초등학교</t>
  </si>
  <si>
    <t>익산시 궁동로 29</t>
  </si>
  <si>
    <t>831-3477</t>
  </si>
  <si>
    <t>이리부송초등학교</t>
  </si>
  <si>
    <t>익산시 부송로2길 27</t>
  </si>
  <si>
    <t>830-8602~3</t>
  </si>
  <si>
    <t>이리부천초등학교</t>
  </si>
  <si>
    <t>익산시 부송1로 32</t>
  </si>
  <si>
    <t>831-8401</t>
  </si>
  <si>
    <t>이리북일초등학교</t>
  </si>
  <si>
    <t>익산시 동서로19길 100</t>
  </si>
  <si>
    <t>857-9727</t>
  </si>
  <si>
    <t>이리북중학교</t>
  </si>
  <si>
    <t>익산시 익산대로 415-14</t>
  </si>
  <si>
    <t>837-0226</t>
  </si>
  <si>
    <t>이리북초등학교</t>
  </si>
  <si>
    <t>익산시 인북로58길 11</t>
  </si>
  <si>
    <t>857-9163</t>
  </si>
  <si>
    <t>이리삼성초등학교</t>
  </si>
  <si>
    <t>익산시 하나로15길 17-7</t>
  </si>
  <si>
    <t>834-1048</t>
  </si>
  <si>
    <t>이리서초등학교</t>
  </si>
  <si>
    <t>익산시 익산대로 213</t>
  </si>
  <si>
    <t>852-1880</t>
  </si>
  <si>
    <t>이리석암초등학교</t>
  </si>
  <si>
    <t>익산시 서동로46길 119</t>
  </si>
  <si>
    <t>834-1297</t>
  </si>
  <si>
    <t>이리송학초등학교</t>
  </si>
  <si>
    <t>익산시 학곤로 57</t>
  </si>
  <si>
    <t>855-3606</t>
  </si>
  <si>
    <t>이리신동초등학교</t>
  </si>
  <si>
    <t>익산시 무왕로 981</t>
  </si>
  <si>
    <t>858-5063</t>
  </si>
  <si>
    <t>이리신흥초등학교</t>
  </si>
  <si>
    <t>익산시 하나로3길 10</t>
  </si>
  <si>
    <t>851-4725</t>
  </si>
  <si>
    <t>이리여자고등학교</t>
  </si>
  <si>
    <t>익산시 익산대로24길 8-5</t>
  </si>
  <si>
    <t>850-1550</t>
  </si>
  <si>
    <t>이리영등중학교</t>
  </si>
  <si>
    <t>익산시 하나로 490</t>
  </si>
  <si>
    <t>831-0457</t>
  </si>
  <si>
    <t>이리영등초등학교</t>
  </si>
  <si>
    <t>익산시 동서로41길 37</t>
  </si>
  <si>
    <t>720-2500</t>
  </si>
  <si>
    <t>이리유치원</t>
  </si>
  <si>
    <t>익산시 중앙로 15길 10-3</t>
  </si>
  <si>
    <t>842-2835</t>
  </si>
  <si>
    <t>이리중앙초등학교</t>
  </si>
  <si>
    <t>익산시 인북로 77</t>
  </si>
  <si>
    <t>855-2135</t>
  </si>
  <si>
    <t>이리중학교</t>
  </si>
  <si>
    <t>익산시 학곤로 19</t>
  </si>
  <si>
    <t>841-5915</t>
  </si>
  <si>
    <t>이리초등학교</t>
  </si>
  <si>
    <t>익산시 중앙로15길 20</t>
  </si>
  <si>
    <t>855-1500</t>
  </si>
  <si>
    <t>이리팔봉초등학교</t>
  </si>
  <si>
    <t>익산시 무왕로31길 10</t>
  </si>
  <si>
    <t>835-2944</t>
  </si>
  <si>
    <t>이일여자고등학교</t>
  </si>
  <si>
    <t>익산시 평동로7길 30</t>
  </si>
  <si>
    <t>720-5140</t>
  </si>
  <si>
    <t>이일여자중학교</t>
  </si>
  <si>
    <t>720-5240</t>
  </si>
  <si>
    <t>익산가온초등학교</t>
  </si>
  <si>
    <t>익산시 선화로1길 106</t>
  </si>
  <si>
    <t>840-8205</t>
  </si>
  <si>
    <t>익산고등학교</t>
  </si>
  <si>
    <t>익산시 금마면 고도길 85</t>
  </si>
  <si>
    <t>836-6012</t>
  </si>
  <si>
    <t>익산궁동초등학교</t>
  </si>
  <si>
    <t>익산시 무왕로25길 26</t>
  </si>
  <si>
    <t>836-4291</t>
  </si>
  <si>
    <t>익산맑은샘유치원</t>
  </si>
  <si>
    <t>익산시 오산면 항쟁로 129</t>
  </si>
  <si>
    <t>858-6635</t>
  </si>
  <si>
    <t>익산부송유치원</t>
  </si>
  <si>
    <t>익산시 부송로 2길 27</t>
  </si>
  <si>
    <t>835-6780</t>
  </si>
  <si>
    <t>익산부송중학교</t>
  </si>
  <si>
    <t>익산시 선화로69길 6</t>
  </si>
  <si>
    <t>839-3500</t>
  </si>
  <si>
    <t>익산부천중학교</t>
  </si>
  <si>
    <t>익산시 동서로 524</t>
  </si>
  <si>
    <t>839-9151</t>
  </si>
  <si>
    <t>익산솜리유치원</t>
  </si>
  <si>
    <t>익산시 동서로 61길 27-16</t>
  </si>
  <si>
    <t>723-2580</t>
  </si>
  <si>
    <t>익산어양중학교</t>
  </si>
  <si>
    <t>익산시 하나로12길 39</t>
  </si>
  <si>
    <t>834-4636</t>
  </si>
  <si>
    <t>익산어양초등학교</t>
  </si>
  <si>
    <t>익산시 하나로10길 23</t>
  </si>
  <si>
    <t>835-8103</t>
  </si>
  <si>
    <t>익산옥야초등학교</t>
  </si>
  <si>
    <t>익산시 옛둑2길 52</t>
  </si>
  <si>
    <t>837-7012</t>
  </si>
  <si>
    <t>익산중학교</t>
  </si>
  <si>
    <t>836-6011</t>
  </si>
  <si>
    <t>익산지원중학교</t>
  </si>
  <si>
    <t>익산시 고봉로 67</t>
  </si>
  <si>
    <t>841-6364</t>
  </si>
  <si>
    <t>익산초등학교</t>
  </si>
  <si>
    <t>익산시 동서로61길 27-38</t>
  </si>
  <si>
    <t>831-4383</t>
  </si>
  <si>
    <t>익산한벌초등학교</t>
  </si>
  <si>
    <t>익산시 부송1로 115</t>
  </si>
  <si>
    <t>839-1500</t>
  </si>
  <si>
    <t>전북과학고등학교</t>
  </si>
  <si>
    <t>익산시 금마면 용순신기길 48-69</t>
  </si>
  <si>
    <t>830-2301</t>
  </si>
  <si>
    <t>전북기계공업고등학교</t>
  </si>
  <si>
    <t>익산시 인북로32길 41</t>
  </si>
  <si>
    <t>720-5347</t>
  </si>
  <si>
    <t>전북맹아학교</t>
  </si>
  <si>
    <t>익산시 서동로46길 41</t>
  </si>
  <si>
    <t>833-2621</t>
  </si>
  <si>
    <t>전북제일고등학교</t>
  </si>
  <si>
    <t>840-9720</t>
  </si>
  <si>
    <t>전북혜화학교</t>
  </si>
  <si>
    <t>익산시 덕기길 77</t>
  </si>
  <si>
    <t>839-5312</t>
  </si>
  <si>
    <t>진경여자고등학교</t>
  </si>
  <si>
    <t>익산시 황등서로 40-92</t>
  </si>
  <si>
    <t>856-6032</t>
  </si>
  <si>
    <t>진경여자중학교</t>
  </si>
  <si>
    <t>익산시 황등면 황등서로 104</t>
  </si>
  <si>
    <t>856-4476</t>
  </si>
  <si>
    <t>천서초등학교</t>
  </si>
  <si>
    <t>익산시 춘포면 천서길 221</t>
  </si>
  <si>
    <t>834-0544</t>
  </si>
  <si>
    <t>춘포초등학교</t>
  </si>
  <si>
    <t>익산시 춘포면 춘포로 408</t>
  </si>
  <si>
    <t>842-8211</t>
  </si>
  <si>
    <t>함라중학교</t>
  </si>
  <si>
    <t>익산시 함라면 함낭로 61-18</t>
  </si>
  <si>
    <t>856-8975</t>
  </si>
  <si>
    <t>함라초등학교</t>
  </si>
  <si>
    <t>익산시 함라면 함라1길 66</t>
  </si>
  <si>
    <t>856-9851</t>
  </si>
  <si>
    <t>함열고등학교</t>
  </si>
  <si>
    <t>익산시 함열읍 와리3길 19-3</t>
  </si>
  <si>
    <t>861-0887</t>
  </si>
  <si>
    <t>함열여자고등학교</t>
  </si>
  <si>
    <t>익산시 익산대로 1852</t>
  </si>
  <si>
    <t>861-1078</t>
  </si>
  <si>
    <t>함열여자중학교</t>
  </si>
  <si>
    <t>익산시 함열읍 정자길 31</t>
  </si>
  <si>
    <t>861-0612</t>
  </si>
  <si>
    <t>함열중학교</t>
  </si>
  <si>
    <t>익산시 함열읍 함열3길 37</t>
  </si>
  <si>
    <t>861-0889</t>
  </si>
  <si>
    <t>함열초등학교</t>
  </si>
  <si>
    <t>익산시 함열읍 함열8길 2</t>
  </si>
  <si>
    <t>861-0225</t>
  </si>
  <si>
    <t>황등남초등학교</t>
  </si>
  <si>
    <t>익산시 황등면 황등서로 44</t>
  </si>
  <si>
    <t>856-6333</t>
  </si>
  <si>
    <t>황등중학교</t>
  </si>
  <si>
    <t>익산시 황등면 황금로 18</t>
  </si>
  <si>
    <t>720-3620</t>
  </si>
  <si>
    <t>황등초등학교</t>
  </si>
  <si>
    <t>익산시 황등면 황금로 17-6</t>
  </si>
  <si>
    <t>856-6278</t>
  </si>
  <si>
    <t>흥왕초등학교</t>
  </si>
  <si>
    <t>익산시 용동면 흥왕1길 17</t>
  </si>
  <si>
    <t>862-4281</t>
  </si>
  <si>
    <t>정읍</t>
  </si>
  <si>
    <t>감곡중학교</t>
  </si>
  <si>
    <t>정읍시 감곡면 감곡동서로 330-2</t>
  </si>
  <si>
    <t>571-1306</t>
  </si>
  <si>
    <t>감곡초등학교</t>
  </si>
  <si>
    <t>정읍시 감곡면 감곡동서로 355</t>
  </si>
  <si>
    <t>571-1046</t>
  </si>
  <si>
    <t>고부중학교</t>
  </si>
  <si>
    <t>정읍시 고부면 관청길 114</t>
  </si>
  <si>
    <t>536-0058</t>
  </si>
  <si>
    <t>고부초등학교</t>
  </si>
  <si>
    <t>정읍시 고부면 교동 3길 14</t>
  </si>
  <si>
    <t>536-3020</t>
  </si>
  <si>
    <t>교암초등학교</t>
  </si>
  <si>
    <t>정읍시 정읍사로 179</t>
  </si>
  <si>
    <t>535-2983</t>
  </si>
  <si>
    <t>글로벌학산고등학교</t>
  </si>
  <si>
    <t>정읍시 학산로 89</t>
  </si>
  <si>
    <t>570-1500</t>
  </si>
  <si>
    <t>내장초등학교</t>
  </si>
  <si>
    <t>정읍시 대석1길 13-4</t>
  </si>
  <si>
    <t>536-5761</t>
  </si>
  <si>
    <t>능교초등학교</t>
  </si>
  <si>
    <t>정읍시 산내면 능교3길 13-5</t>
  </si>
  <si>
    <t>538-4014</t>
  </si>
  <si>
    <t>다솜학교</t>
  </si>
  <si>
    <t>정읍시 백운길 93</t>
  </si>
  <si>
    <t>530-4551</t>
  </si>
  <si>
    <t>대흥초등학교</t>
  </si>
  <si>
    <t>정읍시 입암면 정읍남로 766</t>
  </si>
  <si>
    <t>534-2005</t>
  </si>
  <si>
    <t>덕천초등학교</t>
  </si>
  <si>
    <t>정읍시 덕천면 황토현로 831</t>
  </si>
  <si>
    <t>536-5025</t>
  </si>
  <si>
    <t>동신초등학교</t>
  </si>
  <si>
    <t>정읍시 상동중앙로 15</t>
  </si>
  <si>
    <t>535-3264</t>
  </si>
  <si>
    <t>배영고등학교</t>
  </si>
  <si>
    <t>정읍시 동학로 243</t>
  </si>
  <si>
    <t>533-4123</t>
  </si>
  <si>
    <t>배영중학교</t>
  </si>
  <si>
    <t>533-4124</t>
  </si>
  <si>
    <t>백암초등학교</t>
  </si>
  <si>
    <t>정읍시 칠보면 암축길 17</t>
  </si>
  <si>
    <t>534-3274</t>
  </si>
  <si>
    <t>보성초등학교</t>
  </si>
  <si>
    <t>정읍시 북면 연지길 38-27</t>
  </si>
  <si>
    <t>535-4567</t>
  </si>
  <si>
    <t>북면초등학교</t>
  </si>
  <si>
    <t>정읍시 북면 화평길 31</t>
  </si>
  <si>
    <t>535-0011</t>
  </si>
  <si>
    <t>산외중학교</t>
  </si>
  <si>
    <t>정읍시 산외면 평사3길 25</t>
  </si>
  <si>
    <t>537-5012</t>
  </si>
  <si>
    <t>산외초등학교</t>
  </si>
  <si>
    <t>정읍시 산외면 운전2길 7</t>
  </si>
  <si>
    <t>537-3213</t>
  </si>
  <si>
    <t>샘고을중학교</t>
  </si>
  <si>
    <t>정읍시 초산로 110</t>
  </si>
  <si>
    <t>535-2509</t>
  </si>
  <si>
    <t>서신초등학교</t>
  </si>
  <si>
    <t>정읍시 소성상평로 401-5</t>
  </si>
  <si>
    <t>535-3509</t>
  </si>
  <si>
    <t>서영여자고등학교</t>
  </si>
  <si>
    <t>정읍시 명덕1길 66-10</t>
  </si>
  <si>
    <t>530-2330</t>
  </si>
  <si>
    <t>소성중학교</t>
  </si>
  <si>
    <t>정읍시 소성면 소성상평로 34</t>
  </si>
  <si>
    <t>537-6084</t>
  </si>
  <si>
    <t>소성초등학교</t>
  </si>
  <si>
    <t>정읍시 소성면 보화1길 130</t>
  </si>
  <si>
    <t>537-2291</t>
  </si>
  <si>
    <t>수곡초등학교</t>
  </si>
  <si>
    <t>정읍시 칠보면 여옥길 11</t>
  </si>
  <si>
    <t>534-3273</t>
  </si>
  <si>
    <t>신태인고등학교</t>
  </si>
  <si>
    <t>정읍시 신태인읍 서태길 108</t>
  </si>
  <si>
    <t>571-2124</t>
  </si>
  <si>
    <t>신태인중학교</t>
  </si>
  <si>
    <t>571-2125</t>
  </si>
  <si>
    <t>신태인초등학교</t>
  </si>
  <si>
    <t>정읍시 신태인읍 신태인1길 54-3</t>
  </si>
  <si>
    <t>571-2141</t>
  </si>
  <si>
    <t>영산초등학교</t>
  </si>
  <si>
    <t>정읍시 하북1길 217</t>
  </si>
  <si>
    <t>531-0451</t>
  </si>
  <si>
    <t>영원초등학교</t>
  </si>
  <si>
    <t>정읍시 영원면 영원로 1087</t>
  </si>
  <si>
    <t>535-7011</t>
  </si>
  <si>
    <t>옹동초등학교</t>
  </si>
  <si>
    <t>정읍시 옹동면 칠석1길 29-7</t>
  </si>
  <si>
    <t>537-8010</t>
  </si>
  <si>
    <t>왕신여자고등학교</t>
  </si>
  <si>
    <t>정읍시 신태인읍 정신로 1094</t>
  </si>
  <si>
    <t>571-2181</t>
  </si>
  <si>
    <t>왕신여자중학교</t>
  </si>
  <si>
    <t>571-2182</t>
  </si>
  <si>
    <t>이평중학교</t>
  </si>
  <si>
    <t>정읍시 이평면 후송길 21</t>
  </si>
  <si>
    <t>534-1239</t>
  </si>
  <si>
    <t>이평초등학교</t>
  </si>
  <si>
    <t>정읍시 이평면 말목장터길 5-29</t>
  </si>
  <si>
    <t>534-1010</t>
  </si>
  <si>
    <t>인상고등학교</t>
  </si>
  <si>
    <t>정읍시 신태인읍 벽골제로 34</t>
  </si>
  <si>
    <t>571-6016</t>
  </si>
  <si>
    <t>입암중학교</t>
  </si>
  <si>
    <t>정읍시 입암면 입고로 32-13</t>
  </si>
  <si>
    <t>534-2901</t>
  </si>
  <si>
    <t>입암초등학교</t>
  </si>
  <si>
    <t>정읍시 입암면 입암중앙길 29</t>
  </si>
  <si>
    <t>534-2049</t>
  </si>
  <si>
    <t>전북동화중학교</t>
  </si>
  <si>
    <t>정읍시 태인면 정읍북로 1238</t>
  </si>
  <si>
    <t>530-2601</t>
  </si>
  <si>
    <t>정남초등학교</t>
  </si>
  <si>
    <t>정읍시 정우면 대산1길 90</t>
  </si>
  <si>
    <t>537-9145</t>
  </si>
  <si>
    <t>정산중학교</t>
  </si>
  <si>
    <t>정읍시 산내면 능교신기길 12-20</t>
  </si>
  <si>
    <t>538-4071</t>
  </si>
  <si>
    <t>정우중학교</t>
  </si>
  <si>
    <t>정읍시 정우면 양지1길 100-28</t>
  </si>
  <si>
    <t>537-4682</t>
  </si>
  <si>
    <t>정우초등학교</t>
  </si>
  <si>
    <t>정읍시 정우면 금남길 28-24</t>
  </si>
  <si>
    <t>537-9031</t>
  </si>
  <si>
    <t>정읍고등학교</t>
  </si>
  <si>
    <t>정읍시 정읍사로 594</t>
  </si>
  <si>
    <t>700-0260</t>
  </si>
  <si>
    <t>정읍남초등학교</t>
  </si>
  <si>
    <t>정읍시 남산5길 25</t>
  </si>
  <si>
    <t>535-6660</t>
  </si>
  <si>
    <t>정읍동초등학교</t>
  </si>
  <si>
    <t>정읍시 충정로 176</t>
  </si>
  <si>
    <t>535-2009</t>
  </si>
  <si>
    <t>정읍북초등학교</t>
  </si>
  <si>
    <t>정읍시 명덕1길 41</t>
  </si>
  <si>
    <t>532-8127</t>
  </si>
  <si>
    <t>정읍서초등학교</t>
  </si>
  <si>
    <t>정읍시 명륜길 32</t>
  </si>
  <si>
    <t>535-3708</t>
  </si>
  <si>
    <t>정읍수성초등학교</t>
  </si>
  <si>
    <t>정읍시 수성3로 21</t>
  </si>
  <si>
    <t>532-3784</t>
  </si>
  <si>
    <t>정읍여자고등학교</t>
  </si>
  <si>
    <t>정읍시 충정로 56-11</t>
  </si>
  <si>
    <t>535-4546</t>
  </si>
  <si>
    <t>정읍연지유치원</t>
  </si>
  <si>
    <t>정읍시 연지동 49-18</t>
  </si>
  <si>
    <t>537-0585</t>
  </si>
  <si>
    <t>정읍제일고등학교</t>
  </si>
  <si>
    <t>정읍시 충정로 252</t>
  </si>
  <si>
    <t>530-1702</t>
  </si>
  <si>
    <t>정읍중학교</t>
  </si>
  <si>
    <t>정읍시 정읍사로 569</t>
  </si>
  <si>
    <t>535-4374</t>
  </si>
  <si>
    <t>정읍초등학교</t>
  </si>
  <si>
    <t>정읍시 마곡로 33</t>
  </si>
  <si>
    <t>538-0163</t>
  </si>
  <si>
    <t>정일중학교</t>
  </si>
  <si>
    <t>정읍시 충정로 511</t>
  </si>
  <si>
    <t>530-3570</t>
  </si>
  <si>
    <t>정일초등학교</t>
  </si>
  <si>
    <t>정읍시 정문들목길 26-19</t>
  </si>
  <si>
    <t>535-3517</t>
  </si>
  <si>
    <t>정주고등학교</t>
  </si>
  <si>
    <t>정읍시 내장산로 177-42</t>
  </si>
  <si>
    <t>530-5344</t>
  </si>
  <si>
    <t>칠보고등학교</t>
  </si>
  <si>
    <t>정읍시 칠보면 건흥길 26-5</t>
  </si>
  <si>
    <t>531-1581</t>
  </si>
  <si>
    <t>칠보중학교</t>
  </si>
  <si>
    <t>정읍시 칠보면 검단1길 53</t>
  </si>
  <si>
    <t>534-3106</t>
  </si>
  <si>
    <t>칠보초등학교</t>
  </si>
  <si>
    <t>정읍시 칠보면 칠보중앙로 130</t>
  </si>
  <si>
    <t>534-3005</t>
  </si>
  <si>
    <t>태인고등학교</t>
  </si>
  <si>
    <t>정읍시 태인면 석지로 1469</t>
  </si>
  <si>
    <t>534-4994</t>
  </si>
  <si>
    <t>태인중학교</t>
  </si>
  <si>
    <t>534-4991</t>
  </si>
  <si>
    <t>태인초등학교</t>
  </si>
  <si>
    <t>정읍시 태인면 동헌길 16</t>
  </si>
  <si>
    <t>534-4006</t>
  </si>
  <si>
    <t>학산중학교</t>
  </si>
  <si>
    <t>570-1600</t>
  </si>
  <si>
    <t>한솔초등학교</t>
  </si>
  <si>
    <t>정읍시 학산로 69</t>
  </si>
  <si>
    <t>530-8978</t>
  </si>
  <si>
    <t>호남고등학교</t>
  </si>
  <si>
    <t>정읍시 정읍남로 1364-13</t>
  </si>
  <si>
    <t>570-7815</t>
  </si>
  <si>
    <t>호남중학교</t>
  </si>
  <si>
    <t>900-7707</t>
  </si>
  <si>
    <t>남원</t>
  </si>
  <si>
    <t>금지중학교</t>
  </si>
  <si>
    <t>남원시 금지면 요천로 443-9</t>
  </si>
  <si>
    <t>635-1089</t>
  </si>
  <si>
    <t>금지초등학교</t>
  </si>
  <si>
    <t>남원시 금지면 택내길 36-37</t>
  </si>
  <si>
    <t>631-7036</t>
  </si>
  <si>
    <t>남원고등학교</t>
  </si>
  <si>
    <t>남원시 만인로 43</t>
  </si>
  <si>
    <t>630-7979</t>
  </si>
  <si>
    <t>남원교룡초등학교</t>
  </si>
  <si>
    <t>남원시 광천남길 654</t>
  </si>
  <si>
    <t>626-2141</t>
  </si>
  <si>
    <t>남원국악예술고등학교</t>
  </si>
  <si>
    <t>남원시 용성로 323</t>
  </si>
  <si>
    <t>632-7702</t>
  </si>
  <si>
    <t>남원노암초등학교</t>
  </si>
  <si>
    <t>남원시 여수길 14</t>
  </si>
  <si>
    <t>633-3720</t>
  </si>
  <si>
    <t>남원대산초등학교</t>
  </si>
  <si>
    <t>남원시 대산면 운교1길 10</t>
  </si>
  <si>
    <t>625-0233</t>
  </si>
  <si>
    <t>남원도통초등학교</t>
  </si>
  <si>
    <t>남원시 대교2길 22</t>
  </si>
  <si>
    <t>630-7070</t>
  </si>
  <si>
    <t>남원서원초등학교</t>
  </si>
  <si>
    <t>남원시 대산면 남문로 109</t>
  </si>
  <si>
    <t>625-3153</t>
  </si>
  <si>
    <t>남원서진고등학교</t>
  </si>
  <si>
    <t>남원시 낙현길 17-14</t>
  </si>
  <si>
    <t>631-1333</t>
  </si>
  <si>
    <t>남원여자고등학교</t>
  </si>
  <si>
    <t>남원시 광천북길 229-11</t>
  </si>
  <si>
    <t>633-9993</t>
  </si>
  <si>
    <t>남원왕치초등학교</t>
  </si>
  <si>
    <t>남원시 박달길 37</t>
  </si>
  <si>
    <t>625-9664</t>
  </si>
  <si>
    <t>남원용성고등학교</t>
  </si>
  <si>
    <t>남원시 농고길 41</t>
  </si>
  <si>
    <t>631-1343</t>
  </si>
  <si>
    <t>남원용성중학교</t>
  </si>
  <si>
    <t>남원시 춘향로 73</t>
  </si>
  <si>
    <t>633-4549</t>
  </si>
  <si>
    <t>남원용성초등학교</t>
  </si>
  <si>
    <t>남원시 용성로 29</t>
  </si>
  <si>
    <t>631-1212</t>
  </si>
  <si>
    <t>남원월락초등학교</t>
  </si>
  <si>
    <t>남원시 용성로 321</t>
  </si>
  <si>
    <t>632-8980</t>
  </si>
  <si>
    <t>남원제일고등학교</t>
  </si>
  <si>
    <t>남원시 노송로 1206</t>
  </si>
  <si>
    <t>630-9002</t>
  </si>
  <si>
    <t>남원중앙초등학교</t>
  </si>
  <si>
    <t>남원시 동림로 36</t>
  </si>
  <si>
    <t>633-8891</t>
  </si>
  <si>
    <t>남원중학교</t>
  </si>
  <si>
    <t>남원시 만인로 41-51</t>
  </si>
  <si>
    <t>625-2029</t>
  </si>
  <si>
    <t>남원참사랑유치원</t>
  </si>
  <si>
    <t>남원시 금동 343-1</t>
  </si>
  <si>
    <t>632-3403</t>
  </si>
  <si>
    <t>남원초등학교</t>
  </si>
  <si>
    <t>남원시 가방뜰길 18</t>
  </si>
  <si>
    <t>630-8800</t>
  </si>
  <si>
    <t>남원하늘중학교</t>
  </si>
  <si>
    <t>남원시 동헌길 75</t>
  </si>
  <si>
    <t>630-2002</t>
  </si>
  <si>
    <t>남원한빛중학교</t>
  </si>
  <si>
    <t>남원시 용성로 299</t>
  </si>
  <si>
    <t>631-1422</t>
  </si>
  <si>
    <t>대강중학교</t>
  </si>
  <si>
    <t>남원시 대강면 금탄로 512-16</t>
  </si>
  <si>
    <t>625-0351</t>
  </si>
  <si>
    <t>대강초등학교</t>
  </si>
  <si>
    <t>남원시 대강면 섬진로 852</t>
  </si>
  <si>
    <t>626-6556</t>
  </si>
  <si>
    <t>덕과초등학교</t>
  </si>
  <si>
    <t>남원시 덕과면 덕오로 298</t>
  </si>
  <si>
    <t>626-2106</t>
  </si>
  <si>
    <t>보절중학교</t>
  </si>
  <si>
    <t>남원시 보절면 보산로 909-14</t>
  </si>
  <si>
    <t>634-4014</t>
  </si>
  <si>
    <t>보절초등학교</t>
  </si>
  <si>
    <t>남원시 보절면 신흥2길 5</t>
  </si>
  <si>
    <t>634-4049</t>
  </si>
  <si>
    <t>사매초등학교</t>
  </si>
  <si>
    <t>남원시 사매면 오신2길 7번지</t>
  </si>
  <si>
    <t>634-8008</t>
  </si>
  <si>
    <t>산내중학교</t>
  </si>
  <si>
    <t>남원시 산내면 천왕봉로 673-8</t>
  </si>
  <si>
    <t>636-3633</t>
  </si>
  <si>
    <t>산내초등학교</t>
  </si>
  <si>
    <t>남원시 산내면 대정길 99</t>
  </si>
  <si>
    <t>636-3024</t>
  </si>
  <si>
    <t>산동초등학교</t>
  </si>
  <si>
    <t>남원시 산동면 요천로 2929</t>
  </si>
  <si>
    <t>626-6017</t>
  </si>
  <si>
    <t>성원고등학교</t>
  </si>
  <si>
    <t>남원시 대복사길 41</t>
  </si>
  <si>
    <t>633-8582</t>
  </si>
  <si>
    <t>송동중학교</t>
  </si>
  <si>
    <t>남원시 송동면 노송로 747</t>
  </si>
  <si>
    <t>634-6132</t>
  </si>
  <si>
    <t>송동초등학교</t>
  </si>
  <si>
    <t>남원시 송동면 노송로 624-6</t>
  </si>
  <si>
    <t>634-6004</t>
  </si>
  <si>
    <t>수지초등학교</t>
  </si>
  <si>
    <t>남원시 수지면 내호곡3길 21</t>
  </si>
  <si>
    <t>626-1414</t>
  </si>
  <si>
    <t>아영중학교</t>
  </si>
  <si>
    <t>남원시 아영면 고인청계길 18</t>
  </si>
  <si>
    <t>626-9772</t>
  </si>
  <si>
    <t>아영초등학교</t>
  </si>
  <si>
    <t>남원시 아영면 고인청계길 15</t>
  </si>
  <si>
    <t>626-7007</t>
  </si>
  <si>
    <t>오동초등학교</t>
  </si>
  <si>
    <t>남원시 이백면 이백로 147</t>
  </si>
  <si>
    <t>626-9557</t>
  </si>
  <si>
    <t>용북중학교</t>
  </si>
  <si>
    <t>남원시 사매면 용북길 89</t>
  </si>
  <si>
    <t>630-9123</t>
  </si>
  <si>
    <t>운봉중학교</t>
  </si>
  <si>
    <t>남원시 운봉읍 바래봉길 73</t>
  </si>
  <si>
    <t>634-1595</t>
  </si>
  <si>
    <t>운봉초등학교</t>
  </si>
  <si>
    <t>남원시 운봉읍 운봉로 725</t>
  </si>
  <si>
    <t>634-0020</t>
  </si>
  <si>
    <t>원천초등학교</t>
  </si>
  <si>
    <t>남원시 주천면 외평2길 23</t>
  </si>
  <si>
    <t>625-8305</t>
  </si>
  <si>
    <t>이백초등학교</t>
  </si>
  <si>
    <t>남원시 이백면 평촌길 30</t>
  </si>
  <si>
    <t>635-2919</t>
  </si>
  <si>
    <t>인월고등학교</t>
  </si>
  <si>
    <t>남원시 인월면 인월장터로 48</t>
  </si>
  <si>
    <t>636-5763</t>
  </si>
  <si>
    <t>인월중학교</t>
  </si>
  <si>
    <t>인월초등학교</t>
  </si>
  <si>
    <t>남원시 인월면 인월1길 55</t>
  </si>
  <si>
    <t>636-5494</t>
  </si>
  <si>
    <t>주생초등학교</t>
  </si>
  <si>
    <t>남원시 주생면 소지길 21-5</t>
  </si>
  <si>
    <t>631-8932</t>
  </si>
  <si>
    <t>한국경마축산고등학교</t>
  </si>
  <si>
    <t>남원시 운봉읍 황산로 952</t>
  </si>
  <si>
    <t>634-2031</t>
  </si>
  <si>
    <t>한울학교</t>
  </si>
  <si>
    <t>남원시 이백면 이백로 315</t>
  </si>
  <si>
    <t>630-6341</t>
  </si>
  <si>
    <t>김제</t>
  </si>
  <si>
    <t>공덕초등학교</t>
  </si>
  <si>
    <t>김제시 공덕면 공덕로 248</t>
  </si>
  <si>
    <t>542-6500</t>
  </si>
  <si>
    <t>광활초등학교</t>
  </si>
  <si>
    <t>김제시 광활면 광활11길 37</t>
  </si>
  <si>
    <t>545-1379</t>
  </si>
  <si>
    <t>금구중학교</t>
  </si>
  <si>
    <t>김제시 금구면 금구로 40</t>
  </si>
  <si>
    <t>545-3659</t>
  </si>
  <si>
    <t>금구초등학교</t>
  </si>
  <si>
    <t>금산초등학교</t>
  </si>
  <si>
    <t>김제시 금산면 모악로 383</t>
  </si>
  <si>
    <t>543-4005</t>
  </si>
  <si>
    <t>금성중학교</t>
  </si>
  <si>
    <t>김제시 금성5길 19</t>
  </si>
  <si>
    <t>544-0201</t>
  </si>
  <si>
    <t>김제검산초등학교</t>
  </si>
  <si>
    <t>김제시 도작로 122</t>
  </si>
  <si>
    <t>546-0043</t>
  </si>
  <si>
    <t>김제고등학교</t>
  </si>
  <si>
    <t>김제시 남북2길 25</t>
  </si>
  <si>
    <t>546-8392</t>
  </si>
  <si>
    <t>김제농생명마이스터고등학교</t>
  </si>
  <si>
    <t>김제시 남북9길 23</t>
  </si>
  <si>
    <t>546-5313</t>
  </si>
  <si>
    <t>김제동초등학교</t>
  </si>
  <si>
    <t>김제시 중앙13길 18</t>
  </si>
  <si>
    <t>544-8362</t>
  </si>
  <si>
    <t>김제북초등학교</t>
  </si>
  <si>
    <t>김제시 콩쥐팥쥐로 306-56</t>
  </si>
  <si>
    <t>547-8924</t>
  </si>
  <si>
    <t>김제서고등학교</t>
  </si>
  <si>
    <t>김제시 죽산면 해학로 17</t>
  </si>
  <si>
    <t>546-2772</t>
  </si>
  <si>
    <t>김제여자고등학교</t>
  </si>
  <si>
    <t>김제시 중앙로 193</t>
  </si>
  <si>
    <t>544-2512</t>
  </si>
  <si>
    <t>김제제일유치원</t>
  </si>
  <si>
    <t>김제시 요촌동 214-1</t>
  </si>
  <si>
    <t>547-6971</t>
  </si>
  <si>
    <t>김제중앙중학교</t>
  </si>
  <si>
    <t>김제시 남북9길 52</t>
  </si>
  <si>
    <t>547-5012</t>
  </si>
  <si>
    <t>김제중앙초등학교</t>
  </si>
  <si>
    <t>김제시 동서로 193</t>
  </si>
  <si>
    <t>546-4851</t>
  </si>
  <si>
    <t>김제중학교</t>
  </si>
  <si>
    <t>김제시 중앙로 274</t>
  </si>
  <si>
    <t>546-1232</t>
  </si>
  <si>
    <t>김제초등학교</t>
  </si>
  <si>
    <t>김제시 서낭당길 31</t>
  </si>
  <si>
    <t>546-5211</t>
  </si>
  <si>
    <t>난산초등학교</t>
  </si>
  <si>
    <t>김제시 백구면 금백로 1213</t>
  </si>
  <si>
    <t>543-1861</t>
  </si>
  <si>
    <t>남양초등학교</t>
  </si>
  <si>
    <t>김제시 황산면 남산로 366</t>
  </si>
  <si>
    <t>546-4167</t>
  </si>
  <si>
    <t>덕암고등학교</t>
  </si>
  <si>
    <t>김제시 하공로 9</t>
  </si>
  <si>
    <t>544-2204</t>
  </si>
  <si>
    <t>덕암정보고등학교</t>
  </si>
  <si>
    <t>544-2205</t>
  </si>
  <si>
    <t>덕암중학교</t>
  </si>
  <si>
    <t>544-2202</t>
  </si>
  <si>
    <t>동국대학교사범대학부속금산고등학교</t>
  </si>
  <si>
    <t>김제시 금산면 모악로 47</t>
  </si>
  <si>
    <t>544-0722</t>
  </si>
  <si>
    <t>동국대학교사범대학부속금산중학교</t>
  </si>
  <si>
    <t>543-0722</t>
  </si>
  <si>
    <t>만경고등학교</t>
  </si>
  <si>
    <t>김제시 만경읍 능제로 29</t>
  </si>
  <si>
    <t>542-5722</t>
  </si>
  <si>
    <t>만경여자고등학교</t>
  </si>
  <si>
    <t>김제시 만경읍 만경로 823</t>
  </si>
  <si>
    <t>542-5884</t>
  </si>
  <si>
    <t>만경여자중학교</t>
  </si>
  <si>
    <t>542-5889</t>
  </si>
  <si>
    <t>만경중학교</t>
  </si>
  <si>
    <t>542-5757</t>
  </si>
  <si>
    <t>만경초등학교</t>
  </si>
  <si>
    <t>김제시 만경읍 능제2길 2</t>
  </si>
  <si>
    <t>542-5789</t>
  </si>
  <si>
    <t>백구초등학교</t>
  </si>
  <si>
    <t>김제시 백구면 석담2길 36</t>
  </si>
  <si>
    <t>542-2133</t>
  </si>
  <si>
    <t>백석초등학교</t>
  </si>
  <si>
    <t>김제시 백산로 54</t>
  </si>
  <si>
    <t>545-1314</t>
  </si>
  <si>
    <t>벽량초등학교</t>
  </si>
  <si>
    <t>김제시 부량면 대평2길 99</t>
  </si>
  <si>
    <t>546-9014</t>
  </si>
  <si>
    <t>봉남중학교</t>
  </si>
  <si>
    <t>김제시 봉남면 남주1길 26</t>
  </si>
  <si>
    <t>543-8612</t>
  </si>
  <si>
    <t>봉남초등학교</t>
  </si>
  <si>
    <t>김제시 봉남면 조양1길 11</t>
  </si>
  <si>
    <t>543-8601</t>
  </si>
  <si>
    <t>부용초등학교</t>
  </si>
  <si>
    <t>김제시 백구면 황토로 1030</t>
  </si>
  <si>
    <t>542-2038</t>
  </si>
  <si>
    <t>성덕초등학교</t>
  </si>
  <si>
    <t>김제시 성덕면 대석로 75</t>
  </si>
  <si>
    <t>543-7501</t>
  </si>
  <si>
    <t>용동초등학교</t>
  </si>
  <si>
    <t>김제시 용지면 용덕길 36</t>
  </si>
  <si>
    <t>542-3024</t>
  </si>
  <si>
    <t>용지중학교</t>
  </si>
  <si>
    <t>김제시 용지면 황토로 702</t>
  </si>
  <si>
    <t>545-0765</t>
  </si>
  <si>
    <t>용지초등학교</t>
  </si>
  <si>
    <t>김제시 용지면 용지로 462</t>
  </si>
  <si>
    <t>542-3666</t>
  </si>
  <si>
    <t>원평초등학교</t>
  </si>
  <si>
    <t>김제시 금산면 원평로 101</t>
  </si>
  <si>
    <t>543-0811</t>
  </si>
  <si>
    <t>월성초등학교</t>
  </si>
  <si>
    <t>김제시 봉황로 1020</t>
  </si>
  <si>
    <t>548-4728</t>
  </si>
  <si>
    <t>월촌초등학교</t>
  </si>
  <si>
    <t>김제시 입석7길 119</t>
  </si>
  <si>
    <t>544-0433</t>
  </si>
  <si>
    <t>전북온라인학교</t>
  </si>
  <si>
    <t>547-9496</t>
  </si>
  <si>
    <t>종정초등학교</t>
  </si>
  <si>
    <t>김제시 백산면 종정1길 143</t>
  </si>
  <si>
    <t>546-8363</t>
  </si>
  <si>
    <t>죽산초등학교</t>
  </si>
  <si>
    <t>김제시 죽산면 죽산2길 13</t>
  </si>
  <si>
    <t>546-3302</t>
  </si>
  <si>
    <t>지평선고등학교</t>
  </si>
  <si>
    <t>김제시 성덕면 성동길 183-4</t>
  </si>
  <si>
    <t>544-3155</t>
  </si>
  <si>
    <t>지평선중학교</t>
  </si>
  <si>
    <t>544-3131</t>
  </si>
  <si>
    <t>진봉초등학교</t>
  </si>
  <si>
    <t>김제시 진봉면 진봉로 302</t>
  </si>
  <si>
    <t>543-3013</t>
  </si>
  <si>
    <t>청운초등학교</t>
  </si>
  <si>
    <t>김제시 금구면 황토로 168-30</t>
  </si>
  <si>
    <t>546-5177</t>
  </si>
  <si>
    <t>청하중학교</t>
  </si>
  <si>
    <t>김제시 청하면 청하6길 68</t>
  </si>
  <si>
    <t>543-1414</t>
  </si>
  <si>
    <t>청하초등학교</t>
  </si>
  <si>
    <t>김제시 청하면 대청4길 25</t>
  </si>
  <si>
    <t>543-1067</t>
  </si>
  <si>
    <t>초처초등학교</t>
  </si>
  <si>
    <t>김제시 봉남면 초처로 233</t>
  </si>
  <si>
    <t>543-8062</t>
  </si>
  <si>
    <t>치문초등학교</t>
  </si>
  <si>
    <t>김제시 백구면 유강11길 43</t>
  </si>
  <si>
    <t>542-2085</t>
  </si>
  <si>
    <t>한들중학교</t>
  </si>
  <si>
    <t>김제시 중앙로 137</t>
  </si>
  <si>
    <t>546-4832</t>
  </si>
  <si>
    <t>황강초등학교</t>
  </si>
  <si>
    <t>김제시 공덕면 유강4길 94</t>
  </si>
  <si>
    <t>542-6201</t>
  </si>
  <si>
    <t>황산초등학교</t>
  </si>
  <si>
    <t>김제시 황산면 용마로 75</t>
  </si>
  <si>
    <t>546-4006</t>
  </si>
  <si>
    <t>완주</t>
  </si>
  <si>
    <t>가천초등학교</t>
  </si>
  <si>
    <t>완주군 경천면 경가천길 148-9</t>
  </si>
  <si>
    <t>262-9175</t>
  </si>
  <si>
    <t>간중초등학교</t>
  </si>
  <si>
    <t>완주군 용진면 간중길 39</t>
  </si>
  <si>
    <t>243-7012</t>
  </si>
  <si>
    <t>고산고등학교</t>
  </si>
  <si>
    <t>완주군 고산면 고산천로 551-23</t>
  </si>
  <si>
    <t>262-4370</t>
  </si>
  <si>
    <t>고산중학교</t>
  </si>
  <si>
    <t>완주군 고산면 읍내3길 41</t>
  </si>
  <si>
    <t>262-4024</t>
  </si>
  <si>
    <t>고산초등학교</t>
  </si>
  <si>
    <t>완주군 고산면 고산로 153</t>
  </si>
  <si>
    <t>263-4025</t>
  </si>
  <si>
    <t>구이중학교</t>
  </si>
  <si>
    <t>완주군 구이면 구이로 1505</t>
  </si>
  <si>
    <t>221-8993</t>
  </si>
  <si>
    <t>구이초등학교</t>
  </si>
  <si>
    <t>완주군 구이면 구이로 1357</t>
  </si>
  <si>
    <t>222-0025</t>
  </si>
  <si>
    <t>남관초등학교</t>
  </si>
  <si>
    <t>완주군 상관면 마자길 7</t>
  </si>
  <si>
    <t>232-5252</t>
  </si>
  <si>
    <t>대덕초등학교</t>
  </si>
  <si>
    <t>완주군 구이면 구이로 641</t>
  </si>
  <si>
    <t>221-6049</t>
  </si>
  <si>
    <t>동상초등학교</t>
  </si>
  <si>
    <t>완주군 동상면 대아저수로 1525</t>
  </si>
  <si>
    <t>243-9017</t>
  </si>
  <si>
    <t>동양초등학교</t>
  </si>
  <si>
    <t>완주군 소양면 전진로 1059</t>
  </si>
  <si>
    <t>243-8106</t>
  </si>
  <si>
    <t>봉동유치원</t>
  </si>
  <si>
    <t>완주군 봉동읍 봉동동서로 111</t>
  </si>
  <si>
    <t>261-2206</t>
  </si>
  <si>
    <t>봉동초등학교</t>
  </si>
  <si>
    <t>완주군 봉동읍 봉동동서로 105</t>
  </si>
  <si>
    <t>261-2010</t>
  </si>
  <si>
    <t>봉동초등학교양화분교장</t>
  </si>
  <si>
    <t>완주군 고산면 양화로 181-7</t>
  </si>
  <si>
    <t>261-3302</t>
  </si>
  <si>
    <t>봉서유치원</t>
  </si>
  <si>
    <t>완주군 봉동읍 원둔산 6길 5</t>
  </si>
  <si>
    <t>262-6225</t>
  </si>
  <si>
    <t>봉서중학교</t>
  </si>
  <si>
    <t>완주군 봉동읍 둔산3로 131</t>
  </si>
  <si>
    <t>261-6691</t>
  </si>
  <si>
    <t>봉서초등학교</t>
  </si>
  <si>
    <t>완주군 봉동읍 원둔산6길 5</t>
  </si>
  <si>
    <t>261-6659</t>
  </si>
  <si>
    <t>봉성초등학교</t>
  </si>
  <si>
    <t>완주군 봉동읍 신덕성덕길 58-17</t>
  </si>
  <si>
    <t>261-2215</t>
  </si>
  <si>
    <t>비봉초등학교</t>
  </si>
  <si>
    <t>완주군 비봉면 비봉소농길 40</t>
  </si>
  <si>
    <t>263-6014</t>
  </si>
  <si>
    <t>삼례동초등학교</t>
  </si>
  <si>
    <t>완주군 삼례읍 삼봉4로 9</t>
  </si>
  <si>
    <t>262-2226</t>
  </si>
  <si>
    <t>삼례중앙초등학교</t>
  </si>
  <si>
    <t>완주군 삼례읍 웃삼례길 17-10</t>
  </si>
  <si>
    <t>291-2239</t>
  </si>
  <si>
    <t>삼례중학교</t>
  </si>
  <si>
    <t>완주군 삼례읍 신금로 53-23</t>
  </si>
  <si>
    <t>291-2624</t>
  </si>
  <si>
    <t>삼례초등학교</t>
  </si>
  <si>
    <t>완주군 삼례읍 후정로 30</t>
  </si>
  <si>
    <t>291-4788</t>
  </si>
  <si>
    <t>삼봉유치원</t>
  </si>
  <si>
    <t>완주군 삼례읍 삼봉중앙로 91-7</t>
  </si>
  <si>
    <t>262-2115</t>
  </si>
  <si>
    <t>삼우중학교</t>
  </si>
  <si>
    <t>완주군 이서면 반교로 34-9</t>
  </si>
  <si>
    <t>222-7887</t>
  </si>
  <si>
    <t>삼우초등학교</t>
  </si>
  <si>
    <t>완주군 고산면 천호로 27-16</t>
  </si>
  <si>
    <t>263-4215</t>
  </si>
  <si>
    <t>상관중학교</t>
  </si>
  <si>
    <t>완주군 상관면 신리로 111</t>
  </si>
  <si>
    <t>287-9892</t>
  </si>
  <si>
    <t>상관초등학교</t>
  </si>
  <si>
    <t>완주군 상관면 신리로 115</t>
  </si>
  <si>
    <t>282-5008</t>
  </si>
  <si>
    <t>세인고등학교</t>
  </si>
  <si>
    <t>완주군 화산면 화산로 1486</t>
  </si>
  <si>
    <t>261-0077</t>
  </si>
  <si>
    <t>소양서초등학교</t>
  </si>
  <si>
    <t>완주군 소양면 명덕로 38</t>
  </si>
  <si>
    <t>243-8100</t>
  </si>
  <si>
    <t>소양중학교</t>
  </si>
  <si>
    <t>완주군 소양면 소양로 223</t>
  </si>
  <si>
    <t>243-8650</t>
  </si>
  <si>
    <t>소양초등학교</t>
  </si>
  <si>
    <t>완주군 소양면 소양로 239</t>
  </si>
  <si>
    <t>243-8006</t>
  </si>
  <si>
    <t>송광초등학교</t>
  </si>
  <si>
    <t>완주군 소양면 송광새터길 16-3</t>
  </si>
  <si>
    <t>244-8111</t>
  </si>
  <si>
    <t>수소에너지고등학교</t>
  </si>
  <si>
    <t>완주군 삼례읍 삼례역로 41-1</t>
  </si>
  <si>
    <t>291-4911</t>
  </si>
  <si>
    <t>완주고등학교</t>
  </si>
  <si>
    <t>완주군 봉동읍 봉동로 172</t>
  </si>
  <si>
    <t>261-2620</t>
  </si>
  <si>
    <t>완주중학교</t>
  </si>
  <si>
    <t>완주군 봉동읍 봉동동서로 60-6</t>
  </si>
  <si>
    <t>261-5531</t>
  </si>
  <si>
    <t>용봉초등학교</t>
  </si>
  <si>
    <t>완주군 봉동읍 완주로 449</t>
  </si>
  <si>
    <t>244-3022</t>
  </si>
  <si>
    <t>용진중학교</t>
  </si>
  <si>
    <t>완주군 용진면 상운길 11</t>
  </si>
  <si>
    <t>243-3047</t>
  </si>
  <si>
    <t>용진초등학교</t>
  </si>
  <si>
    <t>완주군 용진읍 상삼1길 52</t>
  </si>
  <si>
    <t>243-7010</t>
  </si>
  <si>
    <t>운곡마루유치원</t>
  </si>
  <si>
    <t>완주군 용진읍 비단3길 10</t>
  </si>
  <si>
    <t>247-8781</t>
  </si>
  <si>
    <t>운주중학교</t>
  </si>
  <si>
    <t>완주군 운주면 운주로 64</t>
  </si>
  <si>
    <t>263-7167</t>
  </si>
  <si>
    <t>운주초등학교</t>
  </si>
  <si>
    <t>완주군 운주면 운주로 107</t>
  </si>
  <si>
    <t>263-7012</t>
  </si>
  <si>
    <t>이서초등학교</t>
  </si>
  <si>
    <t>완주군 이서면 이서로 76</t>
  </si>
  <si>
    <t>221-2988</t>
  </si>
  <si>
    <t>이성초등학교</t>
  </si>
  <si>
    <t>완주군 이서면 대문안1길 23</t>
  </si>
  <si>
    <t>221-8123</t>
  </si>
  <si>
    <t>전북체육고등학교</t>
  </si>
  <si>
    <t>완주군 소양면 원암로 46</t>
  </si>
  <si>
    <t>249-2222</t>
  </si>
  <si>
    <t>전북체육중학교</t>
  </si>
  <si>
    <t>전북푸른학교</t>
  </si>
  <si>
    <t>완주군 고산면 대아저수로 157-5</t>
  </si>
  <si>
    <t>263-2600</t>
  </si>
  <si>
    <t>전주예술고등학교</t>
  </si>
  <si>
    <t>완주군 구이면 신전길 120</t>
  </si>
  <si>
    <t>222-2172</t>
  </si>
  <si>
    <t>전주예술중학교</t>
  </si>
  <si>
    <t>903-7728</t>
  </si>
  <si>
    <t>청명초등학교</t>
  </si>
  <si>
    <t>완주군 구이면 구이로 1712</t>
  </si>
  <si>
    <t>221-9032</t>
  </si>
  <si>
    <t>청완초등학교</t>
  </si>
  <si>
    <t>완주군 봉동읍 완주산단9로 80</t>
  </si>
  <si>
    <t>262-9205</t>
  </si>
  <si>
    <t>태봉초등학교</t>
  </si>
  <si>
    <t>완주군 구이면 덕평로 289</t>
  </si>
  <si>
    <t>221-0075</t>
  </si>
  <si>
    <t>한국게임과학고등학교</t>
  </si>
  <si>
    <t>완주군 운주면 대둔산로 1336</t>
  </si>
  <si>
    <t>261-0700</t>
  </si>
  <si>
    <t>한별고등학교</t>
  </si>
  <si>
    <t>완주군 삼례읍 충혼안길 20</t>
  </si>
  <si>
    <t>291-2738</t>
  </si>
  <si>
    <t>화산중학교</t>
  </si>
  <si>
    <t>완주군 화산면 화산로 874</t>
  </si>
  <si>
    <t>260-7600</t>
  </si>
  <si>
    <t>화산초등학교</t>
  </si>
  <si>
    <t>완주군 화산면 화산로 830</t>
  </si>
  <si>
    <t>263-5009</t>
  </si>
  <si>
    <t>진안</t>
  </si>
  <si>
    <t>동향중학교</t>
  </si>
  <si>
    <t>진안군 동향면 창촌길 41</t>
  </si>
  <si>
    <t>432-6317</t>
  </si>
  <si>
    <t>동향초등학교</t>
  </si>
  <si>
    <t>진안군 동향면 하양지1길 5</t>
  </si>
  <si>
    <t>432-7502</t>
  </si>
  <si>
    <t>마령고등학교</t>
  </si>
  <si>
    <t>진안군 마령면 임진로 2076</t>
  </si>
  <si>
    <t>432-2518</t>
  </si>
  <si>
    <t>마령중학교</t>
  </si>
  <si>
    <t>진안군 마령면 임진로 2086</t>
  </si>
  <si>
    <t>432-2690</t>
  </si>
  <si>
    <t>마령초등학교</t>
  </si>
  <si>
    <t>진안군 마령면 임진로 2122</t>
  </si>
  <si>
    <t>432-2513</t>
  </si>
  <si>
    <t>백운중학교</t>
  </si>
  <si>
    <t>진안군 백운면 임진로 1298</t>
  </si>
  <si>
    <t>432-4522</t>
  </si>
  <si>
    <t>백운초등학교</t>
  </si>
  <si>
    <t>진안군 백운면 임진로 1340-8</t>
  </si>
  <si>
    <t>432-6328</t>
  </si>
  <si>
    <t>부귀중학교</t>
  </si>
  <si>
    <t>진안군 부귀면 상거석길 14-7</t>
  </si>
  <si>
    <t>432-8546</t>
  </si>
  <si>
    <t>부귀초등학교</t>
  </si>
  <si>
    <t>진안군 부귀면 부귀로 313-9</t>
  </si>
  <si>
    <t>432-8484</t>
  </si>
  <si>
    <t>송풍초등학교</t>
  </si>
  <si>
    <t>진안군 용담면 안용로 1005</t>
  </si>
  <si>
    <t>433-6373</t>
  </si>
  <si>
    <t>안천고등학교</t>
  </si>
  <si>
    <t>진안군 안천면 진무로 3071-9</t>
  </si>
  <si>
    <t>432-4072</t>
  </si>
  <si>
    <t>안천중학교</t>
  </si>
  <si>
    <t>안천초등학교</t>
  </si>
  <si>
    <t>오천초등학교</t>
  </si>
  <si>
    <t>진안군 진안읍 죽산로 5</t>
  </si>
  <si>
    <t>433-2972</t>
  </si>
  <si>
    <t>외궁초등학교</t>
  </si>
  <si>
    <t>진안군 성수면 가외반로 498</t>
  </si>
  <si>
    <t>432-8997</t>
  </si>
  <si>
    <t>용담중학교</t>
  </si>
  <si>
    <t>장승초등학교</t>
  </si>
  <si>
    <t>진안군 부귀면 곰티로 1287</t>
  </si>
  <si>
    <t>433-9544</t>
  </si>
  <si>
    <t>조림초등학교</t>
  </si>
  <si>
    <t>진안군 정천면 봉학로 52</t>
  </si>
  <si>
    <t>432-5549</t>
  </si>
  <si>
    <t>주천중학교</t>
  </si>
  <si>
    <t>진안군 주천면 동상주천로 2267</t>
  </si>
  <si>
    <t>432-6566</t>
  </si>
  <si>
    <t>주천초등학교</t>
  </si>
  <si>
    <t>진안군 주천면 동상주천로 2225</t>
  </si>
  <si>
    <t>432-6533</t>
  </si>
  <si>
    <t>진성중학교</t>
  </si>
  <si>
    <t>진안군 성수면 관진로 719</t>
  </si>
  <si>
    <t>432-9038</t>
  </si>
  <si>
    <t>진안마이꿈유치원</t>
  </si>
  <si>
    <t>진안군 진안읍 어영골길 29</t>
  </si>
  <si>
    <t>432-8100</t>
  </si>
  <si>
    <t>진안여자중학교</t>
  </si>
  <si>
    <t>진안군 진안읍 어영골길 33</t>
  </si>
  <si>
    <t>433-0883</t>
  </si>
  <si>
    <t>진안제일고등학교</t>
  </si>
  <si>
    <t>진안군 진안읍 대광3길 25-5</t>
  </si>
  <si>
    <t>432-3041</t>
  </si>
  <si>
    <t>진안중앙초등학교</t>
  </si>
  <si>
    <t>진안군 진안읍 학천변길 37-6</t>
  </si>
  <si>
    <t>432-6327</t>
  </si>
  <si>
    <t>진안중학교</t>
  </si>
  <si>
    <t>진안군 진안읍 상역로 86</t>
  </si>
  <si>
    <t>433-1133</t>
  </si>
  <si>
    <t>진안초등학교</t>
  </si>
  <si>
    <t>진안군 진안읍 중앙로 55</t>
  </si>
  <si>
    <t>432-6322</t>
  </si>
  <si>
    <t>한국기술부사관고등학교</t>
  </si>
  <si>
    <t>진안군 진안읍 상역로 96</t>
  </si>
  <si>
    <t>433-2606</t>
  </si>
  <si>
    <t>한국한방고등학교</t>
  </si>
  <si>
    <t>진안군 진안읍 임진로 2765</t>
  </si>
  <si>
    <t>433-9911</t>
  </si>
  <si>
    <t>무주</t>
  </si>
  <si>
    <t>괴목초등학교</t>
  </si>
  <si>
    <t>무주군 적상면 괴목로 536-4</t>
  </si>
  <si>
    <t>324-3617</t>
  </si>
  <si>
    <t>구천초등학교</t>
  </si>
  <si>
    <t>무주군 설천면 구천동로 898</t>
  </si>
  <si>
    <t>322-3065</t>
  </si>
  <si>
    <t>무주고등학교</t>
  </si>
  <si>
    <t>무주군 무주읍 한수로 32</t>
  </si>
  <si>
    <t>322-2017</t>
  </si>
  <si>
    <t>무주반디유치원</t>
  </si>
  <si>
    <t>무주군 무주읍 무설로 127</t>
  </si>
  <si>
    <t>324-2631</t>
  </si>
  <si>
    <t>무주중앙초등학교</t>
  </si>
  <si>
    <t>무주군 무주읍 향학로 87</t>
  </si>
  <si>
    <t>322-2419</t>
  </si>
  <si>
    <t>무주중학교</t>
  </si>
  <si>
    <t>무주군 무주읍 신교로 1</t>
  </si>
  <si>
    <t>322-2018</t>
  </si>
  <si>
    <t>무주초등학교</t>
  </si>
  <si>
    <t>무주군 무주읍 향한로 43</t>
  </si>
  <si>
    <t>322-2505</t>
  </si>
  <si>
    <t>무풍초등학교</t>
  </si>
  <si>
    <t>무주군 무풍면 대덕산로 926</t>
  </si>
  <si>
    <t>324-4405</t>
  </si>
  <si>
    <t>부남중학교</t>
  </si>
  <si>
    <t>무주군 부남면 대소길 10</t>
  </si>
  <si>
    <t>322-8286</t>
  </si>
  <si>
    <t>부남초등학교</t>
  </si>
  <si>
    <t>322-0029</t>
  </si>
  <si>
    <t>설천고등학교</t>
  </si>
  <si>
    <t>무주군 설천면 하평지길 19</t>
  </si>
  <si>
    <t>324-7033</t>
  </si>
  <si>
    <t>설천중학교</t>
  </si>
  <si>
    <t>설천초등학교</t>
  </si>
  <si>
    <t>무주군 설천면 무설로 1599</t>
  </si>
  <si>
    <t>324-7005</t>
  </si>
  <si>
    <t>안성고등학교</t>
  </si>
  <si>
    <t>무주군 안성면 구량천로 147</t>
  </si>
  <si>
    <t>323-0274</t>
  </si>
  <si>
    <t>안성중학교</t>
  </si>
  <si>
    <t>무주군 안성면 구량천로 149</t>
  </si>
  <si>
    <t>323-0115</t>
  </si>
  <si>
    <t>안성초등학교</t>
  </si>
  <si>
    <t>무주군 안성면 칠연로 58</t>
  </si>
  <si>
    <t>323-2013</t>
  </si>
  <si>
    <t>적상중학교</t>
  </si>
  <si>
    <t>무주군 적상면 여용로 269</t>
  </si>
  <si>
    <t>324-6011</t>
  </si>
  <si>
    <t>적상초등학교</t>
  </si>
  <si>
    <t>무주군 적상면 삼가로 16</t>
  </si>
  <si>
    <t>324-6007</t>
  </si>
  <si>
    <t>푸른꿈고등학교</t>
  </si>
  <si>
    <t>무주군안성면진성로23129</t>
  </si>
  <si>
    <t>323-2058</t>
  </si>
  <si>
    <t>학교정보 행 수</t>
  </si>
  <si>
    <t>학교 주소(자동)</t>
  </si>
  <si>
    <t>학교 전화(자동)</t>
  </si>
  <si>
    <t>학교정보 검색 (학교명 · 지역 · 급별)</t>
  </si>
  <si>
    <t>노란색 조건칸에 하나 이상을 입력하고 [검색]을 누르십시오. 결과 행 하나를 선택한 뒤 [선택 학교를 기초자료에 반영]을 누르면 학교명만 기초자료입력!C4에 반영됩니다.</t>
  </si>
  <si>
    <t>교복 학교주관구매 9단계 절차 안내</t>
  </si>
  <si>
    <t>단계 행을 선택하고 [관련 Form ID로 이동]을 누르면 서식선택_출력 시트의 대표 Form ID 행으로 이동합니다. 미구현 서식은 구현상태를 확인하고, 출력 전에는 행정실 담당자가 사실관계·계약조건·서식 상태를 최종 확인해야 합니다.</t>
  </si>
  <si>
    <t>단계</t>
  </si>
  <si>
    <t>해야 할 일</t>
  </si>
  <si>
    <t>관련 Form ID</t>
  </si>
  <si>
    <t>이동 Form ID</t>
  </si>
  <si>
    <t>1. 준비</t>
  </si>
  <si>
    <t>교복선정위원회 구성 및 구매 추진계획 수립</t>
  </si>
  <si>
    <t>F-001~F-006</t>
  </si>
  <si>
    <t>2. 심의</t>
  </si>
  <si>
    <t>학교운영위원회 심의안 상정 및 심의</t>
  </si>
  <si>
    <t>3. 구매요청·기초조사</t>
  </si>
  <si>
    <t>구매 요청, 사양·기초금액·계약방법을 확정</t>
  </si>
  <si>
    <t>F-007~F-010</t>
  </si>
  <si>
    <t>4. 입찰공고</t>
  </si>
  <si>
    <t>사전규격공개, 입찰공고, 특수조건 및 규격서를 확인</t>
  </si>
  <si>
    <t>F-011~F-013</t>
  </si>
  <si>
    <t>5. 제안·접수</t>
  </si>
  <si>
    <t>입찰참가 및 제안서 제출·접수 서류를 관리</t>
  </si>
  <si>
    <t>F-017~F-033</t>
  </si>
  <si>
    <t>6. 평가</t>
  </si>
  <si>
    <t>평가위원회 운영 및 정량·정성 평가를 수행</t>
  </si>
  <si>
    <t>F-014~F-016, F-034~F-040</t>
  </si>
  <si>
    <t>7. 낙찰</t>
  </si>
  <si>
    <t>낙찰자 결정 및 통보</t>
  </si>
  <si>
    <t>F-041~F-042</t>
  </si>
  <si>
    <t>8. 계약·납품</t>
  </si>
  <si>
    <t>계약 체결 및 납품 조건을 확인</t>
  </si>
  <si>
    <t>9. 구매안내·사후평가</t>
  </si>
  <si>
    <t>가정통신문, 수요·만족도 조사 및 결과 정리</t>
  </si>
  <si>
    <t>F-044~F-052</t>
  </si>
  <si>
    <t>교복 학교주관구매 계약방법 안내</t>
  </si>
  <si>
    <t>확인 항목</t>
  </si>
  <si>
    <t>확인 값</t>
  </si>
  <si>
    <t>안내</t>
  </si>
  <si>
    <t>계약방법 유형 선택</t>
  </si>
  <si>
    <t>선택 방법의 절차 안내</t>
  </si>
  <si>
    <t>안내된 계약방법</t>
  </si>
  <si>
    <t>버튼을 누르면 즉시 반영</t>
  </si>
  <si>
    <t>계약방식 버튼을 누르면 B-03에 즉시 반영합니다. 추정금액에 따른 자동 판정은 제공하지 않습니다.</t>
  </si>
  <si>
    <t>불러온 레코드 순번</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</si>
</sst>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yyyy\.mm\.dd\."/>
    <numFmt numFmtId="177" formatCode="yyyy\.mm\.dd\.\ hh:mm"/>
    <numFmt numFmtId="178" formatCode="0.0"/>
  </numFmts>
  <fonts count="22">
    <font>
      <sz val="11"/>
      <color theme="1"/>
      <name val="맑은 고딕"/>
      <family val="2"/>
      <charset val="129"/>
      <scheme val="minor"/>
    </font>
    <font>
      <b/>
      <sz val="12"/>
      <color theme="1"/>
      <name val="맑은 고딕"/>
      <family val="3"/>
      <charset val="129"/>
      <scheme val="minor"/>
    </font>
    <font>
      <b/>
      <sz val="11"/>
      <color theme="1"/>
      <name val="맑은 고딕"/>
      <family val="3"/>
      <charset val="129"/>
      <scheme val="minor"/>
    </font>
    <font>
      <b/>
      <sz val="13"/>
      <color theme="1"/>
      <name val="맑은 고딕"/>
      <family val="3"/>
      <charset val="129"/>
      <scheme val="minor"/>
    </font>
    <font>
      <sz val="8"/>
      <color theme="1"/>
      <name val="맑은 고딕"/>
      <family val="2"/>
      <charset val="129"/>
      <scheme val="minor"/>
    </font>
    <font>
      <sz val="8"/>
      <color rgb="FFA0A0A0"/>
      <name val="맑은 고딕"/>
      <family val="2"/>
      <charset val="129"/>
      <scheme val="minor"/>
    </font>
    <font>
      <sz val="8"/>
      <name val="맑은 고딕"/>
      <family val="2"/>
      <charset val="129"/>
      <scheme val="minor"/>
    </font>
    <font>
      <sz val="8"/>
      <color rgb="FFFF0000"/>
      <name val="맑은 고딕"/>
      <family val="2"/>
      <charset val="129"/>
      <scheme val="minor"/>
    </font>
    <font>
      <b/>
      <sz val="16"/>
      <color theme="1"/>
      <name val="맑은 고딕"/>
      <family val="3"/>
      <charset val="129"/>
      <scheme val="minor"/>
    </font>
    <font>
      <sz val="10"/>
      <color theme="1"/>
      <name val="맑은 고딕"/>
      <family val="3"/>
      <charset val="129"/>
      <scheme val="minor"/>
    </font>
    <font>
      <b/>
      <sz val="10"/>
      <color theme="1"/>
      <name val="맑은 고딕"/>
      <family val="3"/>
      <charset val="129"/>
      <scheme val="minor"/>
    </font>
    <font>
      <b/>
      <sz val="15"/>
      <color theme="1"/>
      <name val="맑은 고딕"/>
      <family val="3"/>
      <charset val="129"/>
      <scheme val="minor"/>
    </font>
    <font>
      <b/>
      <sz val="9"/>
      <color theme="1"/>
      <name val="맑은 고딕"/>
      <family val="3"/>
      <charset val="129"/>
      <scheme val="minor"/>
    </font>
    <font>
      <sz val="9"/>
      <color theme="1"/>
      <name val="맑은 고딕"/>
      <family val="3"/>
      <charset val="129"/>
      <scheme val="minor"/>
    </font>
    <font>
      <sz val="7"/>
      <color theme="1"/>
      <name val="맑은 고딕"/>
      <family val="2"/>
      <charset val="129"/>
      <scheme val="minor"/>
    </font>
    <font>
      <b/>
      <sz val="8"/>
      <color theme="1"/>
      <name val="맑은 고딕"/>
      <family val="3"/>
      <charset val="129"/>
      <scheme val="minor"/>
    </font>
    <font>
      <sz val="8"/>
      <color theme="1"/>
      <name val="맑은 고딕"/>
      <family val="3"/>
      <charset val="129"/>
      <scheme val="minor"/>
    </font>
    <font>
      <sz val="7"/>
      <color rgb="FFFF0000"/>
      <name val="맑은 고딕"/>
      <family val="2"/>
      <charset val="129"/>
      <scheme val="minor"/>
    </font>
    <font>
      <sz val="9"/>
      <color theme="1"/>
      <name val="맑은 고딕"/>
      <family val="2"/>
      <charset val="129"/>
      <scheme val="minor"/>
    </font>
    <font>
      <sz val="11"/>
      <color theme="1"/>
      <name val="맑은 고딕"/>
      <family val="3"/>
      <charset val="129"/>
      <scheme val="minor"/>
    </font>
    <font>
      <sz val="11"/>
      <color rgb="FFFF0000"/>
      <name val="맑은 고딕"/>
      <family val="3"/>
      <charset val="129"/>
      <scheme val="minor"/>
    </font>
    <font>
      <sz val="9"/>
      <name val="Malgun Gothic"/>
      <family val="3"/>
    </font>
  </fonts>
  <fills count="5">
    <fill>
      <patternFill patternType="none"/>
    </fill>
    <fill>
      <patternFill patternType="gray125"/>
    </fill>
    <fill>
      <patternFill patternType="solid">
        <fgColor rgb="FFCCFFFF"/>
        <bgColor indexed="64"/>
      </patternFill>
    </fill>
    <fill>
      <patternFill patternType="solid">
        <fgColor rgb="FFF3F3F3"/>
        <bgColor indexed="64"/>
      </patternFill>
    </fill>
    <fill>
      <patternFill patternType="solid">
        <fgColor rgb="FFE6E6E6"/>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top style="thin">
        <color indexed="64"/>
      </top>
      <bottom/>
      <diagonal/>
    </border>
    <border>
      <left style="thin">
        <color indexed="64"/>
      </left>
      <right style="thin">
        <color indexed="64"/>
      </right>
      <top style="thin">
        <color auto="1"/>
      </top>
      <bottom style="thin">
        <color indexed="64"/>
      </bottom>
      <diagonal/>
    </border>
  </borders>
  <cellStyleXfs count="1">
    <xf numFmtId="0" fontId="0" fillId="0" borderId="0">
      <alignment vertical="center"/>
    </xf>
  </cellStyleXfs>
  <cellXfs count="156">
    <xf numFmtId="0" fontId="0" fillId="0" borderId="0" xfId="0">
      <alignment vertical="center"/>
    </xf>
    <xf numFmtId="0" fontId="0" fillId="0" borderId="1" xfId="0" applyBorder="1">
      <alignment vertical="center"/>
    </xf>
    <xf numFmtId="0" fontId="0" fillId="0" borderId="0" xfId="0" applyAlignment="1">
      <alignment vertical="center" wrapText="1"/>
    </xf>
    <xf numFmtId="0" fontId="2" fillId="0" borderId="0" xfId="0" applyFont="1">
      <alignment vertical="center"/>
    </xf>
    <xf numFmtId="0" fontId="4" fillId="0" borderId="0" xfId="0" applyFont="1">
      <alignment vertical="center"/>
    </xf>
    <xf numFmtId="0" fontId="5" fillId="0" borderId="0" xfId="0" applyFont="1">
      <alignment vertical="center"/>
    </xf>
    <xf numFmtId="1" fontId="0" fillId="0" borderId="0" xfId="0" applyNumberFormat="1">
      <alignment vertical="center"/>
    </xf>
    <xf numFmtId="0" fontId="0" fillId="2" borderId="0" xfId="0" applyFill="1">
      <alignment vertical="center"/>
    </xf>
    <xf numFmtId="3" fontId="0" fillId="0" borderId="0" xfId="0" applyNumberFormat="1">
      <alignment vertical="center"/>
    </xf>
    <xf numFmtId="3" fontId="2" fillId="0" borderId="0" xfId="0" applyNumberFormat="1" applyFont="1">
      <alignment vertical="center"/>
    </xf>
    <xf numFmtId="49" fontId="0" fillId="2" borderId="0" xfId="0" applyNumberFormat="1" applyFill="1">
      <alignment vertical="center"/>
    </xf>
    <xf numFmtId="1" fontId="0" fillId="2" borderId="0" xfId="0" applyNumberFormat="1" applyFill="1">
      <alignment vertical="center"/>
    </xf>
    <xf numFmtId="2" fontId="0" fillId="0" borderId="0" xfId="0" applyNumberFormat="1">
      <alignment vertical="center"/>
    </xf>
    <xf numFmtId="2" fontId="2" fillId="0" borderId="0" xfId="0" applyNumberFormat="1" applyFont="1">
      <alignment vertical="center"/>
    </xf>
    <xf numFmtId="176" fontId="0" fillId="2" borderId="0" xfId="0" applyNumberFormat="1" applyFill="1">
      <alignment vertical="center"/>
    </xf>
    <xf numFmtId="3" fontId="0" fillId="2" borderId="0" xfId="0" applyNumberFormat="1" applyFill="1">
      <alignment vertical="center"/>
    </xf>
    <xf numFmtId="177" fontId="0" fillId="2" borderId="0" xfId="0" applyNumberFormat="1" applyFill="1">
      <alignment vertical="center"/>
    </xf>
    <xf numFmtId="0" fontId="2" fillId="0" borderId="1" xfId="0" applyFont="1" applyBorder="1">
      <alignment vertical="center"/>
    </xf>
    <xf numFmtId="0" fontId="3" fillId="0" borderId="0" xfId="0" applyFont="1">
      <alignment vertical="center"/>
    </xf>
    <xf numFmtId="0" fontId="0" fillId="0" borderId="1" xfId="0" applyBorder="1" applyAlignment="1">
      <alignment horizontal="center" vertical="center"/>
    </xf>
    <xf numFmtId="0" fontId="7" fillId="0" borderId="0" xfId="0" applyFont="1">
      <alignment vertical="center"/>
    </xf>
    <xf numFmtId="0" fontId="9" fillId="0" borderId="0" xfId="0" applyFont="1">
      <alignment vertical="center"/>
    </xf>
    <xf numFmtId="0" fontId="9" fillId="0" borderId="1" xfId="0" applyFont="1" applyBorder="1">
      <alignment vertical="center"/>
    </xf>
    <xf numFmtId="0" fontId="10" fillId="0" borderId="0" xfId="0" applyFont="1">
      <alignment vertical="center"/>
    </xf>
    <xf numFmtId="0" fontId="10" fillId="3" borderId="1" xfId="0" applyFont="1" applyFill="1" applyBorder="1" applyAlignment="1">
      <alignment horizontal="center" vertical="center"/>
    </xf>
    <xf numFmtId="0" fontId="10" fillId="0" borderId="1" xfId="0" applyFont="1" applyBorder="1">
      <alignment vertical="center"/>
    </xf>
    <xf numFmtId="0" fontId="9" fillId="0" borderId="1" xfId="0" applyFont="1" applyBorder="1" applyAlignment="1">
      <alignment vertical="center" wrapText="1"/>
    </xf>
    <xf numFmtId="0" fontId="10" fillId="0" borderId="1" xfId="0" applyFont="1" applyBorder="1" applyAlignment="1">
      <alignment horizontal="center" vertical="center"/>
    </xf>
    <xf numFmtId="0" fontId="2" fillId="0" borderId="1" xfId="0" applyFont="1" applyBorder="1" applyAlignment="1">
      <alignment vertical="center"/>
    </xf>
    <xf numFmtId="0" fontId="13" fillId="0" borderId="1" xfId="0" applyFont="1" applyBorder="1" applyAlignment="1">
      <alignment horizontal="center" vertical="center"/>
    </xf>
    <xf numFmtId="0" fontId="13" fillId="0" borderId="1" xfId="0" applyFont="1" applyBorder="1" applyAlignment="1">
      <alignment vertical="center"/>
    </xf>
    <xf numFmtId="0" fontId="13" fillId="0" borderId="0" xfId="0" applyFont="1" applyAlignment="1">
      <alignment vertical="center"/>
    </xf>
    <xf numFmtId="0" fontId="12" fillId="0" borderId="1" xfId="0" applyFont="1" applyBorder="1" applyAlignment="1">
      <alignment horizontal="center" vertical="center"/>
    </xf>
    <xf numFmtId="0" fontId="13" fillId="0" borderId="1" xfId="0" applyFont="1" applyBorder="1" applyAlignment="1">
      <alignment vertical="center" wrapText="1"/>
    </xf>
    <xf numFmtId="2" fontId="13" fillId="0" borderId="1" xfId="0" applyNumberFormat="1" applyFont="1" applyBorder="1" applyAlignment="1">
      <alignment horizontal="center" vertical="center"/>
    </xf>
    <xf numFmtId="2" fontId="12" fillId="0" borderId="1" xfId="0" applyNumberFormat="1" applyFont="1" applyBorder="1" applyAlignment="1">
      <alignment horizontal="center" vertical="center"/>
    </xf>
    <xf numFmtId="0" fontId="14" fillId="0" borderId="0" xfId="0" applyFont="1">
      <alignment vertical="center"/>
    </xf>
    <xf numFmtId="0" fontId="13" fillId="0" borderId="1" xfId="0" applyFont="1" applyBorder="1">
      <alignment vertical="center"/>
    </xf>
    <xf numFmtId="0" fontId="13" fillId="0" borderId="0" xfId="0" applyFont="1">
      <alignment vertical="center"/>
    </xf>
    <xf numFmtId="0" fontId="16" fillId="0" borderId="0" xfId="0" applyFont="1">
      <alignment vertical="center"/>
    </xf>
    <xf numFmtId="0" fontId="15" fillId="0" borderId="1" xfId="0" applyFont="1" applyBorder="1" applyAlignment="1">
      <alignment horizontal="center" vertical="center" wrapText="1"/>
    </xf>
    <xf numFmtId="0" fontId="16" fillId="0" borderId="1" xfId="0" applyFont="1" applyBorder="1" applyAlignment="1">
      <alignment vertical="center" wrapText="1"/>
    </xf>
    <xf numFmtId="0" fontId="16" fillId="0" borderId="1" xfId="0" applyFont="1" applyBorder="1" applyAlignment="1">
      <alignment horizontal="center" vertical="center" wrapText="1"/>
    </xf>
    <xf numFmtId="0" fontId="16" fillId="0" borderId="0" xfId="0" applyFont="1" applyAlignment="1">
      <alignment vertical="center" wrapText="1"/>
    </xf>
    <xf numFmtId="0" fontId="16" fillId="0" borderId="0" xfId="0" applyFont="1" applyAlignment="1">
      <alignment horizontal="center" vertical="center" wrapText="1"/>
    </xf>
    <xf numFmtId="0" fontId="16" fillId="0" borderId="1" xfId="0" applyFont="1" applyBorder="1" applyAlignment="1">
      <alignment vertical="center" shrinkToFit="1"/>
    </xf>
    <xf numFmtId="0" fontId="16" fillId="0" borderId="1" xfId="0" applyFont="1" applyBorder="1" applyAlignment="1">
      <alignment horizontal="center" vertical="center" shrinkToFit="1"/>
    </xf>
    <xf numFmtId="0" fontId="13" fillId="0" borderId="0" xfId="0" applyFont="1" applyAlignment="1">
      <alignment horizontal="center" vertical="center"/>
    </xf>
    <xf numFmtId="0" fontId="10" fillId="0" borderId="1" xfId="0" applyFont="1" applyBorder="1" applyAlignment="1">
      <alignment vertical="center"/>
    </xf>
    <xf numFmtId="0" fontId="9" fillId="0" borderId="0" xfId="0" applyFont="1" applyAlignment="1">
      <alignment vertical="center"/>
    </xf>
    <xf numFmtId="0" fontId="10" fillId="0" borderId="1" xfId="0" applyFont="1" applyBorder="1" applyAlignment="1">
      <alignment horizontal="center" vertical="center" wrapText="1"/>
    </xf>
    <xf numFmtId="0" fontId="9" fillId="0" borderId="1" xfId="0" applyFont="1" applyBorder="1" applyAlignment="1">
      <alignment horizontal="center" vertical="center"/>
    </xf>
    <xf numFmtId="0" fontId="9" fillId="0" borderId="1" xfId="0" applyFont="1" applyBorder="1" applyAlignment="1">
      <alignment vertical="center"/>
    </xf>
    <xf numFmtId="0" fontId="12" fillId="0" borderId="0" xfId="0" applyFont="1">
      <alignment vertical="center"/>
    </xf>
    <xf numFmtId="0" fontId="12" fillId="0" borderId="0" xfId="0" applyFont="1" applyAlignment="1">
      <alignment vertical="center" wrapText="1"/>
    </xf>
    <xf numFmtId="0" fontId="12" fillId="0" borderId="1" xfId="0" applyFont="1" applyBorder="1">
      <alignment vertical="center"/>
    </xf>
    <xf numFmtId="0" fontId="12" fillId="0" borderId="1" xfId="0" applyFont="1" applyBorder="1" applyAlignment="1">
      <alignment vertical="center" wrapText="1"/>
    </xf>
    <xf numFmtId="0" fontId="19" fillId="0" borderId="0" xfId="0" applyFont="1" applyAlignment="1">
      <alignment vertical="center"/>
    </xf>
    <xf numFmtId="0" fontId="19" fillId="0" borderId="1" xfId="0" applyFont="1" applyBorder="1" applyAlignment="1">
      <alignment vertical="center"/>
    </xf>
    <xf numFmtId="0" fontId="13" fillId="0" borderId="4" xfId="0" applyFont="1" applyBorder="1">
      <alignment vertical="center"/>
    </xf>
    <xf numFmtId="0" fontId="18" fillId="0" borderId="0" xfId="0" applyFont="1">
      <alignment vertical="center"/>
    </xf>
    <xf numFmtId="0" fontId="18" fillId="0" borderId="1" xfId="0" applyFont="1" applyBorder="1">
      <alignment vertical="center"/>
    </xf>
    <xf numFmtId="0" fontId="12" fillId="3" borderId="1" xfId="0" applyFont="1" applyFill="1" applyBorder="1">
      <alignment vertical="center"/>
    </xf>
    <xf numFmtId="0" fontId="12" fillId="3" borderId="1" xfId="0" applyFont="1" applyFill="1" applyBorder="1" applyAlignment="1">
      <alignment horizontal="center" vertical="center"/>
    </xf>
    <xf numFmtId="3" fontId="13" fillId="2" borderId="1" xfId="0" applyNumberFormat="1" applyFont="1" applyFill="1" applyBorder="1">
      <alignment vertical="center"/>
    </xf>
    <xf numFmtId="2" fontId="13" fillId="2" borderId="1" xfId="0" applyNumberFormat="1" applyFont="1" applyFill="1" applyBorder="1">
      <alignment vertical="center"/>
    </xf>
    <xf numFmtId="0" fontId="15" fillId="0" borderId="1" xfId="0" applyFont="1" applyBorder="1" applyAlignment="1">
      <alignment horizontal="center" vertical="center"/>
    </xf>
    <xf numFmtId="0" fontId="2" fillId="3" borderId="1" xfId="0" applyFont="1" applyFill="1" applyBorder="1">
      <alignment vertical="center"/>
    </xf>
    <xf numFmtId="3" fontId="9" fillId="0" borderId="1" xfId="0" applyNumberFormat="1" applyFont="1" applyBorder="1" applyAlignment="1">
      <alignment vertical="center"/>
    </xf>
    <xf numFmtId="0" fontId="13" fillId="2" borderId="1" xfId="0" applyFont="1" applyFill="1" applyBorder="1" applyAlignment="1">
      <alignment horizontal="center" vertical="center"/>
    </xf>
    <xf numFmtId="0" fontId="12" fillId="3" borderId="1" xfId="0" applyFont="1" applyFill="1" applyBorder="1" applyAlignment="1">
      <alignment horizontal="center" vertical="center" wrapText="1"/>
    </xf>
    <xf numFmtId="0" fontId="13" fillId="2" borderId="1" xfId="0" applyFont="1" applyFill="1" applyBorder="1" applyAlignment="1">
      <alignment horizontal="center" vertical="center" wrapText="1"/>
    </xf>
    <xf numFmtId="0" fontId="13" fillId="0" borderId="1" xfId="0" applyFont="1" applyBorder="1" applyAlignment="1">
      <alignment horizontal="center" vertical="center" wrapText="1"/>
    </xf>
    <xf numFmtId="178" fontId="13" fillId="0" borderId="1" xfId="0" applyNumberFormat="1" applyFont="1" applyBorder="1" applyAlignment="1">
      <alignment horizontal="center" vertical="center"/>
    </xf>
    <xf numFmtId="0" fontId="0" fillId="0" borderId="1" xfId="0" applyBorder="1" applyAlignment="1">
      <alignment horizontal="center" vertical="top"/>
    </xf>
    <xf numFmtId="0" fontId="0" fillId="0" borderId="1" xfId="0" applyBorder="1" applyAlignment="1">
      <alignment vertical="top"/>
    </xf>
    <xf numFmtId="0" fontId="0" fillId="0" borderId="1" xfId="0" applyBorder="1" applyAlignment="1">
      <alignment vertical="top" wrapText="1"/>
    </xf>
    <xf numFmtId="0" fontId="0" fillId="2" borderId="1" xfId="0" applyFill="1" applyBorder="1" applyAlignment="1">
      <alignment vertical="top"/>
    </xf>
    <xf numFmtId="0" fontId="3" fillId="0" borderId="0" xfId="0" applyFont="1">
      <alignment vertical="center"/>
    </xf>
    <xf numFmtId="0" fontId="0" fillId="0" borderId="0" xfId="0">
      <alignment vertical="center"/>
    </xf>
    <xf numFmtId="0" fontId="0" fillId="2" borderId="0" xfId="0" applyFill="1" applyAlignment="1">
      <alignment vertical="top" wrapText="1"/>
    </xf>
    <xf numFmtId="0" fontId="0" fillId="0" borderId="0" xfId="0" applyAlignment="1">
      <alignment vertical="top" wrapText="1"/>
    </xf>
    <xf numFmtId="0" fontId="2" fillId="0" borderId="0" xfId="0" applyFont="1">
      <alignment vertical="center"/>
    </xf>
    <xf numFmtId="0" fontId="0" fillId="4" borderId="0" xfId="0" applyFill="1">
      <alignment vertical="center"/>
    </xf>
    <xf numFmtId="0" fontId="2" fillId="0" borderId="0" xfId="0" applyFont="1" applyAlignment="1">
      <alignment vertical="center" wrapText="1"/>
    </xf>
    <xf numFmtId="0" fontId="0" fillId="0" borderId="0" xfId="0" applyAlignment="1">
      <alignment vertical="center" wrapText="1"/>
    </xf>
    <xf numFmtId="0" fontId="13" fillId="0" borderId="0" xfId="0" applyFont="1">
      <alignment vertical="center"/>
    </xf>
    <xf numFmtId="0" fontId="13" fillId="0" borderId="1" xfId="0" applyFont="1" applyBorder="1">
      <alignment vertical="center"/>
    </xf>
    <xf numFmtId="0" fontId="12" fillId="0" borderId="0" xfId="0" applyFont="1">
      <alignment vertical="center"/>
    </xf>
    <xf numFmtId="0" fontId="12" fillId="0" borderId="1" xfId="0" applyFont="1" applyBorder="1">
      <alignment vertical="center"/>
    </xf>
    <xf numFmtId="0" fontId="12" fillId="0" borderId="1" xfId="0" applyFont="1" applyBorder="1" applyAlignment="1">
      <alignment horizontal="center" vertical="center"/>
    </xf>
    <xf numFmtId="0" fontId="12" fillId="0" borderId="1" xfId="0" applyFont="1" applyBorder="1" applyAlignment="1">
      <alignment vertical="center" wrapText="1"/>
    </xf>
    <xf numFmtId="0" fontId="13" fillId="0" borderId="1" xfId="0" applyFont="1" applyBorder="1" applyAlignment="1">
      <alignment vertical="center" wrapText="1"/>
    </xf>
    <xf numFmtId="0" fontId="11" fillId="0" borderId="0" xfId="0" applyFont="1" applyAlignment="1">
      <alignment horizontal="center" vertical="center"/>
    </xf>
    <xf numFmtId="0" fontId="0" fillId="0" borderId="0" xfId="0" applyAlignment="1">
      <alignment horizontal="center" vertical="center"/>
    </xf>
    <xf numFmtId="0" fontId="19" fillId="0" borderId="1" xfId="0" applyFont="1" applyBorder="1" applyAlignment="1">
      <alignment vertical="center"/>
    </xf>
    <xf numFmtId="0" fontId="19" fillId="0" borderId="1" xfId="0" applyFont="1" applyBorder="1" applyAlignment="1">
      <alignment horizontal="center" vertical="center"/>
    </xf>
    <xf numFmtId="0" fontId="2" fillId="0" borderId="1" xfId="0" applyFont="1" applyBorder="1" applyAlignment="1">
      <alignment horizontal="center" vertical="center"/>
    </xf>
    <xf numFmtId="0" fontId="19" fillId="0" borderId="1" xfId="0" applyFont="1" applyBorder="1" applyAlignment="1">
      <alignment vertical="center" wrapText="1"/>
    </xf>
    <xf numFmtId="0" fontId="10" fillId="0" borderId="0" xfId="0" applyFont="1">
      <alignment vertical="center"/>
    </xf>
    <xf numFmtId="0" fontId="9" fillId="0" borderId="0" xfId="0" applyFont="1">
      <alignment vertical="center"/>
    </xf>
    <xf numFmtId="0" fontId="9" fillId="0" borderId="1" xfId="0" applyFont="1" applyBorder="1">
      <alignment vertical="center"/>
    </xf>
    <xf numFmtId="0" fontId="10" fillId="0" borderId="1" xfId="0" applyFont="1" applyBorder="1">
      <alignment vertical="center"/>
    </xf>
    <xf numFmtId="0" fontId="9" fillId="0" borderId="0" xfId="0" applyFont="1" applyAlignment="1">
      <alignment vertical="center" wrapText="1"/>
    </xf>
    <xf numFmtId="0" fontId="13" fillId="0" borderId="0" xfId="0" applyFont="1" applyAlignment="1">
      <alignment vertical="center" wrapText="1"/>
    </xf>
    <xf numFmtId="0" fontId="12" fillId="0" borderId="2" xfId="0" applyFont="1" applyBorder="1">
      <alignment vertical="center"/>
    </xf>
    <xf numFmtId="0" fontId="13" fillId="0" borderId="3" xfId="0" applyFont="1" applyBorder="1" applyAlignment="1">
      <alignment vertical="center" wrapText="1"/>
    </xf>
    <xf numFmtId="0" fontId="13" fillId="0" borderId="4" xfId="0" applyFont="1" applyBorder="1">
      <alignment vertical="center"/>
    </xf>
    <xf numFmtId="0" fontId="10" fillId="0" borderId="1" xfId="0" applyFont="1" applyBorder="1" applyAlignment="1">
      <alignment horizontal="center" vertical="center"/>
    </xf>
    <xf numFmtId="0" fontId="10" fillId="0" borderId="0" xfId="0" applyFont="1" applyAlignment="1">
      <alignment horizontal="center" vertical="center"/>
    </xf>
    <xf numFmtId="0" fontId="9" fillId="0" borderId="0" xfId="0" applyFont="1" applyAlignment="1">
      <alignment horizontal="center" vertical="center"/>
    </xf>
    <xf numFmtId="0" fontId="9" fillId="0" borderId="1" xfId="0" applyFont="1" applyBorder="1" applyAlignment="1">
      <alignment vertical="center" wrapText="1"/>
    </xf>
    <xf numFmtId="0" fontId="8" fillId="0" borderId="0" xfId="0" applyFont="1" applyAlignment="1">
      <alignment horizontal="center" vertical="center"/>
    </xf>
    <xf numFmtId="0" fontId="13" fillId="0" borderId="1" xfId="0" applyFont="1" applyBorder="1" applyAlignment="1">
      <alignment horizontal="center" vertical="center"/>
    </xf>
    <xf numFmtId="0" fontId="12" fillId="3" borderId="1" xfId="0" applyFont="1" applyFill="1" applyBorder="1" applyAlignment="1">
      <alignment horizontal="center" vertical="center"/>
    </xf>
    <xf numFmtId="0" fontId="13" fillId="3" borderId="1" xfId="0" applyFont="1" applyFill="1" applyBorder="1">
      <alignment vertical="center"/>
    </xf>
    <xf numFmtId="0" fontId="13" fillId="0" borderId="0" xfId="0" applyFont="1" applyAlignment="1">
      <alignment horizontal="center" vertical="center"/>
    </xf>
    <xf numFmtId="0" fontId="12" fillId="0" borderId="0" xfId="0" applyFont="1" applyAlignment="1">
      <alignment vertical="center" wrapText="1"/>
    </xf>
    <xf numFmtId="0" fontId="12" fillId="0" borderId="0" xfId="0" applyFont="1" applyAlignment="1">
      <alignment horizontal="center" vertical="center"/>
    </xf>
    <xf numFmtId="0" fontId="13" fillId="0" borderId="0" xfId="0" applyFont="1" applyAlignment="1">
      <alignment vertical="top" wrapText="1"/>
    </xf>
    <xf numFmtId="0" fontId="13" fillId="0" borderId="1" xfId="0" applyFont="1" applyBorder="1" applyAlignment="1">
      <alignment horizontal="left" vertical="center"/>
    </xf>
    <xf numFmtId="0" fontId="17" fillId="0" borderId="0" xfId="0" applyFont="1" applyAlignment="1">
      <alignment vertical="center" wrapText="1"/>
    </xf>
    <xf numFmtId="0" fontId="1" fillId="0" borderId="0" xfId="0" applyFont="1" applyAlignment="1">
      <alignment horizontal="center" vertical="center" wrapText="1"/>
    </xf>
    <xf numFmtId="0" fontId="13" fillId="0" borderId="0" xfId="0" applyFont="1" applyAlignment="1">
      <alignment horizontal="center" vertical="center" wrapText="1"/>
    </xf>
    <xf numFmtId="0" fontId="12" fillId="0" borderId="0" xfId="0" applyFont="1" applyAlignment="1">
      <alignment vertical="center"/>
    </xf>
    <xf numFmtId="0" fontId="13" fillId="0" borderId="0" xfId="0" applyFont="1" applyAlignment="1">
      <alignment vertical="center"/>
    </xf>
    <xf numFmtId="0" fontId="12" fillId="0" borderId="1" xfId="0" applyFont="1" applyBorder="1" applyAlignment="1">
      <alignment vertical="center"/>
    </xf>
    <xf numFmtId="0" fontId="13" fillId="0" borderId="1" xfId="0" applyFont="1" applyBorder="1" applyAlignment="1">
      <alignment horizontal="center" vertical="center" wrapText="1"/>
    </xf>
    <xf numFmtId="0" fontId="15" fillId="0" borderId="0" xfId="0" applyFont="1" applyAlignment="1">
      <alignment horizontal="center" vertical="center"/>
    </xf>
    <xf numFmtId="0" fontId="16" fillId="0" borderId="0" xfId="0" applyFont="1" applyAlignment="1">
      <alignment horizontal="center" vertical="center"/>
    </xf>
    <xf numFmtId="0" fontId="16" fillId="0" borderId="0" xfId="0" applyFont="1" applyAlignment="1">
      <alignment vertical="center" wrapText="1"/>
    </xf>
    <xf numFmtId="0" fontId="13" fillId="0" borderId="1" xfId="0" applyFont="1" applyBorder="1" applyAlignment="1">
      <alignment vertical="center"/>
    </xf>
    <xf numFmtId="0" fontId="12" fillId="0" borderId="1" xfId="0" applyFont="1" applyBorder="1" applyAlignment="1">
      <alignment horizontal="center" vertical="center" wrapText="1"/>
    </xf>
    <xf numFmtId="0" fontId="9" fillId="0" borderId="1" xfId="0" applyFont="1" applyBorder="1" applyAlignment="1">
      <alignment horizontal="center" vertical="center"/>
    </xf>
    <xf numFmtId="0" fontId="9" fillId="0" borderId="1" xfId="0" applyFont="1" applyBorder="1" applyAlignment="1">
      <alignment vertical="center"/>
    </xf>
    <xf numFmtId="0" fontId="10" fillId="0" borderId="1" xfId="0" applyFont="1" applyBorder="1" applyAlignment="1">
      <alignment vertical="center"/>
    </xf>
    <xf numFmtId="0" fontId="17" fillId="0" borderId="0" xfId="0" applyFont="1" applyAlignment="1">
      <alignment vertical="center"/>
    </xf>
    <xf numFmtId="0" fontId="0" fillId="0" borderId="0" xfId="0" applyAlignment="1">
      <alignment vertical="center"/>
    </xf>
    <xf numFmtId="0" fontId="10" fillId="0" borderId="0" xfId="0" applyFont="1" applyAlignment="1">
      <alignment horizontal="center" vertical="center" wrapText="1"/>
    </xf>
    <xf numFmtId="0" fontId="9" fillId="0" borderId="0" xfId="0" applyFont="1" applyAlignment="1">
      <alignment horizontal="center" vertical="center" wrapText="1"/>
    </xf>
    <xf numFmtId="0" fontId="10" fillId="0" borderId="1" xfId="0" applyFont="1" applyBorder="1" applyAlignment="1">
      <alignment vertical="center" wrapText="1"/>
    </xf>
    <xf numFmtId="0" fontId="19" fillId="0" borderId="0" xfId="0" applyFont="1" applyAlignment="1">
      <alignment vertical="center"/>
    </xf>
    <xf numFmtId="0" fontId="19" fillId="0" borderId="0" xfId="0" applyFont="1" applyAlignment="1">
      <alignment horizontal="center" vertical="center"/>
    </xf>
    <xf numFmtId="0" fontId="19" fillId="0" borderId="0" xfId="0" applyFont="1" applyAlignment="1">
      <alignment vertical="center" wrapText="1"/>
    </xf>
    <xf numFmtId="0" fontId="2" fillId="0" borderId="0" xfId="0" applyFont="1" applyAlignment="1">
      <alignment horizontal="center" vertical="center"/>
    </xf>
    <xf numFmtId="0" fontId="20" fillId="0" borderId="0" xfId="0" applyFont="1" applyAlignment="1">
      <alignment vertical="center"/>
    </xf>
    <xf numFmtId="3" fontId="10" fillId="0" borderId="1" xfId="0" applyNumberFormat="1" applyFont="1" applyBorder="1" applyAlignment="1">
      <alignment vertical="center"/>
    </xf>
    <xf numFmtId="0" fontId="9" fillId="0" borderId="0" xfId="0" applyFont="1" applyAlignment="1">
      <alignment vertical="center"/>
    </xf>
    <xf numFmtId="0" fontId="10" fillId="0" borderId="0" xfId="0" applyFont="1" applyAlignment="1">
      <alignment vertical="center"/>
    </xf>
    <xf numFmtId="0" fontId="12" fillId="3" borderId="1" xfId="0" applyFont="1" applyFill="1" applyBorder="1" applyAlignment="1">
      <alignment horizontal="center" vertical="center" wrapText="1"/>
    </xf>
    <xf numFmtId="0" fontId="13" fillId="2" borderId="0" xfId="0" applyFont="1" applyFill="1">
      <alignment vertical="center"/>
    </xf>
    <xf numFmtId="3" fontId="13" fillId="2" borderId="0" xfId="0" applyNumberFormat="1" applyFont="1" applyFill="1">
      <alignment vertical="center"/>
    </xf>
    <xf numFmtId="0" fontId="10" fillId="3" borderId="1" xfId="0" applyFont="1" applyFill="1" applyBorder="1" applyAlignment="1">
      <alignment horizontal="center" vertical="center" wrapText="1"/>
    </xf>
    <xf numFmtId="0" fontId="9" fillId="0" borderId="1" xfId="0" applyFont="1" applyBorder="1" applyAlignment="1">
      <alignment horizontal="center" vertical="center" wrapText="1"/>
    </xf>
    <xf numFmtId="0" fontId="16" fillId="0" borderId="0" xfId="0" applyFont="1">
      <alignment vertical="center"/>
    </xf>
    <xf numFmtId="0" fontId="13" fillId="0" borderId="1" xfId="0" applyFont="1" applyBorder="1" applyAlignment="1">
      <alignment vertical="top" wrapText="1"/>
    </xf>
  </cellXfs>
  <cellStyles count="1">
    <cellStyle name="표준"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서식선택_출력!$A$5"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CheckBox" fmlaLink="서식선택_출력!$A$6" lockText="1" noThreeD="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fmlaLink="서식선택_출력!$A$7"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fmlaLink="서식선택_출력!$A$8"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fmlaLink="서식선택_출력!$A$9" lockText="1" noThreeD="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CheckBox" fmlaLink="서식선택_출력!$A$10" lockText="1" noThreeD="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CheckBox" fmlaLink="서식선택_출력!$A$11" lockText="1" noThreeD="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CheckBox" fmlaLink="서식선택_출력!$A$12" lockText="1" noThreeD="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CheckBox" fmlaLink="서식선택_출력!$A$13" lockText="1" noThreeD="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CheckBox" fmlaLink="서식선택_출력!$A$14" lockText="1" noThreeD="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CheckBox" fmlaLink="서식선택_출력!$A$15" lockText="1" noThreeD="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CheckBox" fmlaLink="서식선택_출력!$A$16" lockText="1" noThreeD="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CheckBox" fmlaLink="서식선택_출력!$A$17" lockText="1" noThreeD="1"/>
</file>

<file path=xl/ctrlProps/ctrlProp35.xml><?xml version="1.0" encoding="utf-8"?>
<formControlPr xmlns="http://schemas.microsoft.com/office/spreadsheetml/2009/9/main" objectType="CheckBox" fmlaLink="서식선택_출력!$A$18" lockText="1" noThreeD="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CheckBox" fmlaLink="서식선택_출력!$A$19" lockText="1" noThreeD="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CheckBox" fmlaLink="서식선택_출력!$A$20" lockText="1" noThreeD="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CheckBox" fmlaLink="서식선택_출력!$A$21" lockText="1" noThreeD="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CheckBox" fmlaLink="서식선택_출력!$A$22" lockText="1" noThreeD="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CheckBox" fmlaLink="서식선택_출력!$A$23" lockText="1" noThreeD="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CheckBox" fmlaLink="서식선택_출력!$A$24" lockText="1" noThreeD="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CheckBox" fmlaLink="서식선택_출력!$A$25" lockText="1" noThreeD="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CheckBox" fmlaLink="서식선택_출력!$A$26" lockText="1" noThreeD="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CheckBox" fmlaLink="서식선택_출력!$A$27" lockText="1" noThreeD="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CheckBox" fmlaLink="서식선택_출력!$A$28" lockText="1" noThreeD="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CheckBox" fmlaLink="서식선택_출력!$A$29" lockText="1" noThreeD="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CheckBox" fmlaLink="서식선택_출력!$A$30" lockText="1" noThreeD="1"/>
</file>

<file path=xl/ctrlProps/ctrlProp60.xml><?xml version="1.0" encoding="utf-8"?>
<formControlPr xmlns="http://schemas.microsoft.com/office/spreadsheetml/2009/9/main" objectType="CheckBox" fmlaLink="서식선택_출력!$A$31" lockText="1" noThreeD="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CheckBox" fmlaLink="서식선택_출력!$A$32" lockText="1" noThreeD="1"/>
</file>

<file path=xl/ctrlProps/ctrlProp63.xml><?xml version="1.0" encoding="utf-8"?>
<formControlPr xmlns="http://schemas.microsoft.com/office/spreadsheetml/2009/9/main" objectType="CheckBox" fmlaLink="서식선택_출력!$A$33" lockText="1" noThreeD="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CheckBox" fmlaLink="서식선택_출력!$A$34" lockText="1" noThreeD="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CheckBox" fmlaLink="서식선택_출력!$A$35" lockText="1" noThreeD="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CheckBox" fmlaLink="서식선택_출력!$A$36" lockText="1" noThreeD="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CheckBox" fmlaLink="서식선택_출력!$A$37" lockText="1" noThreeD="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CheckBox" fmlaLink="서식선택_출력!$A$38" lockText="1" noThreeD="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CheckBox" fmlaLink="서식선택_출력!$A$39" lockText="1" noThreeD="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CheckBox" fmlaLink="서식선택_출력!$A$40" lockText="1" noThreeD="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CheckBox" fmlaLink="서식선택_출력!$A$41" lockText="1" noThreeD="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CheckBox" fmlaLink="서식선택_출력!$A$42" lockText="1" noThreeD="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CheckBox" fmlaLink="서식선택_출력!$A$43" lockText="1" noThreeD="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CheckBox" fmlaLink="서식선택_출력!$A$44" lockText="1" noThreeD="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CheckBox" fmlaLink="서식선택_출력!$A$45" lockText="1" noThreeD="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CheckBox" fmlaLink="서식선택_출력!$A$46" lockText="1" noThreeD="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CheckBox" fmlaLink="서식선택_출력!$A$47" lockText="1" noThreeD="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CheckBox" fmlaLink="서식선택_출력!$A$48" lockText="1" noThreeD="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CheckBox" fmlaLink="서식선택_출력!$A$49" lockText="1" noThreeD="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CheckBox" fmlaLink="서식선택_출력!$A$50" lockText="1" noThreeD="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CheckBox" fmlaLink="서식선택_출력!$A$51" lockText="1" noThreeD="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CheckBox" fmlaLink="서식선택_출력!$A$52" lockText="1" noThreeD="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CheckBox" fmlaLink="서식선택_출력!$A$53" lockText="1" noThreeD="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CheckBox" fmlaLink="서식선택_출력!$A$54" lockText="1" noThreeD="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CheckBox" fmlaLink="서식선택_출력!$A$55" lockText="1" noThreeD="1"/>
</file>

<file path=xl/ctrlProps/ctrlProp108.xml><?xml version="1.0" encoding="utf-8"?>
<formControlPr xmlns="http://schemas.microsoft.com/office/spreadsheetml/2009/9/main" objectType="CheckBox" fmlaLink="서식선택_출력!$A$56" lockText="1" noThreeD="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NUL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63500</xdr:colOff>
      <xdr:row>0</xdr:row>
      <xdr:rowOff>63500</xdr:rowOff>
    </xdr:from>
    <xdr:to>
      <xdr:col>15</xdr:col>
      <xdr:colOff>403860</xdr:colOff>
      <xdr:row>22</xdr:row>
      <xdr:rowOff>170180</xdr:rowOff>
    </xdr:to>
    <xdr:pic>
      <xdr:nvPicPr>
        <xdr:cNvPr id="3" name="imgGuideBanner">
          <a:extLst>
            <a:ext uri="{FF2B5EF4-FFF2-40B4-BE49-F238E27FC236}">
              <a16:creationId xmlns:a16="http://schemas.microsoft.com/office/drawing/2014/main" id="{918EA455-AE0A-4AAB-A674-E0824EB60246}"/>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500" y="63500"/>
          <a:ext cx="10795000" cy="6057900"/>
        </a:xfrm>
        <a:prstGeom prst="rect">
          <a:avLst/>
        </a:prstGeom>
      </xdr:spPr>
    </xdr:pic>
    <xdr:clientData/>
  </xdr:twoCellAnchor>
  <xdr:twoCellAnchor>
    <xdr:from>
      <xdr:col>0</xdr:col>
      <xdr:colOff>393700</xdr:colOff>
      <xdr:row>4</xdr:row>
      <xdr:rowOff>264160</xdr:rowOff>
    </xdr:from>
    <xdr:to>
      <xdr:col>4</xdr:col>
      <xdr:colOff>777240</xdr:colOff>
      <xdr:row>19</xdr:row>
      <xdr:rowOff>198120</xdr:rowOff>
    </xdr:to>
    <xdr:sp macro="이동_계약방법안내" textlink="">
      <xdr:nvSpPr>
        <xdr:cNvPr id="4" name="hotGuideMethod">
          <a:extLst>
            <a:ext uri="{FF2B5EF4-FFF2-40B4-BE49-F238E27FC236}">
              <a16:creationId xmlns:a16="http://schemas.microsoft.com/office/drawing/2014/main" id="{C968739D-326F-41EC-82AC-B16E6D525055}"/>
            </a:ext>
          </a:extLst>
        </xdr:cNvPr>
        <xdr:cNvSpPr/>
      </xdr:nvSpPr>
      <xdr:spPr>
        <a:xfrm>
          <a:off x="393700" y="1612900"/>
          <a:ext cx="3263900" cy="3873500"/>
        </a:xfrm>
        <a:prstGeom prst="rect">
          <a:avLst/>
        </a:prstGeom>
        <a:solidFill>
          <a:schemeClr val="accent1">
            <a:alpha val="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25400</xdr:colOff>
      <xdr:row>4</xdr:row>
      <xdr:rowOff>264160</xdr:rowOff>
    </xdr:from>
    <xdr:to>
      <xdr:col>10</xdr:col>
      <xdr:colOff>111760</xdr:colOff>
      <xdr:row>19</xdr:row>
      <xdr:rowOff>198120</xdr:rowOff>
    </xdr:to>
    <xdr:sp macro="이동_기초자료입력" textlink="">
      <xdr:nvSpPr>
        <xdr:cNvPr id="5" name="hotGuideInput">
          <a:extLst>
            <a:ext uri="{FF2B5EF4-FFF2-40B4-BE49-F238E27FC236}">
              <a16:creationId xmlns:a16="http://schemas.microsoft.com/office/drawing/2014/main" id="{1800F5F3-48B4-4016-B81B-F25CF959F079}"/>
            </a:ext>
          </a:extLst>
        </xdr:cNvPr>
        <xdr:cNvSpPr/>
      </xdr:nvSpPr>
      <xdr:spPr>
        <a:xfrm>
          <a:off x="3797300" y="1612900"/>
          <a:ext cx="3416300" cy="3873500"/>
        </a:xfrm>
        <a:prstGeom prst="rect">
          <a:avLst/>
        </a:prstGeom>
        <a:solidFill>
          <a:schemeClr val="accent1">
            <a:alpha val="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10</xdr:col>
      <xdr:colOff>99060</xdr:colOff>
      <xdr:row>4</xdr:row>
      <xdr:rowOff>264160</xdr:rowOff>
    </xdr:from>
    <xdr:to>
      <xdr:col>15</xdr:col>
      <xdr:colOff>48260</xdr:colOff>
      <xdr:row>19</xdr:row>
      <xdr:rowOff>198120</xdr:rowOff>
    </xdr:to>
    <xdr:sp macro="이동_서식선택출력" textlink="">
      <xdr:nvSpPr>
        <xdr:cNvPr id="6" name="hotGuideOutput">
          <a:extLst>
            <a:ext uri="{FF2B5EF4-FFF2-40B4-BE49-F238E27FC236}">
              <a16:creationId xmlns:a16="http://schemas.microsoft.com/office/drawing/2014/main" id="{0CDF743A-05DD-4740-B799-8FE093D530F1}"/>
            </a:ext>
          </a:extLst>
        </xdr:cNvPr>
        <xdr:cNvSpPr/>
      </xdr:nvSpPr>
      <xdr:spPr>
        <a:xfrm>
          <a:off x="7200900" y="1612900"/>
          <a:ext cx="3302000" cy="3873500"/>
        </a:xfrm>
        <a:prstGeom prst="rect">
          <a:avLst/>
        </a:prstGeom>
        <a:solidFill>
          <a:schemeClr val="accent1">
            <a:alpha val="0"/>
          </a:scheme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541020</xdr:colOff>
          <xdr:row>0</xdr:row>
          <xdr:rowOff>121920</xdr:rowOff>
        </xdr:from>
        <xdr:to>
          <xdr:col>6</xdr:col>
          <xdr:colOff>289560</xdr:colOff>
          <xdr:row>1</xdr:row>
          <xdr:rowOff>167640</xdr:rowOff>
        </xdr:to>
        <xdr:sp macro="" textlink="">
          <xdr:nvSpPr>
            <xdr:cNvPr id="2049" name="btn초기화" hidden="1">
              <a:extLst>
                <a:ext uri="{63B3BB69-23CF-44E3-9099-C40C66FF867C}">
                  <a14:compatExt spid="_x0000_s2049"/>
                </a:ext>
                <a:ext uri="{FF2B5EF4-FFF2-40B4-BE49-F238E27FC236}">
                  <a16:creationId xmlns:a16="http://schemas.microsoft.com/office/drawing/2014/main" id="{1F48E50E-CAC3-41BC-A242-A1B97B782A2B}"/>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초기화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411480</xdr:colOff>
          <xdr:row>0</xdr:row>
          <xdr:rowOff>121920</xdr:rowOff>
        </xdr:from>
        <xdr:to>
          <xdr:col>8</xdr:col>
          <xdr:colOff>91440</xdr:colOff>
          <xdr:row>1</xdr:row>
          <xdr:rowOff>167640</xdr:rowOff>
        </xdr:to>
        <xdr:sp macro="" textlink="">
          <xdr:nvSpPr>
            <xdr:cNvPr id="2050" name="btn저장하기" hidden="1">
              <a:extLst>
                <a:ext uri="{63B3BB69-23CF-44E3-9099-C40C66FF867C}">
                  <a14:compatExt spid="_x0000_s2050"/>
                </a:ext>
                <a:ext uri="{FF2B5EF4-FFF2-40B4-BE49-F238E27FC236}">
                  <a16:creationId xmlns:a16="http://schemas.microsoft.com/office/drawing/2014/main" id="{5E00879C-27DF-48D2-8081-B74C7777A90B}"/>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저장하기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213360</xdr:colOff>
          <xdr:row>0</xdr:row>
          <xdr:rowOff>121920</xdr:rowOff>
        </xdr:from>
        <xdr:to>
          <xdr:col>9</xdr:col>
          <xdr:colOff>563880</xdr:colOff>
          <xdr:row>1</xdr:row>
          <xdr:rowOff>167640</xdr:rowOff>
        </xdr:to>
        <xdr:sp macro="" textlink="">
          <xdr:nvSpPr>
            <xdr:cNvPr id="2051" name="btn수정하기" hidden="1">
              <a:extLst>
                <a:ext uri="{63B3BB69-23CF-44E3-9099-C40C66FF867C}">
                  <a14:compatExt spid="_x0000_s2051"/>
                </a:ext>
                <a:ext uri="{FF2B5EF4-FFF2-40B4-BE49-F238E27FC236}">
                  <a16:creationId xmlns:a16="http://schemas.microsoft.com/office/drawing/2014/main" id="{7649B68E-F300-4A7D-9C67-2F61C6E5BE3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수정하기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15240</xdr:colOff>
          <xdr:row>0</xdr:row>
          <xdr:rowOff>121920</xdr:rowOff>
        </xdr:from>
        <xdr:to>
          <xdr:col>11</xdr:col>
          <xdr:colOff>365760</xdr:colOff>
          <xdr:row>1</xdr:row>
          <xdr:rowOff>167640</xdr:rowOff>
        </xdr:to>
        <xdr:sp macro="" textlink="">
          <xdr:nvSpPr>
            <xdr:cNvPr id="2052" name="btn불러오기" hidden="1">
              <a:extLst>
                <a:ext uri="{63B3BB69-23CF-44E3-9099-C40C66FF867C}">
                  <a14:compatExt spid="_x0000_s2052"/>
                </a:ext>
                <a:ext uri="{FF2B5EF4-FFF2-40B4-BE49-F238E27FC236}">
                  <a16:creationId xmlns:a16="http://schemas.microsoft.com/office/drawing/2014/main" id="{5FDB1A05-C203-4B08-8341-1D48BEECE77D}"/>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불러오기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0</xdr:colOff>
          <xdr:row>1</xdr:row>
          <xdr:rowOff>0</xdr:rowOff>
        </xdr:from>
        <xdr:to>
          <xdr:col>21</xdr:col>
          <xdr:colOff>548640</xdr:colOff>
          <xdr:row>2</xdr:row>
          <xdr:rowOff>83820</xdr:rowOff>
        </xdr:to>
        <xdr:sp macro="" textlink="">
          <xdr:nvSpPr>
            <xdr:cNvPr id="2053" name="btn빠른미리보기" hidden="1">
              <a:extLst>
                <a:ext uri="{63B3BB69-23CF-44E3-9099-C40C66FF867C}">
                  <a14:compatExt spid="_x0000_s2053"/>
                </a:ext>
                <a:ext uri="{FF2B5EF4-FFF2-40B4-BE49-F238E27FC236}">
                  <a16:creationId xmlns:a16="http://schemas.microsoft.com/office/drawing/2014/main" id="{3FF29CE3-7429-4131-8B90-DD6C61EA2919}"/>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선택 서식 인쇄 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678180</xdr:colOff>
          <xdr:row>1</xdr:row>
          <xdr:rowOff>0</xdr:rowOff>
        </xdr:from>
        <xdr:to>
          <xdr:col>22</xdr:col>
          <xdr:colOff>373380</xdr:colOff>
          <xdr:row>2</xdr:row>
          <xdr:rowOff>83820</xdr:rowOff>
        </xdr:to>
        <xdr:sp macro="" textlink="">
          <xdr:nvSpPr>
            <xdr:cNvPr id="2054" name="btn빠른PDF" hidden="1">
              <a:extLst>
                <a:ext uri="{63B3BB69-23CF-44E3-9099-C40C66FF867C}">
                  <a14:compatExt spid="_x0000_s2054"/>
                </a:ext>
                <a:ext uri="{FF2B5EF4-FFF2-40B4-BE49-F238E27FC236}">
                  <a16:creationId xmlns:a16="http://schemas.microsoft.com/office/drawing/2014/main" id="{C0CBE31B-661F-4F76-B034-16BA0835AAF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선택 서식 PDF 저장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495300</xdr:colOff>
          <xdr:row>1</xdr:row>
          <xdr:rowOff>0</xdr:rowOff>
        </xdr:from>
        <xdr:to>
          <xdr:col>24</xdr:col>
          <xdr:colOff>541020</xdr:colOff>
          <xdr:row>2</xdr:row>
          <xdr:rowOff>83820</xdr:rowOff>
        </xdr:to>
        <xdr:sp macro="" textlink="">
          <xdr:nvSpPr>
            <xdr:cNvPr id="2055" name="btn빠른HWPX" hidden="1">
              <a:extLst>
                <a:ext uri="{63B3BB69-23CF-44E3-9099-C40C66FF867C}">
                  <a14:compatExt spid="_x0000_s2055"/>
                </a:ext>
                <a:ext uri="{FF2B5EF4-FFF2-40B4-BE49-F238E27FC236}">
                  <a16:creationId xmlns:a16="http://schemas.microsoft.com/office/drawing/2014/main" id="{8447F058-3418-45E8-AC62-F2DBC32B9437}"/>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선택 서식 HWPX 작성</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0</xdr:colOff>
          <xdr:row>1</xdr:row>
          <xdr:rowOff>0</xdr:rowOff>
        </xdr:from>
        <xdr:to>
          <xdr:col>27</xdr:col>
          <xdr:colOff>563880</xdr:colOff>
          <xdr:row>2</xdr:row>
          <xdr:rowOff>83820</xdr:rowOff>
        </xdr:to>
        <xdr:sp macro="" textlink="">
          <xdr:nvSpPr>
            <xdr:cNvPr id="2056" name="btn이동_계약방법안내" hidden="1">
              <a:extLst>
                <a:ext uri="{63B3BB69-23CF-44E3-9099-C40C66FF867C}">
                  <a14:compatExt spid="_x0000_s2056"/>
                </a:ext>
                <a:ext uri="{FF2B5EF4-FFF2-40B4-BE49-F238E27FC236}">
                  <a16:creationId xmlns:a16="http://schemas.microsoft.com/office/drawing/2014/main" id="{D97E9D40-B9A5-4ED6-B585-E938BAA3126D}"/>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22860</xdr:colOff>
          <xdr:row>1</xdr:row>
          <xdr:rowOff>0</xdr:rowOff>
        </xdr:from>
        <xdr:to>
          <xdr:col>30</xdr:col>
          <xdr:colOff>586740</xdr:colOff>
          <xdr:row>2</xdr:row>
          <xdr:rowOff>83820</xdr:rowOff>
        </xdr:to>
        <xdr:sp macro="" textlink="">
          <xdr:nvSpPr>
            <xdr:cNvPr id="2057" name="btn이동_DB열기" hidden="1">
              <a:extLst>
                <a:ext uri="{63B3BB69-23CF-44E3-9099-C40C66FF867C}">
                  <a14:compatExt spid="_x0000_s2057"/>
                </a:ext>
                <a:ext uri="{FF2B5EF4-FFF2-40B4-BE49-F238E27FC236}">
                  <a16:creationId xmlns:a16="http://schemas.microsoft.com/office/drawing/2014/main" id="{9F18F594-82B5-497B-96A0-B55BDFE45A4D}"/>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DB 열기(관리자용)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xdr:row>
          <xdr:rowOff>7620</xdr:rowOff>
        </xdr:from>
        <xdr:to>
          <xdr:col>19</xdr:col>
          <xdr:colOff>259080</xdr:colOff>
          <xdr:row>5</xdr:row>
          <xdr:rowOff>38100</xdr:rowOff>
        </xdr:to>
        <xdr:sp macro="" textlink="">
          <xdr:nvSpPr>
            <xdr:cNvPr id="2058" name="chkQuick_F-001" hidden="1">
              <a:extLst>
                <a:ext uri="{63B3BB69-23CF-44E3-9099-C40C66FF867C}">
                  <a14:compatExt spid="_x0000_s2058"/>
                </a:ext>
                <a:ext uri="{FF2B5EF4-FFF2-40B4-BE49-F238E27FC236}">
                  <a16:creationId xmlns:a16="http://schemas.microsoft.com/office/drawing/2014/main" id="{F3F2C190-B0BA-45F8-A48B-4432A19F173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xdr:row>
          <xdr:rowOff>15240</xdr:rowOff>
        </xdr:from>
        <xdr:to>
          <xdr:col>23</xdr:col>
          <xdr:colOff>60960</xdr:colOff>
          <xdr:row>4</xdr:row>
          <xdr:rowOff>205740</xdr:rowOff>
        </xdr:to>
        <xdr:sp macro="" textlink="">
          <xdr:nvSpPr>
            <xdr:cNvPr id="2059" name="btnQuickView_F-001" hidden="1">
              <a:extLst>
                <a:ext uri="{63B3BB69-23CF-44E3-9099-C40C66FF867C}">
                  <a14:compatExt spid="_x0000_s2059"/>
                </a:ext>
                <a:ext uri="{FF2B5EF4-FFF2-40B4-BE49-F238E27FC236}">
                  <a16:creationId xmlns:a16="http://schemas.microsoft.com/office/drawing/2014/main" id="{23B6BE6B-58E9-4816-969B-E24A1D8DB334}"/>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xdr:row>
          <xdr:rowOff>7620</xdr:rowOff>
        </xdr:from>
        <xdr:to>
          <xdr:col>19</xdr:col>
          <xdr:colOff>259080</xdr:colOff>
          <xdr:row>6</xdr:row>
          <xdr:rowOff>38100</xdr:rowOff>
        </xdr:to>
        <xdr:sp macro="" textlink="">
          <xdr:nvSpPr>
            <xdr:cNvPr id="2060" name="chkQuick_F-002" hidden="1">
              <a:extLst>
                <a:ext uri="{63B3BB69-23CF-44E3-9099-C40C66FF867C}">
                  <a14:compatExt spid="_x0000_s2060"/>
                </a:ext>
                <a:ext uri="{FF2B5EF4-FFF2-40B4-BE49-F238E27FC236}">
                  <a16:creationId xmlns:a16="http://schemas.microsoft.com/office/drawing/2014/main" id="{2A9149A5-AA73-4B46-97BA-6E89174D783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xdr:row>
          <xdr:rowOff>15240</xdr:rowOff>
        </xdr:from>
        <xdr:to>
          <xdr:col>23</xdr:col>
          <xdr:colOff>60960</xdr:colOff>
          <xdr:row>5</xdr:row>
          <xdr:rowOff>205740</xdr:rowOff>
        </xdr:to>
        <xdr:sp macro="" textlink="">
          <xdr:nvSpPr>
            <xdr:cNvPr id="2061" name="btnQuickView_F-002" hidden="1">
              <a:extLst>
                <a:ext uri="{63B3BB69-23CF-44E3-9099-C40C66FF867C}">
                  <a14:compatExt spid="_x0000_s2061"/>
                </a:ext>
                <a:ext uri="{FF2B5EF4-FFF2-40B4-BE49-F238E27FC236}">
                  <a16:creationId xmlns:a16="http://schemas.microsoft.com/office/drawing/2014/main" id="{C4B6A746-2C63-40A9-B0C5-DBAE00BAE2B4}"/>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6</xdr:row>
          <xdr:rowOff>7620</xdr:rowOff>
        </xdr:from>
        <xdr:to>
          <xdr:col>19</xdr:col>
          <xdr:colOff>259080</xdr:colOff>
          <xdr:row>7</xdr:row>
          <xdr:rowOff>38100</xdr:rowOff>
        </xdr:to>
        <xdr:sp macro="" textlink="">
          <xdr:nvSpPr>
            <xdr:cNvPr id="2062" name="chkQuick_F-003" hidden="1">
              <a:extLst>
                <a:ext uri="{63B3BB69-23CF-44E3-9099-C40C66FF867C}">
                  <a14:compatExt spid="_x0000_s2062"/>
                </a:ext>
                <a:ext uri="{FF2B5EF4-FFF2-40B4-BE49-F238E27FC236}">
                  <a16:creationId xmlns:a16="http://schemas.microsoft.com/office/drawing/2014/main" id="{71390CC1-E37E-4E78-A5AB-E694D6CE68C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6</xdr:row>
          <xdr:rowOff>15240</xdr:rowOff>
        </xdr:from>
        <xdr:to>
          <xdr:col>23</xdr:col>
          <xdr:colOff>60960</xdr:colOff>
          <xdr:row>6</xdr:row>
          <xdr:rowOff>205740</xdr:rowOff>
        </xdr:to>
        <xdr:sp macro="" textlink="">
          <xdr:nvSpPr>
            <xdr:cNvPr id="2063" name="btnQuickView_F-003" hidden="1">
              <a:extLst>
                <a:ext uri="{63B3BB69-23CF-44E3-9099-C40C66FF867C}">
                  <a14:compatExt spid="_x0000_s2063"/>
                </a:ext>
                <a:ext uri="{FF2B5EF4-FFF2-40B4-BE49-F238E27FC236}">
                  <a16:creationId xmlns:a16="http://schemas.microsoft.com/office/drawing/2014/main" id="{13A37F07-A066-4AE7-AB19-9125C5320971}"/>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7</xdr:row>
          <xdr:rowOff>7620</xdr:rowOff>
        </xdr:from>
        <xdr:to>
          <xdr:col>19</xdr:col>
          <xdr:colOff>259080</xdr:colOff>
          <xdr:row>8</xdr:row>
          <xdr:rowOff>38100</xdr:rowOff>
        </xdr:to>
        <xdr:sp macro="" textlink="">
          <xdr:nvSpPr>
            <xdr:cNvPr id="2064" name="chkQuick_F-004" hidden="1">
              <a:extLst>
                <a:ext uri="{63B3BB69-23CF-44E3-9099-C40C66FF867C}">
                  <a14:compatExt spid="_x0000_s2064"/>
                </a:ext>
                <a:ext uri="{FF2B5EF4-FFF2-40B4-BE49-F238E27FC236}">
                  <a16:creationId xmlns:a16="http://schemas.microsoft.com/office/drawing/2014/main" id="{8ECE3B2B-9DE0-457E-9022-A2E8D3F27F6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7</xdr:row>
          <xdr:rowOff>15240</xdr:rowOff>
        </xdr:from>
        <xdr:to>
          <xdr:col>23</xdr:col>
          <xdr:colOff>60960</xdr:colOff>
          <xdr:row>7</xdr:row>
          <xdr:rowOff>205740</xdr:rowOff>
        </xdr:to>
        <xdr:sp macro="" textlink="">
          <xdr:nvSpPr>
            <xdr:cNvPr id="2065" name="btnQuickView_F-004" hidden="1">
              <a:extLst>
                <a:ext uri="{63B3BB69-23CF-44E3-9099-C40C66FF867C}">
                  <a14:compatExt spid="_x0000_s2065"/>
                </a:ext>
                <a:ext uri="{FF2B5EF4-FFF2-40B4-BE49-F238E27FC236}">
                  <a16:creationId xmlns:a16="http://schemas.microsoft.com/office/drawing/2014/main" id="{7581F10B-D59C-43B1-8A7F-AB734288596F}"/>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8</xdr:row>
          <xdr:rowOff>7620</xdr:rowOff>
        </xdr:from>
        <xdr:to>
          <xdr:col>19</xdr:col>
          <xdr:colOff>259080</xdr:colOff>
          <xdr:row>9</xdr:row>
          <xdr:rowOff>38100</xdr:rowOff>
        </xdr:to>
        <xdr:sp macro="" textlink="">
          <xdr:nvSpPr>
            <xdr:cNvPr id="2066" name="chkQuick_F-005" hidden="1">
              <a:extLst>
                <a:ext uri="{63B3BB69-23CF-44E3-9099-C40C66FF867C}">
                  <a14:compatExt spid="_x0000_s2066"/>
                </a:ext>
                <a:ext uri="{FF2B5EF4-FFF2-40B4-BE49-F238E27FC236}">
                  <a16:creationId xmlns:a16="http://schemas.microsoft.com/office/drawing/2014/main" id="{32E360E4-1CDD-4929-9B9A-34A674163F6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8</xdr:row>
          <xdr:rowOff>15240</xdr:rowOff>
        </xdr:from>
        <xdr:to>
          <xdr:col>23</xdr:col>
          <xdr:colOff>60960</xdr:colOff>
          <xdr:row>8</xdr:row>
          <xdr:rowOff>205740</xdr:rowOff>
        </xdr:to>
        <xdr:sp macro="" textlink="">
          <xdr:nvSpPr>
            <xdr:cNvPr id="2067" name="btnQuickView_F-005" hidden="1">
              <a:extLst>
                <a:ext uri="{63B3BB69-23CF-44E3-9099-C40C66FF867C}">
                  <a14:compatExt spid="_x0000_s2067"/>
                </a:ext>
                <a:ext uri="{FF2B5EF4-FFF2-40B4-BE49-F238E27FC236}">
                  <a16:creationId xmlns:a16="http://schemas.microsoft.com/office/drawing/2014/main" id="{95DB1B52-CFD9-4F0E-966B-2591C2B69FD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9</xdr:row>
          <xdr:rowOff>7620</xdr:rowOff>
        </xdr:from>
        <xdr:to>
          <xdr:col>19</xdr:col>
          <xdr:colOff>259080</xdr:colOff>
          <xdr:row>10</xdr:row>
          <xdr:rowOff>38100</xdr:rowOff>
        </xdr:to>
        <xdr:sp macro="" textlink="">
          <xdr:nvSpPr>
            <xdr:cNvPr id="2068" name="chkQuick_F-006" hidden="1">
              <a:extLst>
                <a:ext uri="{63B3BB69-23CF-44E3-9099-C40C66FF867C}">
                  <a14:compatExt spid="_x0000_s2068"/>
                </a:ext>
                <a:ext uri="{FF2B5EF4-FFF2-40B4-BE49-F238E27FC236}">
                  <a16:creationId xmlns:a16="http://schemas.microsoft.com/office/drawing/2014/main" id="{044D1403-1750-4399-901B-479621F40A6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9</xdr:row>
          <xdr:rowOff>15240</xdr:rowOff>
        </xdr:from>
        <xdr:to>
          <xdr:col>23</xdr:col>
          <xdr:colOff>60960</xdr:colOff>
          <xdr:row>9</xdr:row>
          <xdr:rowOff>205740</xdr:rowOff>
        </xdr:to>
        <xdr:sp macro="" textlink="">
          <xdr:nvSpPr>
            <xdr:cNvPr id="2069" name="btnQuickView_F-006" hidden="1">
              <a:extLst>
                <a:ext uri="{63B3BB69-23CF-44E3-9099-C40C66FF867C}">
                  <a14:compatExt spid="_x0000_s2069"/>
                </a:ext>
                <a:ext uri="{FF2B5EF4-FFF2-40B4-BE49-F238E27FC236}">
                  <a16:creationId xmlns:a16="http://schemas.microsoft.com/office/drawing/2014/main" id="{22E2B29F-BDB9-48D6-8FD6-19B4057A92ED}"/>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10</xdr:row>
          <xdr:rowOff>7620</xdr:rowOff>
        </xdr:from>
        <xdr:to>
          <xdr:col>19</xdr:col>
          <xdr:colOff>259080</xdr:colOff>
          <xdr:row>11</xdr:row>
          <xdr:rowOff>38100</xdr:rowOff>
        </xdr:to>
        <xdr:sp macro="" textlink="">
          <xdr:nvSpPr>
            <xdr:cNvPr id="2070" name="chkQuick_F-007" hidden="1">
              <a:extLst>
                <a:ext uri="{63B3BB69-23CF-44E3-9099-C40C66FF867C}">
                  <a14:compatExt spid="_x0000_s2070"/>
                </a:ext>
                <a:ext uri="{FF2B5EF4-FFF2-40B4-BE49-F238E27FC236}">
                  <a16:creationId xmlns:a16="http://schemas.microsoft.com/office/drawing/2014/main" id="{3DCB7E47-132A-47BE-BD06-22E9101A3A9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10</xdr:row>
          <xdr:rowOff>15240</xdr:rowOff>
        </xdr:from>
        <xdr:to>
          <xdr:col>23</xdr:col>
          <xdr:colOff>60960</xdr:colOff>
          <xdr:row>10</xdr:row>
          <xdr:rowOff>205740</xdr:rowOff>
        </xdr:to>
        <xdr:sp macro="" textlink="">
          <xdr:nvSpPr>
            <xdr:cNvPr id="2071" name="btnQuickView_F-007" hidden="1">
              <a:extLst>
                <a:ext uri="{63B3BB69-23CF-44E3-9099-C40C66FF867C}">
                  <a14:compatExt spid="_x0000_s2071"/>
                </a:ext>
                <a:ext uri="{FF2B5EF4-FFF2-40B4-BE49-F238E27FC236}">
                  <a16:creationId xmlns:a16="http://schemas.microsoft.com/office/drawing/2014/main" id="{A28EEADA-F1F9-44D9-BD5A-04F4287AEAEF}"/>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11</xdr:row>
          <xdr:rowOff>7620</xdr:rowOff>
        </xdr:from>
        <xdr:to>
          <xdr:col>19</xdr:col>
          <xdr:colOff>259080</xdr:colOff>
          <xdr:row>12</xdr:row>
          <xdr:rowOff>38100</xdr:rowOff>
        </xdr:to>
        <xdr:sp macro="" textlink="">
          <xdr:nvSpPr>
            <xdr:cNvPr id="2072" name="chkQuick_F-008" hidden="1">
              <a:extLst>
                <a:ext uri="{63B3BB69-23CF-44E3-9099-C40C66FF867C}">
                  <a14:compatExt spid="_x0000_s2072"/>
                </a:ext>
                <a:ext uri="{FF2B5EF4-FFF2-40B4-BE49-F238E27FC236}">
                  <a16:creationId xmlns:a16="http://schemas.microsoft.com/office/drawing/2014/main" id="{F0F3D2E0-6B16-45D6-978C-C1F365B1E53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11</xdr:row>
          <xdr:rowOff>15240</xdr:rowOff>
        </xdr:from>
        <xdr:to>
          <xdr:col>23</xdr:col>
          <xdr:colOff>60960</xdr:colOff>
          <xdr:row>11</xdr:row>
          <xdr:rowOff>205740</xdr:rowOff>
        </xdr:to>
        <xdr:sp macro="" textlink="">
          <xdr:nvSpPr>
            <xdr:cNvPr id="2073" name="btnQuickView_F-008" hidden="1">
              <a:extLst>
                <a:ext uri="{63B3BB69-23CF-44E3-9099-C40C66FF867C}">
                  <a14:compatExt spid="_x0000_s2073"/>
                </a:ext>
                <a:ext uri="{FF2B5EF4-FFF2-40B4-BE49-F238E27FC236}">
                  <a16:creationId xmlns:a16="http://schemas.microsoft.com/office/drawing/2014/main" id="{1C8D89F1-E173-40B4-80A8-ECA0D5B59A89}"/>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12</xdr:row>
          <xdr:rowOff>7620</xdr:rowOff>
        </xdr:from>
        <xdr:to>
          <xdr:col>19</xdr:col>
          <xdr:colOff>259080</xdr:colOff>
          <xdr:row>13</xdr:row>
          <xdr:rowOff>38100</xdr:rowOff>
        </xdr:to>
        <xdr:sp macro="" textlink="">
          <xdr:nvSpPr>
            <xdr:cNvPr id="2074" name="chkQuick_F-009" hidden="1">
              <a:extLst>
                <a:ext uri="{63B3BB69-23CF-44E3-9099-C40C66FF867C}">
                  <a14:compatExt spid="_x0000_s2074"/>
                </a:ext>
                <a:ext uri="{FF2B5EF4-FFF2-40B4-BE49-F238E27FC236}">
                  <a16:creationId xmlns:a16="http://schemas.microsoft.com/office/drawing/2014/main" id="{09E1D73E-4BDE-4972-9CA9-950A42F127B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12</xdr:row>
          <xdr:rowOff>15240</xdr:rowOff>
        </xdr:from>
        <xdr:to>
          <xdr:col>23</xdr:col>
          <xdr:colOff>60960</xdr:colOff>
          <xdr:row>12</xdr:row>
          <xdr:rowOff>205740</xdr:rowOff>
        </xdr:to>
        <xdr:sp macro="" textlink="">
          <xdr:nvSpPr>
            <xdr:cNvPr id="2075" name="btnQuickView_F-009" hidden="1">
              <a:extLst>
                <a:ext uri="{63B3BB69-23CF-44E3-9099-C40C66FF867C}">
                  <a14:compatExt spid="_x0000_s2075"/>
                </a:ext>
                <a:ext uri="{FF2B5EF4-FFF2-40B4-BE49-F238E27FC236}">
                  <a16:creationId xmlns:a16="http://schemas.microsoft.com/office/drawing/2014/main" id="{9F751EF6-1058-4996-B7B8-8877A92991EA}"/>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13</xdr:row>
          <xdr:rowOff>7620</xdr:rowOff>
        </xdr:from>
        <xdr:to>
          <xdr:col>19</xdr:col>
          <xdr:colOff>259080</xdr:colOff>
          <xdr:row>14</xdr:row>
          <xdr:rowOff>38100</xdr:rowOff>
        </xdr:to>
        <xdr:sp macro="" textlink="">
          <xdr:nvSpPr>
            <xdr:cNvPr id="2076" name="chkQuick_F-010" hidden="1">
              <a:extLst>
                <a:ext uri="{63B3BB69-23CF-44E3-9099-C40C66FF867C}">
                  <a14:compatExt spid="_x0000_s2076"/>
                </a:ext>
                <a:ext uri="{FF2B5EF4-FFF2-40B4-BE49-F238E27FC236}">
                  <a16:creationId xmlns:a16="http://schemas.microsoft.com/office/drawing/2014/main" id="{69A72BF9-5BF4-4E33-A210-00B4CC48591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13</xdr:row>
          <xdr:rowOff>15240</xdr:rowOff>
        </xdr:from>
        <xdr:to>
          <xdr:col>23</xdr:col>
          <xdr:colOff>60960</xdr:colOff>
          <xdr:row>13</xdr:row>
          <xdr:rowOff>205740</xdr:rowOff>
        </xdr:to>
        <xdr:sp macro="" textlink="">
          <xdr:nvSpPr>
            <xdr:cNvPr id="2077" name="btnQuickView_F-010" hidden="1">
              <a:extLst>
                <a:ext uri="{63B3BB69-23CF-44E3-9099-C40C66FF867C}">
                  <a14:compatExt spid="_x0000_s2077"/>
                </a:ext>
                <a:ext uri="{FF2B5EF4-FFF2-40B4-BE49-F238E27FC236}">
                  <a16:creationId xmlns:a16="http://schemas.microsoft.com/office/drawing/2014/main" id="{6F70EFCE-9DB2-4539-98BE-9EE74FFFB5AB}"/>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14</xdr:row>
          <xdr:rowOff>7620</xdr:rowOff>
        </xdr:from>
        <xdr:to>
          <xdr:col>19</xdr:col>
          <xdr:colOff>259080</xdr:colOff>
          <xdr:row>15</xdr:row>
          <xdr:rowOff>38100</xdr:rowOff>
        </xdr:to>
        <xdr:sp macro="" textlink="">
          <xdr:nvSpPr>
            <xdr:cNvPr id="2078" name="chkQuick_F-011" hidden="1">
              <a:extLst>
                <a:ext uri="{63B3BB69-23CF-44E3-9099-C40C66FF867C}">
                  <a14:compatExt spid="_x0000_s2078"/>
                </a:ext>
                <a:ext uri="{FF2B5EF4-FFF2-40B4-BE49-F238E27FC236}">
                  <a16:creationId xmlns:a16="http://schemas.microsoft.com/office/drawing/2014/main" id="{BC0AC381-D17A-4B21-8741-02976664C6F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14</xdr:row>
          <xdr:rowOff>15240</xdr:rowOff>
        </xdr:from>
        <xdr:to>
          <xdr:col>23</xdr:col>
          <xdr:colOff>60960</xdr:colOff>
          <xdr:row>14</xdr:row>
          <xdr:rowOff>205740</xdr:rowOff>
        </xdr:to>
        <xdr:sp macro="" textlink="">
          <xdr:nvSpPr>
            <xdr:cNvPr id="2079" name="btnQuickView_F-011" hidden="1">
              <a:extLst>
                <a:ext uri="{63B3BB69-23CF-44E3-9099-C40C66FF867C}">
                  <a14:compatExt spid="_x0000_s2079"/>
                </a:ext>
                <a:ext uri="{FF2B5EF4-FFF2-40B4-BE49-F238E27FC236}">
                  <a16:creationId xmlns:a16="http://schemas.microsoft.com/office/drawing/2014/main" id="{21720D7A-DF3A-4FA8-9796-507964CF6A4A}"/>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15</xdr:row>
          <xdr:rowOff>7620</xdr:rowOff>
        </xdr:from>
        <xdr:to>
          <xdr:col>19</xdr:col>
          <xdr:colOff>259080</xdr:colOff>
          <xdr:row>16</xdr:row>
          <xdr:rowOff>38100</xdr:rowOff>
        </xdr:to>
        <xdr:sp macro="" textlink="">
          <xdr:nvSpPr>
            <xdr:cNvPr id="2080" name="chkQuick_F-012" hidden="1">
              <a:extLst>
                <a:ext uri="{63B3BB69-23CF-44E3-9099-C40C66FF867C}">
                  <a14:compatExt spid="_x0000_s2080"/>
                </a:ext>
                <a:ext uri="{FF2B5EF4-FFF2-40B4-BE49-F238E27FC236}">
                  <a16:creationId xmlns:a16="http://schemas.microsoft.com/office/drawing/2014/main" id="{B68FCB72-AD06-40EA-BFBE-AA0DE770591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15</xdr:row>
          <xdr:rowOff>15240</xdr:rowOff>
        </xdr:from>
        <xdr:to>
          <xdr:col>23</xdr:col>
          <xdr:colOff>60960</xdr:colOff>
          <xdr:row>15</xdr:row>
          <xdr:rowOff>205740</xdr:rowOff>
        </xdr:to>
        <xdr:sp macro="" textlink="">
          <xdr:nvSpPr>
            <xdr:cNvPr id="2081" name="btnQuickView_F-012" hidden="1">
              <a:extLst>
                <a:ext uri="{63B3BB69-23CF-44E3-9099-C40C66FF867C}">
                  <a14:compatExt spid="_x0000_s2081"/>
                </a:ext>
                <a:ext uri="{FF2B5EF4-FFF2-40B4-BE49-F238E27FC236}">
                  <a16:creationId xmlns:a16="http://schemas.microsoft.com/office/drawing/2014/main" id="{3C309442-BF83-4496-A70B-5D029D62585C}"/>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16</xdr:row>
          <xdr:rowOff>7620</xdr:rowOff>
        </xdr:from>
        <xdr:to>
          <xdr:col>19</xdr:col>
          <xdr:colOff>259080</xdr:colOff>
          <xdr:row>17</xdr:row>
          <xdr:rowOff>38100</xdr:rowOff>
        </xdr:to>
        <xdr:sp macro="" textlink="">
          <xdr:nvSpPr>
            <xdr:cNvPr id="2082" name="chkQuick_F-013" hidden="1">
              <a:extLst>
                <a:ext uri="{63B3BB69-23CF-44E3-9099-C40C66FF867C}">
                  <a14:compatExt spid="_x0000_s2082"/>
                </a:ext>
                <a:ext uri="{FF2B5EF4-FFF2-40B4-BE49-F238E27FC236}">
                  <a16:creationId xmlns:a16="http://schemas.microsoft.com/office/drawing/2014/main" id="{8EA18166-444B-483C-B072-5F4530BA843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17</xdr:row>
          <xdr:rowOff>7620</xdr:rowOff>
        </xdr:from>
        <xdr:to>
          <xdr:col>19</xdr:col>
          <xdr:colOff>259080</xdr:colOff>
          <xdr:row>18</xdr:row>
          <xdr:rowOff>38100</xdr:rowOff>
        </xdr:to>
        <xdr:sp macro="" textlink="">
          <xdr:nvSpPr>
            <xdr:cNvPr id="2083" name="chkQuick_F-014" hidden="1">
              <a:extLst>
                <a:ext uri="{63B3BB69-23CF-44E3-9099-C40C66FF867C}">
                  <a14:compatExt spid="_x0000_s2083"/>
                </a:ext>
                <a:ext uri="{FF2B5EF4-FFF2-40B4-BE49-F238E27FC236}">
                  <a16:creationId xmlns:a16="http://schemas.microsoft.com/office/drawing/2014/main" id="{CEC82A54-BF1F-4FD1-A353-99EE1F4B6AF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17</xdr:row>
          <xdr:rowOff>15240</xdr:rowOff>
        </xdr:from>
        <xdr:to>
          <xdr:col>23</xdr:col>
          <xdr:colOff>60960</xdr:colOff>
          <xdr:row>17</xdr:row>
          <xdr:rowOff>205740</xdr:rowOff>
        </xdr:to>
        <xdr:sp macro="" textlink="">
          <xdr:nvSpPr>
            <xdr:cNvPr id="2084" name="btnQuickView_F-014" hidden="1">
              <a:extLst>
                <a:ext uri="{63B3BB69-23CF-44E3-9099-C40C66FF867C}">
                  <a14:compatExt spid="_x0000_s2084"/>
                </a:ext>
                <a:ext uri="{FF2B5EF4-FFF2-40B4-BE49-F238E27FC236}">
                  <a16:creationId xmlns:a16="http://schemas.microsoft.com/office/drawing/2014/main" id="{2743ECBE-07C8-48FA-9EE4-94ED02AA3943}"/>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18</xdr:row>
          <xdr:rowOff>7620</xdr:rowOff>
        </xdr:from>
        <xdr:to>
          <xdr:col>19</xdr:col>
          <xdr:colOff>259080</xdr:colOff>
          <xdr:row>19</xdr:row>
          <xdr:rowOff>38100</xdr:rowOff>
        </xdr:to>
        <xdr:sp macro="" textlink="">
          <xdr:nvSpPr>
            <xdr:cNvPr id="2085" name="chkQuick_F-015" hidden="1">
              <a:extLst>
                <a:ext uri="{63B3BB69-23CF-44E3-9099-C40C66FF867C}">
                  <a14:compatExt spid="_x0000_s2085"/>
                </a:ext>
                <a:ext uri="{FF2B5EF4-FFF2-40B4-BE49-F238E27FC236}">
                  <a16:creationId xmlns:a16="http://schemas.microsoft.com/office/drawing/2014/main" id="{18C884D7-53D6-4055-A322-05EC973C2E6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18</xdr:row>
          <xdr:rowOff>15240</xdr:rowOff>
        </xdr:from>
        <xdr:to>
          <xdr:col>23</xdr:col>
          <xdr:colOff>60960</xdr:colOff>
          <xdr:row>18</xdr:row>
          <xdr:rowOff>205740</xdr:rowOff>
        </xdr:to>
        <xdr:sp macro="" textlink="">
          <xdr:nvSpPr>
            <xdr:cNvPr id="2086" name="btnQuickView_F-015" hidden="1">
              <a:extLst>
                <a:ext uri="{63B3BB69-23CF-44E3-9099-C40C66FF867C}">
                  <a14:compatExt spid="_x0000_s2086"/>
                </a:ext>
                <a:ext uri="{FF2B5EF4-FFF2-40B4-BE49-F238E27FC236}">
                  <a16:creationId xmlns:a16="http://schemas.microsoft.com/office/drawing/2014/main" id="{8818A7C9-AB1D-4872-A022-366918A6D7FF}"/>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19</xdr:row>
          <xdr:rowOff>7620</xdr:rowOff>
        </xdr:from>
        <xdr:to>
          <xdr:col>19</xdr:col>
          <xdr:colOff>259080</xdr:colOff>
          <xdr:row>20</xdr:row>
          <xdr:rowOff>38100</xdr:rowOff>
        </xdr:to>
        <xdr:sp macro="" textlink="">
          <xdr:nvSpPr>
            <xdr:cNvPr id="2087" name="chkQuick_F-016" hidden="1">
              <a:extLst>
                <a:ext uri="{63B3BB69-23CF-44E3-9099-C40C66FF867C}">
                  <a14:compatExt spid="_x0000_s2087"/>
                </a:ext>
                <a:ext uri="{FF2B5EF4-FFF2-40B4-BE49-F238E27FC236}">
                  <a16:creationId xmlns:a16="http://schemas.microsoft.com/office/drawing/2014/main" id="{0AC7A025-E720-4B9C-B6AB-90DEAAC2CB1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19</xdr:row>
          <xdr:rowOff>15240</xdr:rowOff>
        </xdr:from>
        <xdr:to>
          <xdr:col>23</xdr:col>
          <xdr:colOff>60960</xdr:colOff>
          <xdr:row>19</xdr:row>
          <xdr:rowOff>205740</xdr:rowOff>
        </xdr:to>
        <xdr:sp macro="" textlink="">
          <xdr:nvSpPr>
            <xdr:cNvPr id="2088" name="btnQuickView_F-016" hidden="1">
              <a:extLst>
                <a:ext uri="{63B3BB69-23CF-44E3-9099-C40C66FF867C}">
                  <a14:compatExt spid="_x0000_s2088"/>
                </a:ext>
                <a:ext uri="{FF2B5EF4-FFF2-40B4-BE49-F238E27FC236}">
                  <a16:creationId xmlns:a16="http://schemas.microsoft.com/office/drawing/2014/main" id="{F4B8A2E0-188D-407A-AD82-5A4709259189}"/>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20</xdr:row>
          <xdr:rowOff>7620</xdr:rowOff>
        </xdr:from>
        <xdr:to>
          <xdr:col>19</xdr:col>
          <xdr:colOff>259080</xdr:colOff>
          <xdr:row>21</xdr:row>
          <xdr:rowOff>38100</xdr:rowOff>
        </xdr:to>
        <xdr:sp macro="" textlink="">
          <xdr:nvSpPr>
            <xdr:cNvPr id="2089" name="chkQuick_F-017" hidden="1">
              <a:extLst>
                <a:ext uri="{63B3BB69-23CF-44E3-9099-C40C66FF867C}">
                  <a14:compatExt spid="_x0000_s2089"/>
                </a:ext>
                <a:ext uri="{FF2B5EF4-FFF2-40B4-BE49-F238E27FC236}">
                  <a16:creationId xmlns:a16="http://schemas.microsoft.com/office/drawing/2014/main" id="{E4919647-B40F-4475-B2C6-8B218376DE3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20</xdr:row>
          <xdr:rowOff>15240</xdr:rowOff>
        </xdr:from>
        <xdr:to>
          <xdr:col>23</xdr:col>
          <xdr:colOff>60960</xdr:colOff>
          <xdr:row>20</xdr:row>
          <xdr:rowOff>205740</xdr:rowOff>
        </xdr:to>
        <xdr:sp macro="" textlink="">
          <xdr:nvSpPr>
            <xdr:cNvPr id="2090" name="btnQuickView_F-017" hidden="1">
              <a:extLst>
                <a:ext uri="{63B3BB69-23CF-44E3-9099-C40C66FF867C}">
                  <a14:compatExt spid="_x0000_s2090"/>
                </a:ext>
                <a:ext uri="{FF2B5EF4-FFF2-40B4-BE49-F238E27FC236}">
                  <a16:creationId xmlns:a16="http://schemas.microsoft.com/office/drawing/2014/main" id="{579A591D-5D04-46FB-968A-E471EEE8EA47}"/>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21</xdr:row>
          <xdr:rowOff>7620</xdr:rowOff>
        </xdr:from>
        <xdr:to>
          <xdr:col>19</xdr:col>
          <xdr:colOff>259080</xdr:colOff>
          <xdr:row>22</xdr:row>
          <xdr:rowOff>38100</xdr:rowOff>
        </xdr:to>
        <xdr:sp macro="" textlink="">
          <xdr:nvSpPr>
            <xdr:cNvPr id="2091" name="chkQuick_F-018" hidden="1">
              <a:extLst>
                <a:ext uri="{63B3BB69-23CF-44E3-9099-C40C66FF867C}">
                  <a14:compatExt spid="_x0000_s2091"/>
                </a:ext>
                <a:ext uri="{FF2B5EF4-FFF2-40B4-BE49-F238E27FC236}">
                  <a16:creationId xmlns:a16="http://schemas.microsoft.com/office/drawing/2014/main" id="{2F8D026E-5553-4F4F-90A7-CA1E687408A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21</xdr:row>
          <xdr:rowOff>15240</xdr:rowOff>
        </xdr:from>
        <xdr:to>
          <xdr:col>23</xdr:col>
          <xdr:colOff>60960</xdr:colOff>
          <xdr:row>21</xdr:row>
          <xdr:rowOff>205740</xdr:rowOff>
        </xdr:to>
        <xdr:sp macro="" textlink="">
          <xdr:nvSpPr>
            <xdr:cNvPr id="2092" name="btnQuickView_F-018" hidden="1">
              <a:extLst>
                <a:ext uri="{63B3BB69-23CF-44E3-9099-C40C66FF867C}">
                  <a14:compatExt spid="_x0000_s2092"/>
                </a:ext>
                <a:ext uri="{FF2B5EF4-FFF2-40B4-BE49-F238E27FC236}">
                  <a16:creationId xmlns:a16="http://schemas.microsoft.com/office/drawing/2014/main" id="{FF24C5E1-ED61-46BD-8747-9741111E8875}"/>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22</xdr:row>
          <xdr:rowOff>7620</xdr:rowOff>
        </xdr:from>
        <xdr:to>
          <xdr:col>19</xdr:col>
          <xdr:colOff>259080</xdr:colOff>
          <xdr:row>23</xdr:row>
          <xdr:rowOff>38100</xdr:rowOff>
        </xdr:to>
        <xdr:sp macro="" textlink="">
          <xdr:nvSpPr>
            <xdr:cNvPr id="2093" name="chkQuick_F-019" hidden="1">
              <a:extLst>
                <a:ext uri="{63B3BB69-23CF-44E3-9099-C40C66FF867C}">
                  <a14:compatExt spid="_x0000_s2093"/>
                </a:ext>
                <a:ext uri="{FF2B5EF4-FFF2-40B4-BE49-F238E27FC236}">
                  <a16:creationId xmlns:a16="http://schemas.microsoft.com/office/drawing/2014/main" id="{2D0557A9-15EC-40BA-A703-FAE77075405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22</xdr:row>
          <xdr:rowOff>15240</xdr:rowOff>
        </xdr:from>
        <xdr:to>
          <xdr:col>23</xdr:col>
          <xdr:colOff>60960</xdr:colOff>
          <xdr:row>22</xdr:row>
          <xdr:rowOff>205740</xdr:rowOff>
        </xdr:to>
        <xdr:sp macro="" textlink="">
          <xdr:nvSpPr>
            <xdr:cNvPr id="2094" name="btnQuickView_F-019" hidden="1">
              <a:extLst>
                <a:ext uri="{63B3BB69-23CF-44E3-9099-C40C66FF867C}">
                  <a14:compatExt spid="_x0000_s2094"/>
                </a:ext>
                <a:ext uri="{FF2B5EF4-FFF2-40B4-BE49-F238E27FC236}">
                  <a16:creationId xmlns:a16="http://schemas.microsoft.com/office/drawing/2014/main" id="{28417A3E-97FD-4097-A28B-3329A32B1634}"/>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23</xdr:row>
          <xdr:rowOff>7620</xdr:rowOff>
        </xdr:from>
        <xdr:to>
          <xdr:col>19</xdr:col>
          <xdr:colOff>259080</xdr:colOff>
          <xdr:row>24</xdr:row>
          <xdr:rowOff>38100</xdr:rowOff>
        </xdr:to>
        <xdr:sp macro="" textlink="">
          <xdr:nvSpPr>
            <xdr:cNvPr id="2095" name="chkQuick_F-020" hidden="1">
              <a:extLst>
                <a:ext uri="{63B3BB69-23CF-44E3-9099-C40C66FF867C}">
                  <a14:compatExt spid="_x0000_s2095"/>
                </a:ext>
                <a:ext uri="{FF2B5EF4-FFF2-40B4-BE49-F238E27FC236}">
                  <a16:creationId xmlns:a16="http://schemas.microsoft.com/office/drawing/2014/main" id="{31765DC5-BC15-478D-B64D-3EE2CC708E8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23</xdr:row>
          <xdr:rowOff>15240</xdr:rowOff>
        </xdr:from>
        <xdr:to>
          <xdr:col>23</xdr:col>
          <xdr:colOff>60960</xdr:colOff>
          <xdr:row>23</xdr:row>
          <xdr:rowOff>205740</xdr:rowOff>
        </xdr:to>
        <xdr:sp macro="" textlink="">
          <xdr:nvSpPr>
            <xdr:cNvPr id="2096" name="btnQuickView_F-020" hidden="1">
              <a:extLst>
                <a:ext uri="{63B3BB69-23CF-44E3-9099-C40C66FF867C}">
                  <a14:compatExt spid="_x0000_s2096"/>
                </a:ext>
                <a:ext uri="{FF2B5EF4-FFF2-40B4-BE49-F238E27FC236}">
                  <a16:creationId xmlns:a16="http://schemas.microsoft.com/office/drawing/2014/main" id="{2316A1F0-C566-4339-87F3-E11CFAB44E22}"/>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24</xdr:row>
          <xdr:rowOff>7620</xdr:rowOff>
        </xdr:from>
        <xdr:to>
          <xdr:col>19</xdr:col>
          <xdr:colOff>259080</xdr:colOff>
          <xdr:row>24</xdr:row>
          <xdr:rowOff>259080</xdr:rowOff>
        </xdr:to>
        <xdr:sp macro="" textlink="">
          <xdr:nvSpPr>
            <xdr:cNvPr id="2097" name="chkQuick_F-021" hidden="1">
              <a:extLst>
                <a:ext uri="{63B3BB69-23CF-44E3-9099-C40C66FF867C}">
                  <a14:compatExt spid="_x0000_s2097"/>
                </a:ext>
                <a:ext uri="{FF2B5EF4-FFF2-40B4-BE49-F238E27FC236}">
                  <a16:creationId xmlns:a16="http://schemas.microsoft.com/office/drawing/2014/main" id="{0E461554-ECAF-45EE-B814-233B1F42609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24</xdr:row>
          <xdr:rowOff>281940</xdr:rowOff>
        </xdr:from>
        <xdr:to>
          <xdr:col>23</xdr:col>
          <xdr:colOff>60960</xdr:colOff>
          <xdr:row>24</xdr:row>
          <xdr:rowOff>472440</xdr:rowOff>
        </xdr:to>
        <xdr:sp macro="" textlink="">
          <xdr:nvSpPr>
            <xdr:cNvPr id="2098" name="btnQuickView_F-021" hidden="1">
              <a:extLst>
                <a:ext uri="{63B3BB69-23CF-44E3-9099-C40C66FF867C}">
                  <a14:compatExt spid="_x0000_s2098"/>
                </a:ext>
                <a:ext uri="{FF2B5EF4-FFF2-40B4-BE49-F238E27FC236}">
                  <a16:creationId xmlns:a16="http://schemas.microsoft.com/office/drawing/2014/main" id="{B53737D2-EEBD-473F-A2A9-F957446F2061}"/>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25</xdr:row>
          <xdr:rowOff>7620</xdr:rowOff>
        </xdr:from>
        <xdr:to>
          <xdr:col>19</xdr:col>
          <xdr:colOff>259080</xdr:colOff>
          <xdr:row>26</xdr:row>
          <xdr:rowOff>38100</xdr:rowOff>
        </xdr:to>
        <xdr:sp macro="" textlink="">
          <xdr:nvSpPr>
            <xdr:cNvPr id="2099" name="chkQuick_F-022" hidden="1">
              <a:extLst>
                <a:ext uri="{63B3BB69-23CF-44E3-9099-C40C66FF867C}">
                  <a14:compatExt spid="_x0000_s2099"/>
                </a:ext>
                <a:ext uri="{FF2B5EF4-FFF2-40B4-BE49-F238E27FC236}">
                  <a16:creationId xmlns:a16="http://schemas.microsoft.com/office/drawing/2014/main" id="{1614279E-D181-4875-B782-7D2AFFFD98C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25</xdr:row>
          <xdr:rowOff>15240</xdr:rowOff>
        </xdr:from>
        <xdr:to>
          <xdr:col>23</xdr:col>
          <xdr:colOff>60960</xdr:colOff>
          <xdr:row>25</xdr:row>
          <xdr:rowOff>205740</xdr:rowOff>
        </xdr:to>
        <xdr:sp macro="" textlink="">
          <xdr:nvSpPr>
            <xdr:cNvPr id="2100" name="btnQuickView_F-022" hidden="1">
              <a:extLst>
                <a:ext uri="{63B3BB69-23CF-44E3-9099-C40C66FF867C}">
                  <a14:compatExt spid="_x0000_s2100"/>
                </a:ext>
                <a:ext uri="{FF2B5EF4-FFF2-40B4-BE49-F238E27FC236}">
                  <a16:creationId xmlns:a16="http://schemas.microsoft.com/office/drawing/2014/main" id="{61898950-3B5D-44C9-B728-780AD7205D74}"/>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26</xdr:row>
          <xdr:rowOff>7620</xdr:rowOff>
        </xdr:from>
        <xdr:to>
          <xdr:col>19</xdr:col>
          <xdr:colOff>259080</xdr:colOff>
          <xdr:row>27</xdr:row>
          <xdr:rowOff>38100</xdr:rowOff>
        </xdr:to>
        <xdr:sp macro="" textlink="">
          <xdr:nvSpPr>
            <xdr:cNvPr id="2101" name="chkQuick_F-023" hidden="1">
              <a:extLst>
                <a:ext uri="{63B3BB69-23CF-44E3-9099-C40C66FF867C}">
                  <a14:compatExt spid="_x0000_s2101"/>
                </a:ext>
                <a:ext uri="{FF2B5EF4-FFF2-40B4-BE49-F238E27FC236}">
                  <a16:creationId xmlns:a16="http://schemas.microsoft.com/office/drawing/2014/main" id="{94D27799-86E8-47C0-839A-CDB7522B58F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26</xdr:row>
          <xdr:rowOff>15240</xdr:rowOff>
        </xdr:from>
        <xdr:to>
          <xdr:col>23</xdr:col>
          <xdr:colOff>60960</xdr:colOff>
          <xdr:row>26</xdr:row>
          <xdr:rowOff>205740</xdr:rowOff>
        </xdr:to>
        <xdr:sp macro="" textlink="">
          <xdr:nvSpPr>
            <xdr:cNvPr id="2102" name="btnQuickView_F-023" hidden="1">
              <a:extLst>
                <a:ext uri="{63B3BB69-23CF-44E3-9099-C40C66FF867C}">
                  <a14:compatExt spid="_x0000_s2102"/>
                </a:ext>
                <a:ext uri="{FF2B5EF4-FFF2-40B4-BE49-F238E27FC236}">
                  <a16:creationId xmlns:a16="http://schemas.microsoft.com/office/drawing/2014/main" id="{E8BDDC1E-3621-432E-A0C9-0BDEDDB5D52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27</xdr:row>
          <xdr:rowOff>7620</xdr:rowOff>
        </xdr:from>
        <xdr:to>
          <xdr:col>19</xdr:col>
          <xdr:colOff>259080</xdr:colOff>
          <xdr:row>28</xdr:row>
          <xdr:rowOff>38100</xdr:rowOff>
        </xdr:to>
        <xdr:sp macro="" textlink="">
          <xdr:nvSpPr>
            <xdr:cNvPr id="2103" name="chkQuick_F-024" hidden="1">
              <a:extLst>
                <a:ext uri="{63B3BB69-23CF-44E3-9099-C40C66FF867C}">
                  <a14:compatExt spid="_x0000_s2103"/>
                </a:ext>
                <a:ext uri="{FF2B5EF4-FFF2-40B4-BE49-F238E27FC236}">
                  <a16:creationId xmlns:a16="http://schemas.microsoft.com/office/drawing/2014/main" id="{97438E9A-D149-419C-8190-3F163EF1CDE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27</xdr:row>
          <xdr:rowOff>15240</xdr:rowOff>
        </xdr:from>
        <xdr:to>
          <xdr:col>23</xdr:col>
          <xdr:colOff>60960</xdr:colOff>
          <xdr:row>27</xdr:row>
          <xdr:rowOff>205740</xdr:rowOff>
        </xdr:to>
        <xdr:sp macro="" textlink="">
          <xdr:nvSpPr>
            <xdr:cNvPr id="2104" name="btnQuickView_F-024" hidden="1">
              <a:extLst>
                <a:ext uri="{63B3BB69-23CF-44E3-9099-C40C66FF867C}">
                  <a14:compatExt spid="_x0000_s2104"/>
                </a:ext>
                <a:ext uri="{FF2B5EF4-FFF2-40B4-BE49-F238E27FC236}">
                  <a16:creationId xmlns:a16="http://schemas.microsoft.com/office/drawing/2014/main" id="{2C2A545B-0EF2-4AD8-B8B6-8870110664C8}"/>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28</xdr:row>
          <xdr:rowOff>7620</xdr:rowOff>
        </xdr:from>
        <xdr:to>
          <xdr:col>19</xdr:col>
          <xdr:colOff>259080</xdr:colOff>
          <xdr:row>29</xdr:row>
          <xdr:rowOff>38100</xdr:rowOff>
        </xdr:to>
        <xdr:sp macro="" textlink="">
          <xdr:nvSpPr>
            <xdr:cNvPr id="2105" name="chkQuick_F-025" hidden="1">
              <a:extLst>
                <a:ext uri="{63B3BB69-23CF-44E3-9099-C40C66FF867C}">
                  <a14:compatExt spid="_x0000_s2105"/>
                </a:ext>
                <a:ext uri="{FF2B5EF4-FFF2-40B4-BE49-F238E27FC236}">
                  <a16:creationId xmlns:a16="http://schemas.microsoft.com/office/drawing/2014/main" id="{566D6056-468B-4746-9153-BE5E08DBE39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28</xdr:row>
          <xdr:rowOff>15240</xdr:rowOff>
        </xdr:from>
        <xdr:to>
          <xdr:col>23</xdr:col>
          <xdr:colOff>60960</xdr:colOff>
          <xdr:row>28</xdr:row>
          <xdr:rowOff>205740</xdr:rowOff>
        </xdr:to>
        <xdr:sp macro="" textlink="">
          <xdr:nvSpPr>
            <xdr:cNvPr id="2106" name="btnQuickView_F-025" hidden="1">
              <a:extLst>
                <a:ext uri="{63B3BB69-23CF-44E3-9099-C40C66FF867C}">
                  <a14:compatExt spid="_x0000_s2106"/>
                </a:ext>
                <a:ext uri="{FF2B5EF4-FFF2-40B4-BE49-F238E27FC236}">
                  <a16:creationId xmlns:a16="http://schemas.microsoft.com/office/drawing/2014/main" id="{30DA5C43-8E97-431A-B3B8-0AAC91C15A9C}"/>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29</xdr:row>
          <xdr:rowOff>7620</xdr:rowOff>
        </xdr:from>
        <xdr:to>
          <xdr:col>19</xdr:col>
          <xdr:colOff>259080</xdr:colOff>
          <xdr:row>30</xdr:row>
          <xdr:rowOff>38100</xdr:rowOff>
        </xdr:to>
        <xdr:sp macro="" textlink="">
          <xdr:nvSpPr>
            <xdr:cNvPr id="2107" name="chkQuick_F-026" hidden="1">
              <a:extLst>
                <a:ext uri="{63B3BB69-23CF-44E3-9099-C40C66FF867C}">
                  <a14:compatExt spid="_x0000_s2107"/>
                </a:ext>
                <a:ext uri="{FF2B5EF4-FFF2-40B4-BE49-F238E27FC236}">
                  <a16:creationId xmlns:a16="http://schemas.microsoft.com/office/drawing/2014/main" id="{7C5FE2CD-E6F4-4F2C-BF15-FD3B6EAE112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30</xdr:row>
          <xdr:rowOff>7620</xdr:rowOff>
        </xdr:from>
        <xdr:to>
          <xdr:col>19</xdr:col>
          <xdr:colOff>259080</xdr:colOff>
          <xdr:row>31</xdr:row>
          <xdr:rowOff>38100</xdr:rowOff>
        </xdr:to>
        <xdr:sp macro="" textlink="">
          <xdr:nvSpPr>
            <xdr:cNvPr id="2108" name="chkQuick_F-027" hidden="1">
              <a:extLst>
                <a:ext uri="{63B3BB69-23CF-44E3-9099-C40C66FF867C}">
                  <a14:compatExt spid="_x0000_s2108"/>
                </a:ext>
                <a:ext uri="{FF2B5EF4-FFF2-40B4-BE49-F238E27FC236}">
                  <a16:creationId xmlns:a16="http://schemas.microsoft.com/office/drawing/2014/main" id="{36928994-3849-416A-B5EF-C05E02ADE65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30</xdr:row>
          <xdr:rowOff>15240</xdr:rowOff>
        </xdr:from>
        <xdr:to>
          <xdr:col>23</xdr:col>
          <xdr:colOff>60960</xdr:colOff>
          <xdr:row>30</xdr:row>
          <xdr:rowOff>205740</xdr:rowOff>
        </xdr:to>
        <xdr:sp macro="" textlink="">
          <xdr:nvSpPr>
            <xdr:cNvPr id="2109" name="btnQuickView_F-027" hidden="1">
              <a:extLst>
                <a:ext uri="{63B3BB69-23CF-44E3-9099-C40C66FF867C}">
                  <a14:compatExt spid="_x0000_s2109"/>
                </a:ext>
                <a:ext uri="{FF2B5EF4-FFF2-40B4-BE49-F238E27FC236}">
                  <a16:creationId xmlns:a16="http://schemas.microsoft.com/office/drawing/2014/main" id="{AC2FE34B-6A34-4433-ABA0-142B18C8F7B5}"/>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31</xdr:row>
          <xdr:rowOff>7620</xdr:rowOff>
        </xdr:from>
        <xdr:to>
          <xdr:col>19</xdr:col>
          <xdr:colOff>259080</xdr:colOff>
          <xdr:row>32</xdr:row>
          <xdr:rowOff>38100</xdr:rowOff>
        </xdr:to>
        <xdr:sp macro="" textlink="">
          <xdr:nvSpPr>
            <xdr:cNvPr id="2110" name="chkQuick_F-028" hidden="1">
              <a:extLst>
                <a:ext uri="{63B3BB69-23CF-44E3-9099-C40C66FF867C}">
                  <a14:compatExt spid="_x0000_s2110"/>
                </a:ext>
                <a:ext uri="{FF2B5EF4-FFF2-40B4-BE49-F238E27FC236}">
                  <a16:creationId xmlns:a16="http://schemas.microsoft.com/office/drawing/2014/main" id="{9A404666-A1CB-4FC7-8FA0-BBBEEF96D87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32</xdr:row>
          <xdr:rowOff>7620</xdr:rowOff>
        </xdr:from>
        <xdr:to>
          <xdr:col>19</xdr:col>
          <xdr:colOff>259080</xdr:colOff>
          <xdr:row>33</xdr:row>
          <xdr:rowOff>38100</xdr:rowOff>
        </xdr:to>
        <xdr:sp macro="" textlink="">
          <xdr:nvSpPr>
            <xdr:cNvPr id="2111" name="chkQuick_F-029" hidden="1">
              <a:extLst>
                <a:ext uri="{63B3BB69-23CF-44E3-9099-C40C66FF867C}">
                  <a14:compatExt spid="_x0000_s2111"/>
                </a:ext>
                <a:ext uri="{FF2B5EF4-FFF2-40B4-BE49-F238E27FC236}">
                  <a16:creationId xmlns:a16="http://schemas.microsoft.com/office/drawing/2014/main" id="{B7D86BDA-087A-471A-B3CB-C95257C6115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32</xdr:row>
          <xdr:rowOff>15240</xdr:rowOff>
        </xdr:from>
        <xdr:to>
          <xdr:col>23</xdr:col>
          <xdr:colOff>60960</xdr:colOff>
          <xdr:row>32</xdr:row>
          <xdr:rowOff>205740</xdr:rowOff>
        </xdr:to>
        <xdr:sp macro="" textlink="">
          <xdr:nvSpPr>
            <xdr:cNvPr id="2112" name="btnQuickView_F-029" hidden="1">
              <a:extLst>
                <a:ext uri="{63B3BB69-23CF-44E3-9099-C40C66FF867C}">
                  <a14:compatExt spid="_x0000_s2112"/>
                </a:ext>
                <a:ext uri="{FF2B5EF4-FFF2-40B4-BE49-F238E27FC236}">
                  <a16:creationId xmlns:a16="http://schemas.microsoft.com/office/drawing/2014/main" id="{A1D8BCBE-496A-4D07-8373-8D157EC36406}"/>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33</xdr:row>
          <xdr:rowOff>7620</xdr:rowOff>
        </xdr:from>
        <xdr:to>
          <xdr:col>19</xdr:col>
          <xdr:colOff>259080</xdr:colOff>
          <xdr:row>34</xdr:row>
          <xdr:rowOff>38100</xdr:rowOff>
        </xdr:to>
        <xdr:sp macro="" textlink="">
          <xdr:nvSpPr>
            <xdr:cNvPr id="2113" name="chkQuick_F-030" hidden="1">
              <a:extLst>
                <a:ext uri="{63B3BB69-23CF-44E3-9099-C40C66FF867C}">
                  <a14:compatExt spid="_x0000_s2113"/>
                </a:ext>
                <a:ext uri="{FF2B5EF4-FFF2-40B4-BE49-F238E27FC236}">
                  <a16:creationId xmlns:a16="http://schemas.microsoft.com/office/drawing/2014/main" id="{BAD8114D-D254-4E2A-9E46-58E393C7333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33</xdr:row>
          <xdr:rowOff>15240</xdr:rowOff>
        </xdr:from>
        <xdr:to>
          <xdr:col>23</xdr:col>
          <xdr:colOff>60960</xdr:colOff>
          <xdr:row>33</xdr:row>
          <xdr:rowOff>205740</xdr:rowOff>
        </xdr:to>
        <xdr:sp macro="" textlink="">
          <xdr:nvSpPr>
            <xdr:cNvPr id="2114" name="btnQuickView_F-030" hidden="1">
              <a:extLst>
                <a:ext uri="{63B3BB69-23CF-44E3-9099-C40C66FF867C}">
                  <a14:compatExt spid="_x0000_s2114"/>
                </a:ext>
                <a:ext uri="{FF2B5EF4-FFF2-40B4-BE49-F238E27FC236}">
                  <a16:creationId xmlns:a16="http://schemas.microsoft.com/office/drawing/2014/main" id="{182150CE-8311-4C60-BBF8-B713896DB73B}"/>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34</xdr:row>
          <xdr:rowOff>7620</xdr:rowOff>
        </xdr:from>
        <xdr:to>
          <xdr:col>19</xdr:col>
          <xdr:colOff>259080</xdr:colOff>
          <xdr:row>35</xdr:row>
          <xdr:rowOff>38100</xdr:rowOff>
        </xdr:to>
        <xdr:sp macro="" textlink="">
          <xdr:nvSpPr>
            <xdr:cNvPr id="2115" name="chkQuick_F-031" hidden="1">
              <a:extLst>
                <a:ext uri="{63B3BB69-23CF-44E3-9099-C40C66FF867C}">
                  <a14:compatExt spid="_x0000_s2115"/>
                </a:ext>
                <a:ext uri="{FF2B5EF4-FFF2-40B4-BE49-F238E27FC236}">
                  <a16:creationId xmlns:a16="http://schemas.microsoft.com/office/drawing/2014/main" id="{6F32F982-91F6-4DFE-8F48-31C1342E018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34</xdr:row>
          <xdr:rowOff>15240</xdr:rowOff>
        </xdr:from>
        <xdr:to>
          <xdr:col>23</xdr:col>
          <xdr:colOff>60960</xdr:colOff>
          <xdr:row>34</xdr:row>
          <xdr:rowOff>205740</xdr:rowOff>
        </xdr:to>
        <xdr:sp macro="" textlink="">
          <xdr:nvSpPr>
            <xdr:cNvPr id="2116" name="btnQuickView_F-031" hidden="1">
              <a:extLst>
                <a:ext uri="{63B3BB69-23CF-44E3-9099-C40C66FF867C}">
                  <a14:compatExt spid="_x0000_s2116"/>
                </a:ext>
                <a:ext uri="{FF2B5EF4-FFF2-40B4-BE49-F238E27FC236}">
                  <a16:creationId xmlns:a16="http://schemas.microsoft.com/office/drawing/2014/main" id="{D405834B-7B02-4C67-9E39-409C99A312C1}"/>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35</xdr:row>
          <xdr:rowOff>7620</xdr:rowOff>
        </xdr:from>
        <xdr:to>
          <xdr:col>19</xdr:col>
          <xdr:colOff>259080</xdr:colOff>
          <xdr:row>36</xdr:row>
          <xdr:rowOff>38100</xdr:rowOff>
        </xdr:to>
        <xdr:sp macro="" textlink="">
          <xdr:nvSpPr>
            <xdr:cNvPr id="2117" name="chkQuick_F-032" hidden="1">
              <a:extLst>
                <a:ext uri="{63B3BB69-23CF-44E3-9099-C40C66FF867C}">
                  <a14:compatExt spid="_x0000_s2117"/>
                </a:ext>
                <a:ext uri="{FF2B5EF4-FFF2-40B4-BE49-F238E27FC236}">
                  <a16:creationId xmlns:a16="http://schemas.microsoft.com/office/drawing/2014/main" id="{6B1A4F4B-A4BF-42DA-A690-C25971DCCD5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35</xdr:row>
          <xdr:rowOff>15240</xdr:rowOff>
        </xdr:from>
        <xdr:to>
          <xdr:col>23</xdr:col>
          <xdr:colOff>60960</xdr:colOff>
          <xdr:row>35</xdr:row>
          <xdr:rowOff>205740</xdr:rowOff>
        </xdr:to>
        <xdr:sp macro="" textlink="">
          <xdr:nvSpPr>
            <xdr:cNvPr id="2118" name="btnQuickView_F-032" hidden="1">
              <a:extLst>
                <a:ext uri="{63B3BB69-23CF-44E3-9099-C40C66FF867C}">
                  <a14:compatExt spid="_x0000_s2118"/>
                </a:ext>
                <a:ext uri="{FF2B5EF4-FFF2-40B4-BE49-F238E27FC236}">
                  <a16:creationId xmlns:a16="http://schemas.microsoft.com/office/drawing/2014/main" id="{024688F7-93D0-4D9B-AA20-888AB0CEF5B1}"/>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36</xdr:row>
          <xdr:rowOff>7620</xdr:rowOff>
        </xdr:from>
        <xdr:to>
          <xdr:col>19</xdr:col>
          <xdr:colOff>259080</xdr:colOff>
          <xdr:row>37</xdr:row>
          <xdr:rowOff>38100</xdr:rowOff>
        </xdr:to>
        <xdr:sp macro="" textlink="">
          <xdr:nvSpPr>
            <xdr:cNvPr id="2119" name="chkQuick_F-033" hidden="1">
              <a:extLst>
                <a:ext uri="{63B3BB69-23CF-44E3-9099-C40C66FF867C}">
                  <a14:compatExt spid="_x0000_s2119"/>
                </a:ext>
                <a:ext uri="{FF2B5EF4-FFF2-40B4-BE49-F238E27FC236}">
                  <a16:creationId xmlns:a16="http://schemas.microsoft.com/office/drawing/2014/main" id="{5ABC86E4-678A-48C7-BC43-315D7252013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36</xdr:row>
          <xdr:rowOff>15240</xdr:rowOff>
        </xdr:from>
        <xdr:to>
          <xdr:col>23</xdr:col>
          <xdr:colOff>60960</xdr:colOff>
          <xdr:row>36</xdr:row>
          <xdr:rowOff>205740</xdr:rowOff>
        </xdr:to>
        <xdr:sp macro="" textlink="">
          <xdr:nvSpPr>
            <xdr:cNvPr id="2120" name="btnQuickView_F-033" hidden="1">
              <a:extLst>
                <a:ext uri="{63B3BB69-23CF-44E3-9099-C40C66FF867C}">
                  <a14:compatExt spid="_x0000_s2120"/>
                </a:ext>
                <a:ext uri="{FF2B5EF4-FFF2-40B4-BE49-F238E27FC236}">
                  <a16:creationId xmlns:a16="http://schemas.microsoft.com/office/drawing/2014/main" id="{D4C8025F-4094-4513-B927-B7151CFD9B59}"/>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37</xdr:row>
          <xdr:rowOff>7620</xdr:rowOff>
        </xdr:from>
        <xdr:to>
          <xdr:col>19</xdr:col>
          <xdr:colOff>259080</xdr:colOff>
          <xdr:row>38</xdr:row>
          <xdr:rowOff>38100</xdr:rowOff>
        </xdr:to>
        <xdr:sp macro="" textlink="">
          <xdr:nvSpPr>
            <xdr:cNvPr id="2121" name="chkQuick_F-034" hidden="1">
              <a:extLst>
                <a:ext uri="{63B3BB69-23CF-44E3-9099-C40C66FF867C}">
                  <a14:compatExt spid="_x0000_s2121"/>
                </a:ext>
                <a:ext uri="{FF2B5EF4-FFF2-40B4-BE49-F238E27FC236}">
                  <a16:creationId xmlns:a16="http://schemas.microsoft.com/office/drawing/2014/main" id="{B02D0020-5E95-4288-AC9C-BB20CDEFE90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37</xdr:row>
          <xdr:rowOff>15240</xdr:rowOff>
        </xdr:from>
        <xdr:to>
          <xdr:col>23</xdr:col>
          <xdr:colOff>60960</xdr:colOff>
          <xdr:row>37</xdr:row>
          <xdr:rowOff>205740</xdr:rowOff>
        </xdr:to>
        <xdr:sp macro="" textlink="">
          <xdr:nvSpPr>
            <xdr:cNvPr id="2122" name="btnQuickView_F-034" hidden="1">
              <a:extLst>
                <a:ext uri="{63B3BB69-23CF-44E3-9099-C40C66FF867C}">
                  <a14:compatExt spid="_x0000_s2122"/>
                </a:ext>
                <a:ext uri="{FF2B5EF4-FFF2-40B4-BE49-F238E27FC236}">
                  <a16:creationId xmlns:a16="http://schemas.microsoft.com/office/drawing/2014/main" id="{0BEF47FD-8410-4FE8-A4A3-45F3DB1C86BC}"/>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38</xdr:row>
          <xdr:rowOff>7620</xdr:rowOff>
        </xdr:from>
        <xdr:to>
          <xdr:col>19</xdr:col>
          <xdr:colOff>259080</xdr:colOff>
          <xdr:row>39</xdr:row>
          <xdr:rowOff>38100</xdr:rowOff>
        </xdr:to>
        <xdr:sp macro="" textlink="">
          <xdr:nvSpPr>
            <xdr:cNvPr id="2123" name="chkQuick_F-035" hidden="1">
              <a:extLst>
                <a:ext uri="{63B3BB69-23CF-44E3-9099-C40C66FF867C}">
                  <a14:compatExt spid="_x0000_s2123"/>
                </a:ext>
                <a:ext uri="{FF2B5EF4-FFF2-40B4-BE49-F238E27FC236}">
                  <a16:creationId xmlns:a16="http://schemas.microsoft.com/office/drawing/2014/main" id="{56CE0788-9DAF-46EC-AB06-473BCE4A823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38</xdr:row>
          <xdr:rowOff>15240</xdr:rowOff>
        </xdr:from>
        <xdr:to>
          <xdr:col>23</xdr:col>
          <xdr:colOff>60960</xdr:colOff>
          <xdr:row>38</xdr:row>
          <xdr:rowOff>205740</xdr:rowOff>
        </xdr:to>
        <xdr:sp macro="" textlink="">
          <xdr:nvSpPr>
            <xdr:cNvPr id="2124" name="btnQuickView_F-035" hidden="1">
              <a:extLst>
                <a:ext uri="{63B3BB69-23CF-44E3-9099-C40C66FF867C}">
                  <a14:compatExt spid="_x0000_s2124"/>
                </a:ext>
                <a:ext uri="{FF2B5EF4-FFF2-40B4-BE49-F238E27FC236}">
                  <a16:creationId xmlns:a16="http://schemas.microsoft.com/office/drawing/2014/main" id="{EB1992F3-98FC-4530-AC9A-5A41A959F005}"/>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39</xdr:row>
          <xdr:rowOff>7620</xdr:rowOff>
        </xdr:from>
        <xdr:to>
          <xdr:col>19</xdr:col>
          <xdr:colOff>259080</xdr:colOff>
          <xdr:row>40</xdr:row>
          <xdr:rowOff>38100</xdr:rowOff>
        </xdr:to>
        <xdr:sp macro="" textlink="">
          <xdr:nvSpPr>
            <xdr:cNvPr id="2125" name="chkQuick_F-036" hidden="1">
              <a:extLst>
                <a:ext uri="{63B3BB69-23CF-44E3-9099-C40C66FF867C}">
                  <a14:compatExt spid="_x0000_s2125"/>
                </a:ext>
                <a:ext uri="{FF2B5EF4-FFF2-40B4-BE49-F238E27FC236}">
                  <a16:creationId xmlns:a16="http://schemas.microsoft.com/office/drawing/2014/main" id="{5BC49C36-8B45-40DB-9C97-E60885BC7D9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39</xdr:row>
          <xdr:rowOff>15240</xdr:rowOff>
        </xdr:from>
        <xdr:to>
          <xdr:col>23</xdr:col>
          <xdr:colOff>60960</xdr:colOff>
          <xdr:row>39</xdr:row>
          <xdr:rowOff>205740</xdr:rowOff>
        </xdr:to>
        <xdr:sp macro="" textlink="">
          <xdr:nvSpPr>
            <xdr:cNvPr id="2126" name="btnQuickView_F-036" hidden="1">
              <a:extLst>
                <a:ext uri="{63B3BB69-23CF-44E3-9099-C40C66FF867C}">
                  <a14:compatExt spid="_x0000_s2126"/>
                </a:ext>
                <a:ext uri="{FF2B5EF4-FFF2-40B4-BE49-F238E27FC236}">
                  <a16:creationId xmlns:a16="http://schemas.microsoft.com/office/drawing/2014/main" id="{8AEFB220-3E0F-415B-9818-8D7C3362A2FF}"/>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40</xdr:row>
          <xdr:rowOff>7620</xdr:rowOff>
        </xdr:from>
        <xdr:to>
          <xdr:col>19</xdr:col>
          <xdr:colOff>259080</xdr:colOff>
          <xdr:row>41</xdr:row>
          <xdr:rowOff>38100</xdr:rowOff>
        </xdr:to>
        <xdr:sp macro="" textlink="">
          <xdr:nvSpPr>
            <xdr:cNvPr id="2127" name="chkQuick_F-037" hidden="1">
              <a:extLst>
                <a:ext uri="{63B3BB69-23CF-44E3-9099-C40C66FF867C}">
                  <a14:compatExt spid="_x0000_s2127"/>
                </a:ext>
                <a:ext uri="{FF2B5EF4-FFF2-40B4-BE49-F238E27FC236}">
                  <a16:creationId xmlns:a16="http://schemas.microsoft.com/office/drawing/2014/main" id="{938ADB17-59C0-4BBC-8284-017985C44AE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40</xdr:row>
          <xdr:rowOff>15240</xdr:rowOff>
        </xdr:from>
        <xdr:to>
          <xdr:col>23</xdr:col>
          <xdr:colOff>60960</xdr:colOff>
          <xdr:row>40</xdr:row>
          <xdr:rowOff>205740</xdr:rowOff>
        </xdr:to>
        <xdr:sp macro="" textlink="">
          <xdr:nvSpPr>
            <xdr:cNvPr id="2128" name="btnQuickView_F-037" hidden="1">
              <a:extLst>
                <a:ext uri="{63B3BB69-23CF-44E3-9099-C40C66FF867C}">
                  <a14:compatExt spid="_x0000_s2128"/>
                </a:ext>
                <a:ext uri="{FF2B5EF4-FFF2-40B4-BE49-F238E27FC236}">
                  <a16:creationId xmlns:a16="http://schemas.microsoft.com/office/drawing/2014/main" id="{2555D706-8A31-45F7-9089-3FF3DE817795}"/>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41</xdr:row>
          <xdr:rowOff>7620</xdr:rowOff>
        </xdr:from>
        <xdr:to>
          <xdr:col>19</xdr:col>
          <xdr:colOff>259080</xdr:colOff>
          <xdr:row>42</xdr:row>
          <xdr:rowOff>38100</xdr:rowOff>
        </xdr:to>
        <xdr:sp macro="" textlink="">
          <xdr:nvSpPr>
            <xdr:cNvPr id="2129" name="chkQuick_F-038" hidden="1">
              <a:extLst>
                <a:ext uri="{63B3BB69-23CF-44E3-9099-C40C66FF867C}">
                  <a14:compatExt spid="_x0000_s2129"/>
                </a:ext>
                <a:ext uri="{FF2B5EF4-FFF2-40B4-BE49-F238E27FC236}">
                  <a16:creationId xmlns:a16="http://schemas.microsoft.com/office/drawing/2014/main" id="{10322D6B-F150-41B3-BF26-1E42D0CFE54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41</xdr:row>
          <xdr:rowOff>15240</xdr:rowOff>
        </xdr:from>
        <xdr:to>
          <xdr:col>23</xdr:col>
          <xdr:colOff>60960</xdr:colOff>
          <xdr:row>41</xdr:row>
          <xdr:rowOff>205740</xdr:rowOff>
        </xdr:to>
        <xdr:sp macro="" textlink="">
          <xdr:nvSpPr>
            <xdr:cNvPr id="2130" name="btnQuickView_F-038" hidden="1">
              <a:extLst>
                <a:ext uri="{63B3BB69-23CF-44E3-9099-C40C66FF867C}">
                  <a14:compatExt spid="_x0000_s2130"/>
                </a:ext>
                <a:ext uri="{FF2B5EF4-FFF2-40B4-BE49-F238E27FC236}">
                  <a16:creationId xmlns:a16="http://schemas.microsoft.com/office/drawing/2014/main" id="{96276A83-2462-49A1-8058-15195BAAD5C8}"/>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42</xdr:row>
          <xdr:rowOff>7620</xdr:rowOff>
        </xdr:from>
        <xdr:to>
          <xdr:col>19</xdr:col>
          <xdr:colOff>259080</xdr:colOff>
          <xdr:row>43</xdr:row>
          <xdr:rowOff>38100</xdr:rowOff>
        </xdr:to>
        <xdr:sp macro="" textlink="">
          <xdr:nvSpPr>
            <xdr:cNvPr id="2131" name="chkQuick_F-039" hidden="1">
              <a:extLst>
                <a:ext uri="{63B3BB69-23CF-44E3-9099-C40C66FF867C}">
                  <a14:compatExt spid="_x0000_s2131"/>
                </a:ext>
                <a:ext uri="{FF2B5EF4-FFF2-40B4-BE49-F238E27FC236}">
                  <a16:creationId xmlns:a16="http://schemas.microsoft.com/office/drawing/2014/main" id="{4E4BB1B8-06E4-4C1C-9C58-E8B1BBC230B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42</xdr:row>
          <xdr:rowOff>15240</xdr:rowOff>
        </xdr:from>
        <xdr:to>
          <xdr:col>23</xdr:col>
          <xdr:colOff>60960</xdr:colOff>
          <xdr:row>42</xdr:row>
          <xdr:rowOff>205740</xdr:rowOff>
        </xdr:to>
        <xdr:sp macro="" textlink="">
          <xdr:nvSpPr>
            <xdr:cNvPr id="2132" name="btnQuickView_F-039" hidden="1">
              <a:extLst>
                <a:ext uri="{63B3BB69-23CF-44E3-9099-C40C66FF867C}">
                  <a14:compatExt spid="_x0000_s2132"/>
                </a:ext>
                <a:ext uri="{FF2B5EF4-FFF2-40B4-BE49-F238E27FC236}">
                  <a16:creationId xmlns:a16="http://schemas.microsoft.com/office/drawing/2014/main" id="{2FEA6C6A-3B55-4359-A75D-D16D297688EA}"/>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43</xdr:row>
          <xdr:rowOff>7620</xdr:rowOff>
        </xdr:from>
        <xdr:to>
          <xdr:col>19</xdr:col>
          <xdr:colOff>259080</xdr:colOff>
          <xdr:row>44</xdr:row>
          <xdr:rowOff>38100</xdr:rowOff>
        </xdr:to>
        <xdr:sp macro="" textlink="">
          <xdr:nvSpPr>
            <xdr:cNvPr id="2133" name="chkQuick_F-040" hidden="1">
              <a:extLst>
                <a:ext uri="{63B3BB69-23CF-44E3-9099-C40C66FF867C}">
                  <a14:compatExt spid="_x0000_s2133"/>
                </a:ext>
                <a:ext uri="{FF2B5EF4-FFF2-40B4-BE49-F238E27FC236}">
                  <a16:creationId xmlns:a16="http://schemas.microsoft.com/office/drawing/2014/main" id="{C9202653-2818-4F40-B67D-109CEA56BDE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43</xdr:row>
          <xdr:rowOff>15240</xdr:rowOff>
        </xdr:from>
        <xdr:to>
          <xdr:col>23</xdr:col>
          <xdr:colOff>60960</xdr:colOff>
          <xdr:row>43</xdr:row>
          <xdr:rowOff>205740</xdr:rowOff>
        </xdr:to>
        <xdr:sp macro="" textlink="">
          <xdr:nvSpPr>
            <xdr:cNvPr id="2134" name="btnQuickView_F-040" hidden="1">
              <a:extLst>
                <a:ext uri="{63B3BB69-23CF-44E3-9099-C40C66FF867C}">
                  <a14:compatExt spid="_x0000_s2134"/>
                </a:ext>
                <a:ext uri="{FF2B5EF4-FFF2-40B4-BE49-F238E27FC236}">
                  <a16:creationId xmlns:a16="http://schemas.microsoft.com/office/drawing/2014/main" id="{52C81862-63F3-46F2-AB46-51487F825E8A}"/>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44</xdr:row>
          <xdr:rowOff>7620</xdr:rowOff>
        </xdr:from>
        <xdr:to>
          <xdr:col>19</xdr:col>
          <xdr:colOff>259080</xdr:colOff>
          <xdr:row>45</xdr:row>
          <xdr:rowOff>38100</xdr:rowOff>
        </xdr:to>
        <xdr:sp macro="" textlink="">
          <xdr:nvSpPr>
            <xdr:cNvPr id="2135" name="chkQuick_F-041" hidden="1">
              <a:extLst>
                <a:ext uri="{63B3BB69-23CF-44E3-9099-C40C66FF867C}">
                  <a14:compatExt spid="_x0000_s2135"/>
                </a:ext>
                <a:ext uri="{FF2B5EF4-FFF2-40B4-BE49-F238E27FC236}">
                  <a16:creationId xmlns:a16="http://schemas.microsoft.com/office/drawing/2014/main" id="{75F87358-5FC5-4387-A5E2-1CE1B2DDD19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44</xdr:row>
          <xdr:rowOff>15240</xdr:rowOff>
        </xdr:from>
        <xdr:to>
          <xdr:col>23</xdr:col>
          <xdr:colOff>60960</xdr:colOff>
          <xdr:row>44</xdr:row>
          <xdr:rowOff>205740</xdr:rowOff>
        </xdr:to>
        <xdr:sp macro="" textlink="">
          <xdr:nvSpPr>
            <xdr:cNvPr id="2136" name="btnQuickView_F-041" hidden="1">
              <a:extLst>
                <a:ext uri="{63B3BB69-23CF-44E3-9099-C40C66FF867C}">
                  <a14:compatExt spid="_x0000_s2136"/>
                </a:ext>
                <a:ext uri="{FF2B5EF4-FFF2-40B4-BE49-F238E27FC236}">
                  <a16:creationId xmlns:a16="http://schemas.microsoft.com/office/drawing/2014/main" id="{42F63AB6-D66D-42BE-9852-02C029DD8935}"/>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45</xdr:row>
          <xdr:rowOff>7620</xdr:rowOff>
        </xdr:from>
        <xdr:to>
          <xdr:col>19</xdr:col>
          <xdr:colOff>259080</xdr:colOff>
          <xdr:row>46</xdr:row>
          <xdr:rowOff>38100</xdr:rowOff>
        </xdr:to>
        <xdr:sp macro="" textlink="">
          <xdr:nvSpPr>
            <xdr:cNvPr id="2137" name="chkQuick_F-042" hidden="1">
              <a:extLst>
                <a:ext uri="{63B3BB69-23CF-44E3-9099-C40C66FF867C}">
                  <a14:compatExt spid="_x0000_s2137"/>
                </a:ext>
                <a:ext uri="{FF2B5EF4-FFF2-40B4-BE49-F238E27FC236}">
                  <a16:creationId xmlns:a16="http://schemas.microsoft.com/office/drawing/2014/main" id="{0DB6FB6D-72B8-46EF-AEBD-292CB485FEB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45</xdr:row>
          <xdr:rowOff>15240</xdr:rowOff>
        </xdr:from>
        <xdr:to>
          <xdr:col>23</xdr:col>
          <xdr:colOff>60960</xdr:colOff>
          <xdr:row>45</xdr:row>
          <xdr:rowOff>205740</xdr:rowOff>
        </xdr:to>
        <xdr:sp macro="" textlink="">
          <xdr:nvSpPr>
            <xdr:cNvPr id="2138" name="btnQuickView_F-042" hidden="1">
              <a:extLst>
                <a:ext uri="{63B3BB69-23CF-44E3-9099-C40C66FF867C}">
                  <a14:compatExt spid="_x0000_s2138"/>
                </a:ext>
                <a:ext uri="{FF2B5EF4-FFF2-40B4-BE49-F238E27FC236}">
                  <a16:creationId xmlns:a16="http://schemas.microsoft.com/office/drawing/2014/main" id="{99942D93-3C07-48F4-83D8-98B6B58D8A47}"/>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46</xdr:row>
          <xdr:rowOff>7620</xdr:rowOff>
        </xdr:from>
        <xdr:to>
          <xdr:col>19</xdr:col>
          <xdr:colOff>259080</xdr:colOff>
          <xdr:row>47</xdr:row>
          <xdr:rowOff>38100</xdr:rowOff>
        </xdr:to>
        <xdr:sp macro="" textlink="">
          <xdr:nvSpPr>
            <xdr:cNvPr id="2139" name="chkQuick_F-043" hidden="1">
              <a:extLst>
                <a:ext uri="{63B3BB69-23CF-44E3-9099-C40C66FF867C}">
                  <a14:compatExt spid="_x0000_s2139"/>
                </a:ext>
                <a:ext uri="{FF2B5EF4-FFF2-40B4-BE49-F238E27FC236}">
                  <a16:creationId xmlns:a16="http://schemas.microsoft.com/office/drawing/2014/main" id="{2CC56B48-03E1-443F-9001-F297773DA15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46</xdr:row>
          <xdr:rowOff>15240</xdr:rowOff>
        </xdr:from>
        <xdr:to>
          <xdr:col>23</xdr:col>
          <xdr:colOff>60960</xdr:colOff>
          <xdr:row>46</xdr:row>
          <xdr:rowOff>205740</xdr:rowOff>
        </xdr:to>
        <xdr:sp macro="" textlink="">
          <xdr:nvSpPr>
            <xdr:cNvPr id="2140" name="btnQuickView_F-043" hidden="1">
              <a:extLst>
                <a:ext uri="{63B3BB69-23CF-44E3-9099-C40C66FF867C}">
                  <a14:compatExt spid="_x0000_s2140"/>
                </a:ext>
                <a:ext uri="{FF2B5EF4-FFF2-40B4-BE49-F238E27FC236}">
                  <a16:creationId xmlns:a16="http://schemas.microsoft.com/office/drawing/2014/main" id="{D0BFBA20-B85C-4D6E-88D9-8D3F074657F1}"/>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47</xdr:row>
          <xdr:rowOff>7620</xdr:rowOff>
        </xdr:from>
        <xdr:to>
          <xdr:col>19</xdr:col>
          <xdr:colOff>259080</xdr:colOff>
          <xdr:row>48</xdr:row>
          <xdr:rowOff>38100</xdr:rowOff>
        </xdr:to>
        <xdr:sp macro="" textlink="">
          <xdr:nvSpPr>
            <xdr:cNvPr id="2141" name="chkQuick_F-044" hidden="1">
              <a:extLst>
                <a:ext uri="{63B3BB69-23CF-44E3-9099-C40C66FF867C}">
                  <a14:compatExt spid="_x0000_s2141"/>
                </a:ext>
                <a:ext uri="{FF2B5EF4-FFF2-40B4-BE49-F238E27FC236}">
                  <a16:creationId xmlns:a16="http://schemas.microsoft.com/office/drawing/2014/main" id="{FE560D4A-7441-4B96-A563-97CA233C7A4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47</xdr:row>
          <xdr:rowOff>15240</xdr:rowOff>
        </xdr:from>
        <xdr:to>
          <xdr:col>23</xdr:col>
          <xdr:colOff>60960</xdr:colOff>
          <xdr:row>47</xdr:row>
          <xdr:rowOff>205740</xdr:rowOff>
        </xdr:to>
        <xdr:sp macro="" textlink="">
          <xdr:nvSpPr>
            <xdr:cNvPr id="2142" name="btnQuickView_F-044" hidden="1">
              <a:extLst>
                <a:ext uri="{63B3BB69-23CF-44E3-9099-C40C66FF867C}">
                  <a14:compatExt spid="_x0000_s2142"/>
                </a:ext>
                <a:ext uri="{FF2B5EF4-FFF2-40B4-BE49-F238E27FC236}">
                  <a16:creationId xmlns:a16="http://schemas.microsoft.com/office/drawing/2014/main" id="{CFDBF727-618D-4467-88C4-70D86EB558FA}"/>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48</xdr:row>
          <xdr:rowOff>7620</xdr:rowOff>
        </xdr:from>
        <xdr:to>
          <xdr:col>19</xdr:col>
          <xdr:colOff>259080</xdr:colOff>
          <xdr:row>49</xdr:row>
          <xdr:rowOff>38100</xdr:rowOff>
        </xdr:to>
        <xdr:sp macro="" textlink="">
          <xdr:nvSpPr>
            <xdr:cNvPr id="2143" name="chkQuick_F-045" hidden="1">
              <a:extLst>
                <a:ext uri="{63B3BB69-23CF-44E3-9099-C40C66FF867C}">
                  <a14:compatExt spid="_x0000_s2143"/>
                </a:ext>
                <a:ext uri="{FF2B5EF4-FFF2-40B4-BE49-F238E27FC236}">
                  <a16:creationId xmlns:a16="http://schemas.microsoft.com/office/drawing/2014/main" id="{728EC73F-B261-4F54-824F-D88672A4E8A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48</xdr:row>
          <xdr:rowOff>15240</xdr:rowOff>
        </xdr:from>
        <xdr:to>
          <xdr:col>23</xdr:col>
          <xdr:colOff>60960</xdr:colOff>
          <xdr:row>48</xdr:row>
          <xdr:rowOff>205740</xdr:rowOff>
        </xdr:to>
        <xdr:sp macro="" textlink="">
          <xdr:nvSpPr>
            <xdr:cNvPr id="2144" name="btnQuickView_F-045" hidden="1">
              <a:extLst>
                <a:ext uri="{63B3BB69-23CF-44E3-9099-C40C66FF867C}">
                  <a14:compatExt spid="_x0000_s2144"/>
                </a:ext>
                <a:ext uri="{FF2B5EF4-FFF2-40B4-BE49-F238E27FC236}">
                  <a16:creationId xmlns:a16="http://schemas.microsoft.com/office/drawing/2014/main" id="{3272B938-9E01-4890-9606-09BD9133DECB}"/>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49</xdr:row>
          <xdr:rowOff>7620</xdr:rowOff>
        </xdr:from>
        <xdr:to>
          <xdr:col>19</xdr:col>
          <xdr:colOff>259080</xdr:colOff>
          <xdr:row>50</xdr:row>
          <xdr:rowOff>38100</xdr:rowOff>
        </xdr:to>
        <xdr:sp macro="" textlink="">
          <xdr:nvSpPr>
            <xdr:cNvPr id="2145" name="chkQuick_F-046" hidden="1">
              <a:extLst>
                <a:ext uri="{63B3BB69-23CF-44E3-9099-C40C66FF867C}">
                  <a14:compatExt spid="_x0000_s2145"/>
                </a:ext>
                <a:ext uri="{FF2B5EF4-FFF2-40B4-BE49-F238E27FC236}">
                  <a16:creationId xmlns:a16="http://schemas.microsoft.com/office/drawing/2014/main" id="{3CC08278-2FC7-4208-B67B-60BE223B5DB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49</xdr:row>
          <xdr:rowOff>15240</xdr:rowOff>
        </xdr:from>
        <xdr:to>
          <xdr:col>23</xdr:col>
          <xdr:colOff>60960</xdr:colOff>
          <xdr:row>49</xdr:row>
          <xdr:rowOff>205740</xdr:rowOff>
        </xdr:to>
        <xdr:sp macro="" textlink="">
          <xdr:nvSpPr>
            <xdr:cNvPr id="2146" name="btnQuickView_F-046" hidden="1">
              <a:extLst>
                <a:ext uri="{63B3BB69-23CF-44E3-9099-C40C66FF867C}">
                  <a14:compatExt spid="_x0000_s2146"/>
                </a:ext>
                <a:ext uri="{FF2B5EF4-FFF2-40B4-BE49-F238E27FC236}">
                  <a16:creationId xmlns:a16="http://schemas.microsoft.com/office/drawing/2014/main" id="{746DFF9F-A84C-407B-BDC3-0E58E8A1EA02}"/>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50</xdr:row>
          <xdr:rowOff>7620</xdr:rowOff>
        </xdr:from>
        <xdr:to>
          <xdr:col>19</xdr:col>
          <xdr:colOff>259080</xdr:colOff>
          <xdr:row>51</xdr:row>
          <xdr:rowOff>38100</xdr:rowOff>
        </xdr:to>
        <xdr:sp macro="" textlink="">
          <xdr:nvSpPr>
            <xdr:cNvPr id="2147" name="chkQuick_F-047" hidden="1">
              <a:extLst>
                <a:ext uri="{63B3BB69-23CF-44E3-9099-C40C66FF867C}">
                  <a14:compatExt spid="_x0000_s2147"/>
                </a:ext>
                <a:ext uri="{FF2B5EF4-FFF2-40B4-BE49-F238E27FC236}">
                  <a16:creationId xmlns:a16="http://schemas.microsoft.com/office/drawing/2014/main" id="{E6C3B895-2BAC-42C1-A308-FEF148848D6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50</xdr:row>
          <xdr:rowOff>15240</xdr:rowOff>
        </xdr:from>
        <xdr:to>
          <xdr:col>23</xdr:col>
          <xdr:colOff>60960</xdr:colOff>
          <xdr:row>50</xdr:row>
          <xdr:rowOff>205740</xdr:rowOff>
        </xdr:to>
        <xdr:sp macro="" textlink="">
          <xdr:nvSpPr>
            <xdr:cNvPr id="2148" name="btnQuickView_F-047" hidden="1">
              <a:extLst>
                <a:ext uri="{63B3BB69-23CF-44E3-9099-C40C66FF867C}">
                  <a14:compatExt spid="_x0000_s2148"/>
                </a:ext>
                <a:ext uri="{FF2B5EF4-FFF2-40B4-BE49-F238E27FC236}">
                  <a16:creationId xmlns:a16="http://schemas.microsoft.com/office/drawing/2014/main" id="{AFF3F435-376B-4943-B440-8D6D944E4F25}"/>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51</xdr:row>
          <xdr:rowOff>7620</xdr:rowOff>
        </xdr:from>
        <xdr:to>
          <xdr:col>19</xdr:col>
          <xdr:colOff>259080</xdr:colOff>
          <xdr:row>52</xdr:row>
          <xdr:rowOff>38100</xdr:rowOff>
        </xdr:to>
        <xdr:sp macro="" textlink="">
          <xdr:nvSpPr>
            <xdr:cNvPr id="2149" name="chkQuick_F-048" hidden="1">
              <a:extLst>
                <a:ext uri="{63B3BB69-23CF-44E3-9099-C40C66FF867C}">
                  <a14:compatExt spid="_x0000_s2149"/>
                </a:ext>
                <a:ext uri="{FF2B5EF4-FFF2-40B4-BE49-F238E27FC236}">
                  <a16:creationId xmlns:a16="http://schemas.microsoft.com/office/drawing/2014/main" id="{39C3EC4F-1775-41A9-984C-438CDD41F4D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51</xdr:row>
          <xdr:rowOff>15240</xdr:rowOff>
        </xdr:from>
        <xdr:to>
          <xdr:col>23</xdr:col>
          <xdr:colOff>60960</xdr:colOff>
          <xdr:row>51</xdr:row>
          <xdr:rowOff>205740</xdr:rowOff>
        </xdr:to>
        <xdr:sp macro="" textlink="">
          <xdr:nvSpPr>
            <xdr:cNvPr id="2150" name="btnQuickView_F-048" hidden="1">
              <a:extLst>
                <a:ext uri="{63B3BB69-23CF-44E3-9099-C40C66FF867C}">
                  <a14:compatExt spid="_x0000_s2150"/>
                </a:ext>
                <a:ext uri="{FF2B5EF4-FFF2-40B4-BE49-F238E27FC236}">
                  <a16:creationId xmlns:a16="http://schemas.microsoft.com/office/drawing/2014/main" id="{C93BA3FC-D160-47BC-884E-EEB5E1982594}"/>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52</xdr:row>
          <xdr:rowOff>7620</xdr:rowOff>
        </xdr:from>
        <xdr:to>
          <xdr:col>19</xdr:col>
          <xdr:colOff>259080</xdr:colOff>
          <xdr:row>53</xdr:row>
          <xdr:rowOff>38100</xdr:rowOff>
        </xdr:to>
        <xdr:sp macro="" textlink="">
          <xdr:nvSpPr>
            <xdr:cNvPr id="2151" name="chkQuick_F-049" hidden="1">
              <a:extLst>
                <a:ext uri="{63B3BB69-23CF-44E3-9099-C40C66FF867C}">
                  <a14:compatExt spid="_x0000_s2151"/>
                </a:ext>
                <a:ext uri="{FF2B5EF4-FFF2-40B4-BE49-F238E27FC236}">
                  <a16:creationId xmlns:a16="http://schemas.microsoft.com/office/drawing/2014/main" id="{991DCE71-10AD-4072-999F-BFA15F8F314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52</xdr:row>
          <xdr:rowOff>15240</xdr:rowOff>
        </xdr:from>
        <xdr:to>
          <xdr:col>23</xdr:col>
          <xdr:colOff>60960</xdr:colOff>
          <xdr:row>52</xdr:row>
          <xdr:rowOff>205740</xdr:rowOff>
        </xdr:to>
        <xdr:sp macro="" textlink="">
          <xdr:nvSpPr>
            <xdr:cNvPr id="2152" name="btnQuickView_F-049" hidden="1">
              <a:extLst>
                <a:ext uri="{63B3BB69-23CF-44E3-9099-C40C66FF867C}">
                  <a14:compatExt spid="_x0000_s2152"/>
                </a:ext>
                <a:ext uri="{FF2B5EF4-FFF2-40B4-BE49-F238E27FC236}">
                  <a16:creationId xmlns:a16="http://schemas.microsoft.com/office/drawing/2014/main" id="{BF0BE78D-8126-43FB-9758-B607C65C8314}"/>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53</xdr:row>
          <xdr:rowOff>7620</xdr:rowOff>
        </xdr:from>
        <xdr:to>
          <xdr:col>19</xdr:col>
          <xdr:colOff>259080</xdr:colOff>
          <xdr:row>54</xdr:row>
          <xdr:rowOff>38100</xdr:rowOff>
        </xdr:to>
        <xdr:sp macro="" textlink="">
          <xdr:nvSpPr>
            <xdr:cNvPr id="2153" name="chkQuick_F-050" hidden="1">
              <a:extLst>
                <a:ext uri="{63B3BB69-23CF-44E3-9099-C40C66FF867C}">
                  <a14:compatExt spid="_x0000_s2153"/>
                </a:ext>
                <a:ext uri="{FF2B5EF4-FFF2-40B4-BE49-F238E27FC236}">
                  <a16:creationId xmlns:a16="http://schemas.microsoft.com/office/drawing/2014/main" id="{5A8D6788-EDBD-43BF-A7A7-1A84765094B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7620</xdr:colOff>
          <xdr:row>53</xdr:row>
          <xdr:rowOff>15240</xdr:rowOff>
        </xdr:from>
        <xdr:to>
          <xdr:col>23</xdr:col>
          <xdr:colOff>60960</xdr:colOff>
          <xdr:row>53</xdr:row>
          <xdr:rowOff>205740</xdr:rowOff>
        </xdr:to>
        <xdr:sp macro="" textlink="">
          <xdr:nvSpPr>
            <xdr:cNvPr id="2154" name="btnQuickView_F-050" hidden="1">
              <a:extLst>
                <a:ext uri="{63B3BB69-23CF-44E3-9099-C40C66FF867C}">
                  <a14:compatExt spid="_x0000_s2154"/>
                </a:ext>
                <a:ext uri="{FF2B5EF4-FFF2-40B4-BE49-F238E27FC236}">
                  <a16:creationId xmlns:a16="http://schemas.microsoft.com/office/drawing/2014/main" id="{36097414-E255-4AFD-83F4-30CB1B589C49}"/>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54</xdr:row>
          <xdr:rowOff>7620</xdr:rowOff>
        </xdr:from>
        <xdr:to>
          <xdr:col>19</xdr:col>
          <xdr:colOff>259080</xdr:colOff>
          <xdr:row>55</xdr:row>
          <xdr:rowOff>38100</xdr:rowOff>
        </xdr:to>
        <xdr:sp macro="" textlink="">
          <xdr:nvSpPr>
            <xdr:cNvPr id="2155" name="chkQuick_F-051" hidden="1">
              <a:extLst>
                <a:ext uri="{63B3BB69-23CF-44E3-9099-C40C66FF867C}">
                  <a14:compatExt spid="_x0000_s2155"/>
                </a:ext>
                <a:ext uri="{FF2B5EF4-FFF2-40B4-BE49-F238E27FC236}">
                  <a16:creationId xmlns:a16="http://schemas.microsoft.com/office/drawing/2014/main" id="{F4D806B2-724A-43E9-9480-C4F01B31E9A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xdr:colOff>
          <xdr:row>55</xdr:row>
          <xdr:rowOff>7620</xdr:rowOff>
        </xdr:from>
        <xdr:to>
          <xdr:col>19</xdr:col>
          <xdr:colOff>259080</xdr:colOff>
          <xdr:row>56</xdr:row>
          <xdr:rowOff>38100</xdr:rowOff>
        </xdr:to>
        <xdr:sp macro="" textlink="">
          <xdr:nvSpPr>
            <xdr:cNvPr id="2156" name="chkQuick_F-052" hidden="1">
              <a:extLst>
                <a:ext uri="{63B3BB69-23CF-44E3-9099-C40C66FF867C}">
                  <a14:compatExt spid="_x0000_s2156"/>
                </a:ext>
                <a:ext uri="{FF2B5EF4-FFF2-40B4-BE49-F238E27FC236}">
                  <a16:creationId xmlns:a16="http://schemas.microsoft.com/office/drawing/2014/main" id="{3165A8E3-09E0-4908-A8B8-785A616919F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1920240</xdr:colOff>
          <xdr:row>10</xdr:row>
          <xdr:rowOff>38100</xdr:rowOff>
        </xdr:from>
        <xdr:to>
          <xdr:col>2</xdr:col>
          <xdr:colOff>4465320</xdr:colOff>
          <xdr:row>11</xdr:row>
          <xdr:rowOff>121920</xdr:rowOff>
        </xdr:to>
        <xdr:sp macro="" textlink="">
          <xdr:nvSpPr>
            <xdr:cNvPr id="3073" name="btn계약방법반영" hidden="1">
              <a:extLst>
                <a:ext uri="{63B3BB69-23CF-44E3-9099-C40C66FF867C}">
                  <a14:compatExt spid="_x0000_s3073"/>
                </a:ext>
                <a:ext uri="{FF2B5EF4-FFF2-40B4-BE49-F238E27FC236}">
                  <a16:creationId xmlns:a16="http://schemas.microsoft.com/office/drawing/2014/main" id="{570AF578-3EB3-4091-B63A-CEE3A4885A14}"/>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계약방법을 기초자료에 반영</a:t>
              </a:r>
            </a:p>
          </xdr:txBody>
        </xdr:sp>
        <xdr:clientData fPrintsWithSheet="0"/>
      </xdr:twoCellAnchor>
    </mc:Choice>
    <mc:Fallback/>
  </mc:AlternateContent>
  <xdr:twoCellAnchor editAs="absolute">
    <xdr:from>
      <xdr:col>0</xdr:col>
      <xdr:colOff>101600</xdr:colOff>
      <xdr:row>0</xdr:row>
      <xdr:rowOff>63500</xdr:rowOff>
    </xdr:from>
    <xdr:to>
      <xdr:col>6</xdr:col>
      <xdr:colOff>63500</xdr:colOff>
      <xdr:row>1</xdr:row>
      <xdr:rowOff>3370580</xdr:rowOff>
    </xdr:to>
    <xdr:pic>
      <xdr:nvPicPr>
        <xdr:cNvPr id="3" name="imgContractBanner">
          <a:extLst>
            <a:ext uri="{FF2B5EF4-FFF2-40B4-BE49-F238E27FC236}">
              <a16:creationId xmlns:a16="http://schemas.microsoft.com/office/drawing/2014/main" id="{08EEADF1-9F48-4B2C-9D36-F7223CCFA6DC}"/>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1600" y="63500"/>
          <a:ext cx="11430000" cy="6858000"/>
        </a:xfrm>
        <a:prstGeom prst="rect">
          <a:avLst/>
        </a:prstGeom>
      </xdr:spPr>
    </xdr:pic>
    <xdr:clientData/>
  </xdr:twoCellAnchor>
  <xdr:twoCellAnchor editAs="absolute">
    <xdr:from>
      <xdr:col>0</xdr:col>
      <xdr:colOff>673100</xdr:colOff>
      <xdr:row>1</xdr:row>
      <xdr:rowOff>55880</xdr:rowOff>
    </xdr:from>
    <xdr:to>
      <xdr:col>1</xdr:col>
      <xdr:colOff>581660</xdr:colOff>
      <xdr:row>1</xdr:row>
      <xdr:rowOff>1579880</xdr:rowOff>
    </xdr:to>
    <xdr:sp macro="계약방식선택_1인견적" textlink="">
      <xdr:nvSpPr>
        <xdr:cNvPr id="4" name="btn계약절차_1인견적">
          <a:extLst>
            <a:ext uri="{FF2B5EF4-FFF2-40B4-BE49-F238E27FC236}">
              <a16:creationId xmlns:a16="http://schemas.microsoft.com/office/drawing/2014/main" id="{94C9DAF6-445A-482C-93B8-6D665A3635DA}"/>
            </a:ext>
          </a:extLst>
        </xdr:cNvPr>
        <xdr:cNvSpPr/>
      </xdr:nvSpPr>
      <xdr:spPr>
        <a:xfrm>
          <a:off x="673100" y="3606800"/>
          <a:ext cx="2400300" cy="152400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editAs="absolute">
    <xdr:from>
      <xdr:col>1</xdr:col>
      <xdr:colOff>810260</xdr:colOff>
      <xdr:row>1</xdr:row>
      <xdr:rowOff>55880</xdr:rowOff>
    </xdr:from>
    <xdr:to>
      <xdr:col>2</xdr:col>
      <xdr:colOff>1023620</xdr:colOff>
      <xdr:row>1</xdr:row>
      <xdr:rowOff>1579880</xdr:rowOff>
    </xdr:to>
    <xdr:sp macro="계약방식선택_2인견적" textlink="">
      <xdr:nvSpPr>
        <xdr:cNvPr id="5" name="btn계약절차_2인견적">
          <a:extLst>
            <a:ext uri="{FF2B5EF4-FFF2-40B4-BE49-F238E27FC236}">
              <a16:creationId xmlns:a16="http://schemas.microsoft.com/office/drawing/2014/main" id="{84E688E4-7649-46AC-BDA8-6997875B5BB5}"/>
            </a:ext>
          </a:extLst>
        </xdr:cNvPr>
        <xdr:cNvSpPr/>
      </xdr:nvSpPr>
      <xdr:spPr>
        <a:xfrm>
          <a:off x="3302000" y="3606800"/>
          <a:ext cx="2400300" cy="152400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editAs="absolute">
    <xdr:from>
      <xdr:col>2</xdr:col>
      <xdr:colOff>1252220</xdr:colOff>
      <xdr:row>1</xdr:row>
      <xdr:rowOff>55880</xdr:rowOff>
    </xdr:from>
    <xdr:to>
      <xdr:col>2</xdr:col>
      <xdr:colOff>3652520</xdr:colOff>
      <xdr:row>1</xdr:row>
      <xdr:rowOff>1579880</xdr:rowOff>
    </xdr:to>
    <xdr:sp macro="계약방식선택_2단계입찰" textlink="">
      <xdr:nvSpPr>
        <xdr:cNvPr id="6" name="btn계약절차_2단계입찰">
          <a:extLst>
            <a:ext uri="{FF2B5EF4-FFF2-40B4-BE49-F238E27FC236}">
              <a16:creationId xmlns:a16="http://schemas.microsoft.com/office/drawing/2014/main" id="{58F4F92A-5E8B-42B4-8A6E-F441014E22A3}"/>
            </a:ext>
          </a:extLst>
        </xdr:cNvPr>
        <xdr:cNvSpPr/>
      </xdr:nvSpPr>
      <xdr:spPr>
        <a:xfrm>
          <a:off x="5930900" y="3606800"/>
          <a:ext cx="2400300" cy="152400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editAs="absolute">
    <xdr:from>
      <xdr:col>2</xdr:col>
      <xdr:colOff>3881120</xdr:colOff>
      <xdr:row>1</xdr:row>
      <xdr:rowOff>55880</xdr:rowOff>
    </xdr:from>
    <xdr:to>
      <xdr:col>5</xdr:col>
      <xdr:colOff>162560</xdr:colOff>
      <xdr:row>1</xdr:row>
      <xdr:rowOff>1579880</xdr:rowOff>
    </xdr:to>
    <xdr:sp macro="계약방식선택_일반입찰" textlink="">
      <xdr:nvSpPr>
        <xdr:cNvPr id="7" name="btn계약절차_일반입찰">
          <a:extLst>
            <a:ext uri="{FF2B5EF4-FFF2-40B4-BE49-F238E27FC236}">
              <a16:creationId xmlns:a16="http://schemas.microsoft.com/office/drawing/2014/main" id="{6972697D-CEBD-433C-8C88-7BA37170401A}"/>
            </a:ext>
          </a:extLst>
        </xdr:cNvPr>
        <xdr:cNvSpPr/>
      </xdr:nvSpPr>
      <xdr:spPr>
        <a:xfrm>
          <a:off x="8559800" y="3606800"/>
          <a:ext cx="2400300" cy="152400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mc:AlternateContent xmlns:mc="http://schemas.openxmlformats.org/markup-compatibility/2006">
    <mc:Choice xmlns:a14="http://schemas.microsoft.com/office/drawing/2010/main" Requires="a14">
      <xdr:twoCellAnchor>
        <xdr:from>
          <xdr:col>2</xdr:col>
          <xdr:colOff>1668780</xdr:colOff>
          <xdr:row>15</xdr:row>
          <xdr:rowOff>0</xdr:rowOff>
        </xdr:from>
        <xdr:to>
          <xdr:col>2</xdr:col>
          <xdr:colOff>3573780</xdr:colOff>
          <xdr:row>16</xdr:row>
          <xdr:rowOff>106680</xdr:rowOff>
        </xdr:to>
        <xdr:sp macro="" textlink="">
          <xdr:nvSpPr>
            <xdr:cNvPr id="3074" name="btn이동_기초자료입력" hidden="1">
              <a:extLst>
                <a:ext uri="{63B3BB69-23CF-44E3-9099-C40C66FF867C}">
                  <a14:compatExt spid="_x0000_s3074"/>
                </a:ext>
                <a:ext uri="{FF2B5EF4-FFF2-40B4-BE49-F238E27FC236}">
                  <a16:creationId xmlns:a16="http://schemas.microsoft.com/office/drawing/2014/main" id="{42BBBC66-D1EC-4476-B9AA-C26AD69000E1}"/>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기초자료입력으로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3703320</xdr:colOff>
          <xdr:row>15</xdr:row>
          <xdr:rowOff>0</xdr:rowOff>
        </xdr:from>
        <xdr:to>
          <xdr:col>4</xdr:col>
          <xdr:colOff>160020</xdr:colOff>
          <xdr:row>16</xdr:row>
          <xdr:rowOff>106680</xdr:rowOff>
        </xdr:to>
        <xdr:sp macro="" textlink="">
          <xdr:nvSpPr>
            <xdr:cNvPr id="3075" name="btn이동_서식선택출력" hidden="1">
              <a:extLst>
                <a:ext uri="{63B3BB69-23CF-44E3-9099-C40C66FF867C}">
                  <a14:compatExt spid="_x0000_s3075"/>
                </a:ext>
                <a:ext uri="{FF2B5EF4-FFF2-40B4-BE49-F238E27FC236}">
                  <a16:creationId xmlns:a16="http://schemas.microsoft.com/office/drawing/2014/main" id="{DF69F872-4BC7-430F-9521-CB3E6FA8B322}"/>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서식선택_출력으로</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167640</xdr:colOff>
          <xdr:row>1</xdr:row>
          <xdr:rowOff>182880</xdr:rowOff>
        </xdr:from>
        <xdr:to>
          <xdr:col>5</xdr:col>
          <xdr:colOff>281940</xdr:colOff>
          <xdr:row>3</xdr:row>
          <xdr:rowOff>45720</xdr:rowOff>
        </xdr:to>
        <xdr:sp macro="" textlink="">
          <xdr:nvSpPr>
            <xdr:cNvPr id="4097" name="btn관련FormID이동" hidden="1">
              <a:extLst>
                <a:ext uri="{63B3BB69-23CF-44E3-9099-C40C66FF867C}">
                  <a14:compatExt spid="_x0000_s4097"/>
                </a:ext>
                <a:ext uri="{FF2B5EF4-FFF2-40B4-BE49-F238E27FC236}">
                  <a16:creationId xmlns:a16="http://schemas.microsoft.com/office/drawing/2014/main" id="{3380AD2C-9A48-4A4A-8874-A1D64A255871}"/>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관련 Form ID로 이동</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xdr:colOff>
          <xdr:row>4</xdr:row>
          <xdr:rowOff>15240</xdr:rowOff>
        </xdr:from>
        <xdr:to>
          <xdr:col>6</xdr:col>
          <xdr:colOff>800100</xdr:colOff>
          <xdr:row>4</xdr:row>
          <xdr:rowOff>205740</xdr:rowOff>
        </xdr:to>
        <xdr:sp macro="" textlink="">
          <xdr:nvSpPr>
            <xdr:cNvPr id="5121" name="btnPrev_F-001" hidden="1">
              <a:extLst>
                <a:ext uri="{63B3BB69-23CF-44E3-9099-C40C66FF867C}">
                  <a14:compatExt spid="_x0000_s5121"/>
                </a:ext>
                <a:ext uri="{FF2B5EF4-FFF2-40B4-BE49-F238E27FC236}">
                  <a16:creationId xmlns:a16="http://schemas.microsoft.com/office/drawing/2014/main" id="{0BB564B4-39E5-41BD-B657-811B006BF617}"/>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xdr:row>
          <xdr:rowOff>15240</xdr:rowOff>
        </xdr:from>
        <xdr:to>
          <xdr:col>7</xdr:col>
          <xdr:colOff>800100</xdr:colOff>
          <xdr:row>4</xdr:row>
          <xdr:rowOff>205740</xdr:rowOff>
        </xdr:to>
        <xdr:sp macro="" textlink="">
          <xdr:nvSpPr>
            <xdr:cNvPr id="5122" name="btnPdf_F-001" hidden="1">
              <a:extLst>
                <a:ext uri="{63B3BB69-23CF-44E3-9099-C40C66FF867C}">
                  <a14:compatExt spid="_x0000_s5122"/>
                </a:ext>
                <a:ext uri="{FF2B5EF4-FFF2-40B4-BE49-F238E27FC236}">
                  <a16:creationId xmlns:a16="http://schemas.microsoft.com/office/drawing/2014/main" id="{1D271007-B253-4DCE-B1A2-1D2C7CDC383A}"/>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xdr:row>
          <xdr:rowOff>15240</xdr:rowOff>
        </xdr:from>
        <xdr:to>
          <xdr:col>8</xdr:col>
          <xdr:colOff>800100</xdr:colOff>
          <xdr:row>4</xdr:row>
          <xdr:rowOff>205740</xdr:rowOff>
        </xdr:to>
        <xdr:sp macro="" textlink="">
          <xdr:nvSpPr>
            <xdr:cNvPr id="5123" name="btnHwpx_F-001" hidden="1">
              <a:extLst>
                <a:ext uri="{63B3BB69-23CF-44E3-9099-C40C66FF867C}">
                  <a14:compatExt spid="_x0000_s5123"/>
                </a:ext>
                <a:ext uri="{FF2B5EF4-FFF2-40B4-BE49-F238E27FC236}">
                  <a16:creationId xmlns:a16="http://schemas.microsoft.com/office/drawing/2014/main" id="{A71E2D97-037B-4BD4-9509-D717E13BB282}"/>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xdr:row>
          <xdr:rowOff>15240</xdr:rowOff>
        </xdr:from>
        <xdr:to>
          <xdr:col>6</xdr:col>
          <xdr:colOff>800100</xdr:colOff>
          <xdr:row>5</xdr:row>
          <xdr:rowOff>205740</xdr:rowOff>
        </xdr:to>
        <xdr:sp macro="" textlink="">
          <xdr:nvSpPr>
            <xdr:cNvPr id="5124" name="btnPrev_F-002" hidden="1">
              <a:extLst>
                <a:ext uri="{63B3BB69-23CF-44E3-9099-C40C66FF867C}">
                  <a14:compatExt spid="_x0000_s5124"/>
                </a:ext>
                <a:ext uri="{FF2B5EF4-FFF2-40B4-BE49-F238E27FC236}">
                  <a16:creationId xmlns:a16="http://schemas.microsoft.com/office/drawing/2014/main" id="{45003768-0394-4F84-A665-8D6B4ED36C6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5</xdr:row>
          <xdr:rowOff>15240</xdr:rowOff>
        </xdr:from>
        <xdr:to>
          <xdr:col>7</xdr:col>
          <xdr:colOff>800100</xdr:colOff>
          <xdr:row>5</xdr:row>
          <xdr:rowOff>205740</xdr:rowOff>
        </xdr:to>
        <xdr:sp macro="" textlink="">
          <xdr:nvSpPr>
            <xdr:cNvPr id="5125" name="btnPdf_F-002" hidden="1">
              <a:extLst>
                <a:ext uri="{63B3BB69-23CF-44E3-9099-C40C66FF867C}">
                  <a14:compatExt spid="_x0000_s5125"/>
                </a:ext>
                <a:ext uri="{FF2B5EF4-FFF2-40B4-BE49-F238E27FC236}">
                  <a16:creationId xmlns:a16="http://schemas.microsoft.com/office/drawing/2014/main" id="{819B5E2C-B4B3-4B0D-8076-688463CC4AA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5</xdr:row>
          <xdr:rowOff>15240</xdr:rowOff>
        </xdr:from>
        <xdr:to>
          <xdr:col>8</xdr:col>
          <xdr:colOff>800100</xdr:colOff>
          <xdr:row>5</xdr:row>
          <xdr:rowOff>205740</xdr:rowOff>
        </xdr:to>
        <xdr:sp macro="" textlink="">
          <xdr:nvSpPr>
            <xdr:cNvPr id="5126" name="btnHwpx_F-002" hidden="1">
              <a:extLst>
                <a:ext uri="{63B3BB69-23CF-44E3-9099-C40C66FF867C}">
                  <a14:compatExt spid="_x0000_s5126"/>
                </a:ext>
                <a:ext uri="{FF2B5EF4-FFF2-40B4-BE49-F238E27FC236}">
                  <a16:creationId xmlns:a16="http://schemas.microsoft.com/office/drawing/2014/main" id="{3165B1A7-449F-48CB-848D-5E6AC46C4D9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6</xdr:row>
          <xdr:rowOff>15240</xdr:rowOff>
        </xdr:from>
        <xdr:to>
          <xdr:col>6</xdr:col>
          <xdr:colOff>800100</xdr:colOff>
          <xdr:row>6</xdr:row>
          <xdr:rowOff>205740</xdr:rowOff>
        </xdr:to>
        <xdr:sp macro="" textlink="">
          <xdr:nvSpPr>
            <xdr:cNvPr id="5127" name="btnPrev_F-003" hidden="1">
              <a:extLst>
                <a:ext uri="{63B3BB69-23CF-44E3-9099-C40C66FF867C}">
                  <a14:compatExt spid="_x0000_s5127"/>
                </a:ext>
                <a:ext uri="{FF2B5EF4-FFF2-40B4-BE49-F238E27FC236}">
                  <a16:creationId xmlns:a16="http://schemas.microsoft.com/office/drawing/2014/main" id="{B65BD4DB-FE6D-46E9-9F6D-C059D069382A}"/>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6</xdr:row>
          <xdr:rowOff>15240</xdr:rowOff>
        </xdr:from>
        <xdr:to>
          <xdr:col>7</xdr:col>
          <xdr:colOff>800100</xdr:colOff>
          <xdr:row>6</xdr:row>
          <xdr:rowOff>205740</xdr:rowOff>
        </xdr:to>
        <xdr:sp macro="" textlink="">
          <xdr:nvSpPr>
            <xdr:cNvPr id="5128" name="btnPdf_F-003" hidden="1">
              <a:extLst>
                <a:ext uri="{63B3BB69-23CF-44E3-9099-C40C66FF867C}">
                  <a14:compatExt spid="_x0000_s5128"/>
                </a:ext>
                <a:ext uri="{FF2B5EF4-FFF2-40B4-BE49-F238E27FC236}">
                  <a16:creationId xmlns:a16="http://schemas.microsoft.com/office/drawing/2014/main" id="{CB0D7CC8-1D21-42AF-9FCC-4279ABD8EEC2}"/>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6</xdr:row>
          <xdr:rowOff>15240</xdr:rowOff>
        </xdr:from>
        <xdr:to>
          <xdr:col>8</xdr:col>
          <xdr:colOff>800100</xdr:colOff>
          <xdr:row>6</xdr:row>
          <xdr:rowOff>205740</xdr:rowOff>
        </xdr:to>
        <xdr:sp macro="" textlink="">
          <xdr:nvSpPr>
            <xdr:cNvPr id="5129" name="btnHwpx_F-003" hidden="1">
              <a:extLst>
                <a:ext uri="{63B3BB69-23CF-44E3-9099-C40C66FF867C}">
                  <a14:compatExt spid="_x0000_s5129"/>
                </a:ext>
                <a:ext uri="{FF2B5EF4-FFF2-40B4-BE49-F238E27FC236}">
                  <a16:creationId xmlns:a16="http://schemas.microsoft.com/office/drawing/2014/main" id="{BE317A79-FA9A-4A91-81FB-DA9E5E893419}"/>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7</xdr:row>
          <xdr:rowOff>15240</xdr:rowOff>
        </xdr:from>
        <xdr:to>
          <xdr:col>6</xdr:col>
          <xdr:colOff>800100</xdr:colOff>
          <xdr:row>7</xdr:row>
          <xdr:rowOff>205740</xdr:rowOff>
        </xdr:to>
        <xdr:sp macro="" textlink="">
          <xdr:nvSpPr>
            <xdr:cNvPr id="5130" name="btnPrev_F-004" hidden="1">
              <a:extLst>
                <a:ext uri="{63B3BB69-23CF-44E3-9099-C40C66FF867C}">
                  <a14:compatExt spid="_x0000_s5130"/>
                </a:ext>
                <a:ext uri="{FF2B5EF4-FFF2-40B4-BE49-F238E27FC236}">
                  <a16:creationId xmlns:a16="http://schemas.microsoft.com/office/drawing/2014/main" id="{57D1D55F-99A0-44FD-8DD1-B71B2C4DC57C}"/>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7</xdr:row>
          <xdr:rowOff>15240</xdr:rowOff>
        </xdr:from>
        <xdr:to>
          <xdr:col>7</xdr:col>
          <xdr:colOff>800100</xdr:colOff>
          <xdr:row>7</xdr:row>
          <xdr:rowOff>205740</xdr:rowOff>
        </xdr:to>
        <xdr:sp macro="" textlink="">
          <xdr:nvSpPr>
            <xdr:cNvPr id="5131" name="btnPdf_F-004" hidden="1">
              <a:extLst>
                <a:ext uri="{63B3BB69-23CF-44E3-9099-C40C66FF867C}">
                  <a14:compatExt spid="_x0000_s5131"/>
                </a:ext>
                <a:ext uri="{FF2B5EF4-FFF2-40B4-BE49-F238E27FC236}">
                  <a16:creationId xmlns:a16="http://schemas.microsoft.com/office/drawing/2014/main" id="{EF5EE3E1-EE50-4F56-B48F-21DDA672366C}"/>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7</xdr:row>
          <xdr:rowOff>15240</xdr:rowOff>
        </xdr:from>
        <xdr:to>
          <xdr:col>8</xdr:col>
          <xdr:colOff>800100</xdr:colOff>
          <xdr:row>7</xdr:row>
          <xdr:rowOff>205740</xdr:rowOff>
        </xdr:to>
        <xdr:sp macro="" textlink="">
          <xdr:nvSpPr>
            <xdr:cNvPr id="5132" name="btnHwpx_F-004" hidden="1">
              <a:extLst>
                <a:ext uri="{63B3BB69-23CF-44E3-9099-C40C66FF867C}">
                  <a14:compatExt spid="_x0000_s5132"/>
                </a:ext>
                <a:ext uri="{FF2B5EF4-FFF2-40B4-BE49-F238E27FC236}">
                  <a16:creationId xmlns:a16="http://schemas.microsoft.com/office/drawing/2014/main" id="{E15E6CE7-3D46-43F1-8E23-EB3294C3C06C}"/>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8</xdr:row>
          <xdr:rowOff>15240</xdr:rowOff>
        </xdr:from>
        <xdr:to>
          <xdr:col>6</xdr:col>
          <xdr:colOff>800100</xdr:colOff>
          <xdr:row>8</xdr:row>
          <xdr:rowOff>205740</xdr:rowOff>
        </xdr:to>
        <xdr:sp macro="" textlink="">
          <xdr:nvSpPr>
            <xdr:cNvPr id="5133" name="btnPrev_F-005" hidden="1">
              <a:extLst>
                <a:ext uri="{63B3BB69-23CF-44E3-9099-C40C66FF867C}">
                  <a14:compatExt spid="_x0000_s5133"/>
                </a:ext>
                <a:ext uri="{FF2B5EF4-FFF2-40B4-BE49-F238E27FC236}">
                  <a16:creationId xmlns:a16="http://schemas.microsoft.com/office/drawing/2014/main" id="{A2E4970F-ACEE-4BF1-930D-0FCCB05730A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8</xdr:row>
          <xdr:rowOff>15240</xdr:rowOff>
        </xdr:from>
        <xdr:to>
          <xdr:col>7</xdr:col>
          <xdr:colOff>800100</xdr:colOff>
          <xdr:row>8</xdr:row>
          <xdr:rowOff>205740</xdr:rowOff>
        </xdr:to>
        <xdr:sp macro="" textlink="">
          <xdr:nvSpPr>
            <xdr:cNvPr id="5134" name="btnPdf_F-005" hidden="1">
              <a:extLst>
                <a:ext uri="{63B3BB69-23CF-44E3-9099-C40C66FF867C}">
                  <a14:compatExt spid="_x0000_s5134"/>
                </a:ext>
                <a:ext uri="{FF2B5EF4-FFF2-40B4-BE49-F238E27FC236}">
                  <a16:creationId xmlns:a16="http://schemas.microsoft.com/office/drawing/2014/main" id="{A49F965D-D31F-4EF1-A9D2-2F0E801981AF}"/>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8</xdr:row>
          <xdr:rowOff>15240</xdr:rowOff>
        </xdr:from>
        <xdr:to>
          <xdr:col>8</xdr:col>
          <xdr:colOff>800100</xdr:colOff>
          <xdr:row>8</xdr:row>
          <xdr:rowOff>205740</xdr:rowOff>
        </xdr:to>
        <xdr:sp macro="" textlink="">
          <xdr:nvSpPr>
            <xdr:cNvPr id="5135" name="btnHwpx_F-005" hidden="1">
              <a:extLst>
                <a:ext uri="{63B3BB69-23CF-44E3-9099-C40C66FF867C}">
                  <a14:compatExt spid="_x0000_s5135"/>
                </a:ext>
                <a:ext uri="{FF2B5EF4-FFF2-40B4-BE49-F238E27FC236}">
                  <a16:creationId xmlns:a16="http://schemas.microsoft.com/office/drawing/2014/main" id="{13FE27F4-F8EC-4312-9CAD-A47A171928AB}"/>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9</xdr:row>
          <xdr:rowOff>15240</xdr:rowOff>
        </xdr:from>
        <xdr:to>
          <xdr:col>6</xdr:col>
          <xdr:colOff>800100</xdr:colOff>
          <xdr:row>9</xdr:row>
          <xdr:rowOff>205740</xdr:rowOff>
        </xdr:to>
        <xdr:sp macro="" textlink="">
          <xdr:nvSpPr>
            <xdr:cNvPr id="5136" name="btnPrev_F-006" hidden="1">
              <a:extLst>
                <a:ext uri="{63B3BB69-23CF-44E3-9099-C40C66FF867C}">
                  <a14:compatExt spid="_x0000_s5136"/>
                </a:ext>
                <a:ext uri="{FF2B5EF4-FFF2-40B4-BE49-F238E27FC236}">
                  <a16:creationId xmlns:a16="http://schemas.microsoft.com/office/drawing/2014/main" id="{8C0C97AC-0B4C-4E50-947F-294A46DD3A3C}"/>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9</xdr:row>
          <xdr:rowOff>15240</xdr:rowOff>
        </xdr:from>
        <xdr:to>
          <xdr:col>7</xdr:col>
          <xdr:colOff>800100</xdr:colOff>
          <xdr:row>9</xdr:row>
          <xdr:rowOff>205740</xdr:rowOff>
        </xdr:to>
        <xdr:sp macro="" textlink="">
          <xdr:nvSpPr>
            <xdr:cNvPr id="5137" name="btnPdf_F-006" hidden="1">
              <a:extLst>
                <a:ext uri="{63B3BB69-23CF-44E3-9099-C40C66FF867C}">
                  <a14:compatExt spid="_x0000_s5137"/>
                </a:ext>
                <a:ext uri="{FF2B5EF4-FFF2-40B4-BE49-F238E27FC236}">
                  <a16:creationId xmlns:a16="http://schemas.microsoft.com/office/drawing/2014/main" id="{36430D61-8A30-4246-B6FD-5D81A642DD6D}"/>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9</xdr:row>
          <xdr:rowOff>15240</xdr:rowOff>
        </xdr:from>
        <xdr:to>
          <xdr:col>8</xdr:col>
          <xdr:colOff>800100</xdr:colOff>
          <xdr:row>9</xdr:row>
          <xdr:rowOff>205740</xdr:rowOff>
        </xdr:to>
        <xdr:sp macro="" textlink="">
          <xdr:nvSpPr>
            <xdr:cNvPr id="5138" name="btnHwpx_F-006" hidden="1">
              <a:extLst>
                <a:ext uri="{63B3BB69-23CF-44E3-9099-C40C66FF867C}">
                  <a14:compatExt spid="_x0000_s5138"/>
                </a:ext>
                <a:ext uri="{FF2B5EF4-FFF2-40B4-BE49-F238E27FC236}">
                  <a16:creationId xmlns:a16="http://schemas.microsoft.com/office/drawing/2014/main" id="{39264B25-58A9-4353-AB83-A2EB876B5AD1}"/>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10</xdr:row>
          <xdr:rowOff>15240</xdr:rowOff>
        </xdr:from>
        <xdr:to>
          <xdr:col>6</xdr:col>
          <xdr:colOff>800100</xdr:colOff>
          <xdr:row>10</xdr:row>
          <xdr:rowOff>205740</xdr:rowOff>
        </xdr:to>
        <xdr:sp macro="" textlink="">
          <xdr:nvSpPr>
            <xdr:cNvPr id="5139" name="btnPrev_F-007" hidden="1">
              <a:extLst>
                <a:ext uri="{63B3BB69-23CF-44E3-9099-C40C66FF867C}">
                  <a14:compatExt spid="_x0000_s5139"/>
                </a:ext>
                <a:ext uri="{FF2B5EF4-FFF2-40B4-BE49-F238E27FC236}">
                  <a16:creationId xmlns:a16="http://schemas.microsoft.com/office/drawing/2014/main" id="{23AA494C-75CF-4BC2-BFCF-C5D20BCF83CD}"/>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10</xdr:row>
          <xdr:rowOff>15240</xdr:rowOff>
        </xdr:from>
        <xdr:to>
          <xdr:col>7</xdr:col>
          <xdr:colOff>800100</xdr:colOff>
          <xdr:row>10</xdr:row>
          <xdr:rowOff>205740</xdr:rowOff>
        </xdr:to>
        <xdr:sp macro="" textlink="">
          <xdr:nvSpPr>
            <xdr:cNvPr id="5140" name="btnPdf_F-007" hidden="1">
              <a:extLst>
                <a:ext uri="{63B3BB69-23CF-44E3-9099-C40C66FF867C}">
                  <a14:compatExt spid="_x0000_s5140"/>
                </a:ext>
                <a:ext uri="{FF2B5EF4-FFF2-40B4-BE49-F238E27FC236}">
                  <a16:creationId xmlns:a16="http://schemas.microsoft.com/office/drawing/2014/main" id="{5F030D8B-FFB7-4F9E-B6A2-8CC86A60180F}"/>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10</xdr:row>
          <xdr:rowOff>15240</xdr:rowOff>
        </xdr:from>
        <xdr:to>
          <xdr:col>8</xdr:col>
          <xdr:colOff>800100</xdr:colOff>
          <xdr:row>10</xdr:row>
          <xdr:rowOff>205740</xdr:rowOff>
        </xdr:to>
        <xdr:sp macro="" textlink="">
          <xdr:nvSpPr>
            <xdr:cNvPr id="5141" name="btnHwpx_F-007" hidden="1">
              <a:extLst>
                <a:ext uri="{63B3BB69-23CF-44E3-9099-C40C66FF867C}">
                  <a14:compatExt spid="_x0000_s5141"/>
                </a:ext>
                <a:ext uri="{FF2B5EF4-FFF2-40B4-BE49-F238E27FC236}">
                  <a16:creationId xmlns:a16="http://schemas.microsoft.com/office/drawing/2014/main" id="{7B7FF653-19BC-407F-A1BF-9CDA957A3B7D}"/>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11</xdr:row>
          <xdr:rowOff>15240</xdr:rowOff>
        </xdr:from>
        <xdr:to>
          <xdr:col>6</xdr:col>
          <xdr:colOff>800100</xdr:colOff>
          <xdr:row>11</xdr:row>
          <xdr:rowOff>205740</xdr:rowOff>
        </xdr:to>
        <xdr:sp macro="" textlink="">
          <xdr:nvSpPr>
            <xdr:cNvPr id="5142" name="btnPrev_F-008" hidden="1">
              <a:extLst>
                <a:ext uri="{63B3BB69-23CF-44E3-9099-C40C66FF867C}">
                  <a14:compatExt spid="_x0000_s5142"/>
                </a:ext>
                <a:ext uri="{FF2B5EF4-FFF2-40B4-BE49-F238E27FC236}">
                  <a16:creationId xmlns:a16="http://schemas.microsoft.com/office/drawing/2014/main" id="{97ADCE60-5BD1-435E-81A3-4AE122AE05B3}"/>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11</xdr:row>
          <xdr:rowOff>15240</xdr:rowOff>
        </xdr:from>
        <xdr:to>
          <xdr:col>7</xdr:col>
          <xdr:colOff>800100</xdr:colOff>
          <xdr:row>11</xdr:row>
          <xdr:rowOff>205740</xdr:rowOff>
        </xdr:to>
        <xdr:sp macro="" textlink="">
          <xdr:nvSpPr>
            <xdr:cNvPr id="5143" name="btnPdf_F-008" hidden="1">
              <a:extLst>
                <a:ext uri="{63B3BB69-23CF-44E3-9099-C40C66FF867C}">
                  <a14:compatExt spid="_x0000_s5143"/>
                </a:ext>
                <a:ext uri="{FF2B5EF4-FFF2-40B4-BE49-F238E27FC236}">
                  <a16:creationId xmlns:a16="http://schemas.microsoft.com/office/drawing/2014/main" id="{AC52A5AA-5D8B-4008-8106-14DB91C26D64}"/>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11</xdr:row>
          <xdr:rowOff>15240</xdr:rowOff>
        </xdr:from>
        <xdr:to>
          <xdr:col>8</xdr:col>
          <xdr:colOff>800100</xdr:colOff>
          <xdr:row>11</xdr:row>
          <xdr:rowOff>205740</xdr:rowOff>
        </xdr:to>
        <xdr:sp macro="" textlink="">
          <xdr:nvSpPr>
            <xdr:cNvPr id="5144" name="btnHwpx_F-008" hidden="1">
              <a:extLst>
                <a:ext uri="{63B3BB69-23CF-44E3-9099-C40C66FF867C}">
                  <a14:compatExt spid="_x0000_s5144"/>
                </a:ext>
                <a:ext uri="{FF2B5EF4-FFF2-40B4-BE49-F238E27FC236}">
                  <a16:creationId xmlns:a16="http://schemas.microsoft.com/office/drawing/2014/main" id="{95230D40-6939-4D86-8E55-EE72032D5777}"/>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12</xdr:row>
          <xdr:rowOff>15240</xdr:rowOff>
        </xdr:from>
        <xdr:to>
          <xdr:col>6</xdr:col>
          <xdr:colOff>800100</xdr:colOff>
          <xdr:row>12</xdr:row>
          <xdr:rowOff>205740</xdr:rowOff>
        </xdr:to>
        <xdr:sp macro="" textlink="">
          <xdr:nvSpPr>
            <xdr:cNvPr id="5145" name="btnPrev_F-009" hidden="1">
              <a:extLst>
                <a:ext uri="{63B3BB69-23CF-44E3-9099-C40C66FF867C}">
                  <a14:compatExt spid="_x0000_s5145"/>
                </a:ext>
                <a:ext uri="{FF2B5EF4-FFF2-40B4-BE49-F238E27FC236}">
                  <a16:creationId xmlns:a16="http://schemas.microsoft.com/office/drawing/2014/main" id="{654E98AB-6971-43F5-9822-933943735181}"/>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12</xdr:row>
          <xdr:rowOff>15240</xdr:rowOff>
        </xdr:from>
        <xdr:to>
          <xdr:col>7</xdr:col>
          <xdr:colOff>800100</xdr:colOff>
          <xdr:row>12</xdr:row>
          <xdr:rowOff>205740</xdr:rowOff>
        </xdr:to>
        <xdr:sp macro="" textlink="">
          <xdr:nvSpPr>
            <xdr:cNvPr id="5146" name="btnPdf_F-009" hidden="1">
              <a:extLst>
                <a:ext uri="{63B3BB69-23CF-44E3-9099-C40C66FF867C}">
                  <a14:compatExt spid="_x0000_s5146"/>
                </a:ext>
                <a:ext uri="{FF2B5EF4-FFF2-40B4-BE49-F238E27FC236}">
                  <a16:creationId xmlns:a16="http://schemas.microsoft.com/office/drawing/2014/main" id="{B2AF3CA9-778C-4330-9CC7-AF2DB8EAD9CB}"/>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12</xdr:row>
          <xdr:rowOff>15240</xdr:rowOff>
        </xdr:from>
        <xdr:to>
          <xdr:col>8</xdr:col>
          <xdr:colOff>800100</xdr:colOff>
          <xdr:row>12</xdr:row>
          <xdr:rowOff>205740</xdr:rowOff>
        </xdr:to>
        <xdr:sp macro="" textlink="">
          <xdr:nvSpPr>
            <xdr:cNvPr id="5147" name="btnHwpx_F-009" hidden="1">
              <a:extLst>
                <a:ext uri="{63B3BB69-23CF-44E3-9099-C40C66FF867C}">
                  <a14:compatExt spid="_x0000_s5147"/>
                </a:ext>
                <a:ext uri="{FF2B5EF4-FFF2-40B4-BE49-F238E27FC236}">
                  <a16:creationId xmlns:a16="http://schemas.microsoft.com/office/drawing/2014/main" id="{ECCB50E5-41D2-43E7-96C8-B6560DA22A74}"/>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13</xdr:row>
          <xdr:rowOff>15240</xdr:rowOff>
        </xdr:from>
        <xdr:to>
          <xdr:col>6</xdr:col>
          <xdr:colOff>800100</xdr:colOff>
          <xdr:row>13</xdr:row>
          <xdr:rowOff>205740</xdr:rowOff>
        </xdr:to>
        <xdr:sp macro="" textlink="">
          <xdr:nvSpPr>
            <xdr:cNvPr id="5148" name="btnPrev_F-010" hidden="1">
              <a:extLst>
                <a:ext uri="{63B3BB69-23CF-44E3-9099-C40C66FF867C}">
                  <a14:compatExt spid="_x0000_s5148"/>
                </a:ext>
                <a:ext uri="{FF2B5EF4-FFF2-40B4-BE49-F238E27FC236}">
                  <a16:creationId xmlns:a16="http://schemas.microsoft.com/office/drawing/2014/main" id="{B17F480F-544B-42E9-8758-E0292008E9B9}"/>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13</xdr:row>
          <xdr:rowOff>15240</xdr:rowOff>
        </xdr:from>
        <xdr:to>
          <xdr:col>7</xdr:col>
          <xdr:colOff>800100</xdr:colOff>
          <xdr:row>13</xdr:row>
          <xdr:rowOff>205740</xdr:rowOff>
        </xdr:to>
        <xdr:sp macro="" textlink="">
          <xdr:nvSpPr>
            <xdr:cNvPr id="5149" name="btnPdf_F-010" hidden="1">
              <a:extLst>
                <a:ext uri="{63B3BB69-23CF-44E3-9099-C40C66FF867C}">
                  <a14:compatExt spid="_x0000_s5149"/>
                </a:ext>
                <a:ext uri="{FF2B5EF4-FFF2-40B4-BE49-F238E27FC236}">
                  <a16:creationId xmlns:a16="http://schemas.microsoft.com/office/drawing/2014/main" id="{41C233C4-AA33-4BA3-AE22-1C7432EEB53E}"/>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13</xdr:row>
          <xdr:rowOff>15240</xdr:rowOff>
        </xdr:from>
        <xdr:to>
          <xdr:col>8</xdr:col>
          <xdr:colOff>800100</xdr:colOff>
          <xdr:row>13</xdr:row>
          <xdr:rowOff>205740</xdr:rowOff>
        </xdr:to>
        <xdr:sp macro="" textlink="">
          <xdr:nvSpPr>
            <xdr:cNvPr id="5150" name="btnHwpx_F-010" hidden="1">
              <a:extLst>
                <a:ext uri="{63B3BB69-23CF-44E3-9099-C40C66FF867C}">
                  <a14:compatExt spid="_x0000_s5150"/>
                </a:ext>
                <a:ext uri="{FF2B5EF4-FFF2-40B4-BE49-F238E27FC236}">
                  <a16:creationId xmlns:a16="http://schemas.microsoft.com/office/drawing/2014/main" id="{9D2CACE1-4BF6-41C2-88C9-A37220D09872}"/>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14</xdr:row>
          <xdr:rowOff>15240</xdr:rowOff>
        </xdr:from>
        <xdr:to>
          <xdr:col>6</xdr:col>
          <xdr:colOff>800100</xdr:colOff>
          <xdr:row>14</xdr:row>
          <xdr:rowOff>205740</xdr:rowOff>
        </xdr:to>
        <xdr:sp macro="" textlink="">
          <xdr:nvSpPr>
            <xdr:cNvPr id="5151" name="btnPrev_F-011" hidden="1">
              <a:extLst>
                <a:ext uri="{63B3BB69-23CF-44E3-9099-C40C66FF867C}">
                  <a14:compatExt spid="_x0000_s5151"/>
                </a:ext>
                <a:ext uri="{FF2B5EF4-FFF2-40B4-BE49-F238E27FC236}">
                  <a16:creationId xmlns:a16="http://schemas.microsoft.com/office/drawing/2014/main" id="{E6744FCE-9E24-427E-A5E4-1BE843ADD04F}"/>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14</xdr:row>
          <xdr:rowOff>15240</xdr:rowOff>
        </xdr:from>
        <xdr:to>
          <xdr:col>7</xdr:col>
          <xdr:colOff>800100</xdr:colOff>
          <xdr:row>14</xdr:row>
          <xdr:rowOff>205740</xdr:rowOff>
        </xdr:to>
        <xdr:sp macro="" textlink="">
          <xdr:nvSpPr>
            <xdr:cNvPr id="5152" name="btnPdf_F-011" hidden="1">
              <a:extLst>
                <a:ext uri="{63B3BB69-23CF-44E3-9099-C40C66FF867C}">
                  <a14:compatExt spid="_x0000_s5152"/>
                </a:ext>
                <a:ext uri="{FF2B5EF4-FFF2-40B4-BE49-F238E27FC236}">
                  <a16:creationId xmlns:a16="http://schemas.microsoft.com/office/drawing/2014/main" id="{37FA34A1-C113-4BB9-B8C5-F62C3FC24EBC}"/>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14</xdr:row>
          <xdr:rowOff>15240</xdr:rowOff>
        </xdr:from>
        <xdr:to>
          <xdr:col>8</xdr:col>
          <xdr:colOff>800100</xdr:colOff>
          <xdr:row>14</xdr:row>
          <xdr:rowOff>205740</xdr:rowOff>
        </xdr:to>
        <xdr:sp macro="" textlink="">
          <xdr:nvSpPr>
            <xdr:cNvPr id="5153" name="btnHwpx_F-011" hidden="1">
              <a:extLst>
                <a:ext uri="{63B3BB69-23CF-44E3-9099-C40C66FF867C}">
                  <a14:compatExt spid="_x0000_s5153"/>
                </a:ext>
                <a:ext uri="{FF2B5EF4-FFF2-40B4-BE49-F238E27FC236}">
                  <a16:creationId xmlns:a16="http://schemas.microsoft.com/office/drawing/2014/main" id="{4B2E3217-DCDA-4C5F-BDDC-41D488780817}"/>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15</xdr:row>
          <xdr:rowOff>15240</xdr:rowOff>
        </xdr:from>
        <xdr:to>
          <xdr:col>6</xdr:col>
          <xdr:colOff>800100</xdr:colOff>
          <xdr:row>15</xdr:row>
          <xdr:rowOff>205740</xdr:rowOff>
        </xdr:to>
        <xdr:sp macro="" textlink="">
          <xdr:nvSpPr>
            <xdr:cNvPr id="5154" name="btnPrev_F-012" hidden="1">
              <a:extLst>
                <a:ext uri="{63B3BB69-23CF-44E3-9099-C40C66FF867C}">
                  <a14:compatExt spid="_x0000_s5154"/>
                </a:ext>
                <a:ext uri="{FF2B5EF4-FFF2-40B4-BE49-F238E27FC236}">
                  <a16:creationId xmlns:a16="http://schemas.microsoft.com/office/drawing/2014/main" id="{F2195114-92B8-465B-AC23-DF7269D6E902}"/>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15</xdr:row>
          <xdr:rowOff>15240</xdr:rowOff>
        </xdr:from>
        <xdr:to>
          <xdr:col>7</xdr:col>
          <xdr:colOff>800100</xdr:colOff>
          <xdr:row>15</xdr:row>
          <xdr:rowOff>205740</xdr:rowOff>
        </xdr:to>
        <xdr:sp macro="" textlink="">
          <xdr:nvSpPr>
            <xdr:cNvPr id="5155" name="btnPdf_F-012" hidden="1">
              <a:extLst>
                <a:ext uri="{63B3BB69-23CF-44E3-9099-C40C66FF867C}">
                  <a14:compatExt spid="_x0000_s5155"/>
                </a:ext>
                <a:ext uri="{FF2B5EF4-FFF2-40B4-BE49-F238E27FC236}">
                  <a16:creationId xmlns:a16="http://schemas.microsoft.com/office/drawing/2014/main" id="{C19A1682-D9A4-4E80-B062-B2B028298E58}"/>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15</xdr:row>
          <xdr:rowOff>15240</xdr:rowOff>
        </xdr:from>
        <xdr:to>
          <xdr:col>8</xdr:col>
          <xdr:colOff>800100</xdr:colOff>
          <xdr:row>15</xdr:row>
          <xdr:rowOff>205740</xdr:rowOff>
        </xdr:to>
        <xdr:sp macro="" textlink="">
          <xdr:nvSpPr>
            <xdr:cNvPr id="5156" name="btnHwpx_F-012" hidden="1">
              <a:extLst>
                <a:ext uri="{63B3BB69-23CF-44E3-9099-C40C66FF867C}">
                  <a14:compatExt spid="_x0000_s5156"/>
                </a:ext>
                <a:ext uri="{FF2B5EF4-FFF2-40B4-BE49-F238E27FC236}">
                  <a16:creationId xmlns:a16="http://schemas.microsoft.com/office/drawing/2014/main" id="{F20CBE75-6A50-4E4E-AFC9-82CB13F7D6DB}"/>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17</xdr:row>
          <xdr:rowOff>15240</xdr:rowOff>
        </xdr:from>
        <xdr:to>
          <xdr:col>6</xdr:col>
          <xdr:colOff>800100</xdr:colOff>
          <xdr:row>17</xdr:row>
          <xdr:rowOff>205740</xdr:rowOff>
        </xdr:to>
        <xdr:sp macro="" textlink="">
          <xdr:nvSpPr>
            <xdr:cNvPr id="5157" name="btnPrev_F-014" hidden="1">
              <a:extLst>
                <a:ext uri="{63B3BB69-23CF-44E3-9099-C40C66FF867C}">
                  <a14:compatExt spid="_x0000_s5157"/>
                </a:ext>
                <a:ext uri="{FF2B5EF4-FFF2-40B4-BE49-F238E27FC236}">
                  <a16:creationId xmlns:a16="http://schemas.microsoft.com/office/drawing/2014/main" id="{0E63C078-0980-4561-80C3-E2E80707F39B}"/>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17</xdr:row>
          <xdr:rowOff>15240</xdr:rowOff>
        </xdr:from>
        <xdr:to>
          <xdr:col>7</xdr:col>
          <xdr:colOff>800100</xdr:colOff>
          <xdr:row>17</xdr:row>
          <xdr:rowOff>205740</xdr:rowOff>
        </xdr:to>
        <xdr:sp macro="" textlink="">
          <xdr:nvSpPr>
            <xdr:cNvPr id="5158" name="btnPdf_F-014" hidden="1">
              <a:extLst>
                <a:ext uri="{63B3BB69-23CF-44E3-9099-C40C66FF867C}">
                  <a14:compatExt spid="_x0000_s5158"/>
                </a:ext>
                <a:ext uri="{FF2B5EF4-FFF2-40B4-BE49-F238E27FC236}">
                  <a16:creationId xmlns:a16="http://schemas.microsoft.com/office/drawing/2014/main" id="{57E7BD84-E705-4887-B974-E286D1F5306A}"/>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17</xdr:row>
          <xdr:rowOff>15240</xdr:rowOff>
        </xdr:from>
        <xdr:to>
          <xdr:col>8</xdr:col>
          <xdr:colOff>800100</xdr:colOff>
          <xdr:row>17</xdr:row>
          <xdr:rowOff>205740</xdr:rowOff>
        </xdr:to>
        <xdr:sp macro="" textlink="">
          <xdr:nvSpPr>
            <xdr:cNvPr id="5159" name="btnHwpx_F-014" hidden="1">
              <a:extLst>
                <a:ext uri="{63B3BB69-23CF-44E3-9099-C40C66FF867C}">
                  <a14:compatExt spid="_x0000_s5159"/>
                </a:ext>
                <a:ext uri="{FF2B5EF4-FFF2-40B4-BE49-F238E27FC236}">
                  <a16:creationId xmlns:a16="http://schemas.microsoft.com/office/drawing/2014/main" id="{EF02BE7D-0F5F-4191-A131-80AC2B1DC4F9}"/>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18</xdr:row>
          <xdr:rowOff>15240</xdr:rowOff>
        </xdr:from>
        <xdr:to>
          <xdr:col>6</xdr:col>
          <xdr:colOff>800100</xdr:colOff>
          <xdr:row>18</xdr:row>
          <xdr:rowOff>205740</xdr:rowOff>
        </xdr:to>
        <xdr:sp macro="" textlink="">
          <xdr:nvSpPr>
            <xdr:cNvPr id="5160" name="btnPrev_F-015" hidden="1">
              <a:extLst>
                <a:ext uri="{63B3BB69-23CF-44E3-9099-C40C66FF867C}">
                  <a14:compatExt spid="_x0000_s5160"/>
                </a:ext>
                <a:ext uri="{FF2B5EF4-FFF2-40B4-BE49-F238E27FC236}">
                  <a16:creationId xmlns:a16="http://schemas.microsoft.com/office/drawing/2014/main" id="{2A6FB828-436C-45AB-A456-6AD502CC37B2}"/>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18</xdr:row>
          <xdr:rowOff>15240</xdr:rowOff>
        </xdr:from>
        <xdr:to>
          <xdr:col>7</xdr:col>
          <xdr:colOff>800100</xdr:colOff>
          <xdr:row>18</xdr:row>
          <xdr:rowOff>205740</xdr:rowOff>
        </xdr:to>
        <xdr:sp macro="" textlink="">
          <xdr:nvSpPr>
            <xdr:cNvPr id="5161" name="btnPdf_F-015" hidden="1">
              <a:extLst>
                <a:ext uri="{63B3BB69-23CF-44E3-9099-C40C66FF867C}">
                  <a14:compatExt spid="_x0000_s5161"/>
                </a:ext>
                <a:ext uri="{FF2B5EF4-FFF2-40B4-BE49-F238E27FC236}">
                  <a16:creationId xmlns:a16="http://schemas.microsoft.com/office/drawing/2014/main" id="{E0AB46C1-7E1C-44E4-8344-E016579A2A43}"/>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18</xdr:row>
          <xdr:rowOff>15240</xdr:rowOff>
        </xdr:from>
        <xdr:to>
          <xdr:col>8</xdr:col>
          <xdr:colOff>800100</xdr:colOff>
          <xdr:row>18</xdr:row>
          <xdr:rowOff>205740</xdr:rowOff>
        </xdr:to>
        <xdr:sp macro="" textlink="">
          <xdr:nvSpPr>
            <xdr:cNvPr id="5162" name="btnHwpx_F-015" hidden="1">
              <a:extLst>
                <a:ext uri="{63B3BB69-23CF-44E3-9099-C40C66FF867C}">
                  <a14:compatExt spid="_x0000_s5162"/>
                </a:ext>
                <a:ext uri="{FF2B5EF4-FFF2-40B4-BE49-F238E27FC236}">
                  <a16:creationId xmlns:a16="http://schemas.microsoft.com/office/drawing/2014/main" id="{972D5EEC-85A4-4011-B20A-ED35E02FED9B}"/>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19</xdr:row>
          <xdr:rowOff>15240</xdr:rowOff>
        </xdr:from>
        <xdr:to>
          <xdr:col>6</xdr:col>
          <xdr:colOff>800100</xdr:colOff>
          <xdr:row>19</xdr:row>
          <xdr:rowOff>205740</xdr:rowOff>
        </xdr:to>
        <xdr:sp macro="" textlink="">
          <xdr:nvSpPr>
            <xdr:cNvPr id="5163" name="btnPrev_F-016" hidden="1">
              <a:extLst>
                <a:ext uri="{63B3BB69-23CF-44E3-9099-C40C66FF867C}">
                  <a14:compatExt spid="_x0000_s5163"/>
                </a:ext>
                <a:ext uri="{FF2B5EF4-FFF2-40B4-BE49-F238E27FC236}">
                  <a16:creationId xmlns:a16="http://schemas.microsoft.com/office/drawing/2014/main" id="{381CFC39-38ED-40A3-9D7A-35A28FF07D04}"/>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19</xdr:row>
          <xdr:rowOff>15240</xdr:rowOff>
        </xdr:from>
        <xdr:to>
          <xdr:col>7</xdr:col>
          <xdr:colOff>800100</xdr:colOff>
          <xdr:row>19</xdr:row>
          <xdr:rowOff>205740</xdr:rowOff>
        </xdr:to>
        <xdr:sp macro="" textlink="">
          <xdr:nvSpPr>
            <xdr:cNvPr id="5164" name="btnPdf_F-016" hidden="1">
              <a:extLst>
                <a:ext uri="{63B3BB69-23CF-44E3-9099-C40C66FF867C}">
                  <a14:compatExt spid="_x0000_s5164"/>
                </a:ext>
                <a:ext uri="{FF2B5EF4-FFF2-40B4-BE49-F238E27FC236}">
                  <a16:creationId xmlns:a16="http://schemas.microsoft.com/office/drawing/2014/main" id="{43322FD9-64B3-45CE-ADAF-A69D3320DAF3}"/>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19</xdr:row>
          <xdr:rowOff>15240</xdr:rowOff>
        </xdr:from>
        <xdr:to>
          <xdr:col>8</xdr:col>
          <xdr:colOff>800100</xdr:colOff>
          <xdr:row>19</xdr:row>
          <xdr:rowOff>205740</xdr:rowOff>
        </xdr:to>
        <xdr:sp macro="" textlink="">
          <xdr:nvSpPr>
            <xdr:cNvPr id="5165" name="btnHwpx_F-016" hidden="1">
              <a:extLst>
                <a:ext uri="{63B3BB69-23CF-44E3-9099-C40C66FF867C}">
                  <a14:compatExt spid="_x0000_s5165"/>
                </a:ext>
                <a:ext uri="{FF2B5EF4-FFF2-40B4-BE49-F238E27FC236}">
                  <a16:creationId xmlns:a16="http://schemas.microsoft.com/office/drawing/2014/main" id="{96754062-151C-4262-8D11-D9419BE5E54F}"/>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20</xdr:row>
          <xdr:rowOff>15240</xdr:rowOff>
        </xdr:from>
        <xdr:to>
          <xdr:col>6</xdr:col>
          <xdr:colOff>800100</xdr:colOff>
          <xdr:row>20</xdr:row>
          <xdr:rowOff>205740</xdr:rowOff>
        </xdr:to>
        <xdr:sp macro="" textlink="">
          <xdr:nvSpPr>
            <xdr:cNvPr id="5166" name="btnPrev_F-017" hidden="1">
              <a:extLst>
                <a:ext uri="{63B3BB69-23CF-44E3-9099-C40C66FF867C}">
                  <a14:compatExt spid="_x0000_s5166"/>
                </a:ext>
                <a:ext uri="{FF2B5EF4-FFF2-40B4-BE49-F238E27FC236}">
                  <a16:creationId xmlns:a16="http://schemas.microsoft.com/office/drawing/2014/main" id="{06A02657-F11D-4DE3-8B1B-554728425D42}"/>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20</xdr:row>
          <xdr:rowOff>15240</xdr:rowOff>
        </xdr:from>
        <xdr:to>
          <xdr:col>7</xdr:col>
          <xdr:colOff>800100</xdr:colOff>
          <xdr:row>20</xdr:row>
          <xdr:rowOff>205740</xdr:rowOff>
        </xdr:to>
        <xdr:sp macro="" textlink="">
          <xdr:nvSpPr>
            <xdr:cNvPr id="5167" name="btnPdf_F-017" hidden="1">
              <a:extLst>
                <a:ext uri="{63B3BB69-23CF-44E3-9099-C40C66FF867C}">
                  <a14:compatExt spid="_x0000_s5167"/>
                </a:ext>
                <a:ext uri="{FF2B5EF4-FFF2-40B4-BE49-F238E27FC236}">
                  <a16:creationId xmlns:a16="http://schemas.microsoft.com/office/drawing/2014/main" id="{74F32149-D829-4610-9B08-5E52B2A8B0C5}"/>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20</xdr:row>
          <xdr:rowOff>15240</xdr:rowOff>
        </xdr:from>
        <xdr:to>
          <xdr:col>8</xdr:col>
          <xdr:colOff>800100</xdr:colOff>
          <xdr:row>20</xdr:row>
          <xdr:rowOff>205740</xdr:rowOff>
        </xdr:to>
        <xdr:sp macro="" textlink="">
          <xdr:nvSpPr>
            <xdr:cNvPr id="5168" name="btnHwpx_F-017" hidden="1">
              <a:extLst>
                <a:ext uri="{63B3BB69-23CF-44E3-9099-C40C66FF867C}">
                  <a14:compatExt spid="_x0000_s5168"/>
                </a:ext>
                <a:ext uri="{FF2B5EF4-FFF2-40B4-BE49-F238E27FC236}">
                  <a16:creationId xmlns:a16="http://schemas.microsoft.com/office/drawing/2014/main" id="{F9DADD8C-71B4-4DB0-AC9D-86EA02F5C719}"/>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21</xdr:row>
          <xdr:rowOff>15240</xdr:rowOff>
        </xdr:from>
        <xdr:to>
          <xdr:col>6</xdr:col>
          <xdr:colOff>800100</xdr:colOff>
          <xdr:row>21</xdr:row>
          <xdr:rowOff>205740</xdr:rowOff>
        </xdr:to>
        <xdr:sp macro="" textlink="">
          <xdr:nvSpPr>
            <xdr:cNvPr id="5169" name="btnPrev_F-018" hidden="1">
              <a:extLst>
                <a:ext uri="{63B3BB69-23CF-44E3-9099-C40C66FF867C}">
                  <a14:compatExt spid="_x0000_s5169"/>
                </a:ext>
                <a:ext uri="{FF2B5EF4-FFF2-40B4-BE49-F238E27FC236}">
                  <a16:creationId xmlns:a16="http://schemas.microsoft.com/office/drawing/2014/main" id="{CBF7DE16-83D6-411B-9B57-862BB526CE38}"/>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21</xdr:row>
          <xdr:rowOff>15240</xdr:rowOff>
        </xdr:from>
        <xdr:to>
          <xdr:col>7</xdr:col>
          <xdr:colOff>800100</xdr:colOff>
          <xdr:row>21</xdr:row>
          <xdr:rowOff>205740</xdr:rowOff>
        </xdr:to>
        <xdr:sp macro="" textlink="">
          <xdr:nvSpPr>
            <xdr:cNvPr id="5170" name="btnPdf_F-018" hidden="1">
              <a:extLst>
                <a:ext uri="{63B3BB69-23CF-44E3-9099-C40C66FF867C}">
                  <a14:compatExt spid="_x0000_s5170"/>
                </a:ext>
                <a:ext uri="{FF2B5EF4-FFF2-40B4-BE49-F238E27FC236}">
                  <a16:creationId xmlns:a16="http://schemas.microsoft.com/office/drawing/2014/main" id="{D8769B8E-706E-441B-B2CF-B21AD3BFCCE3}"/>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21</xdr:row>
          <xdr:rowOff>15240</xdr:rowOff>
        </xdr:from>
        <xdr:to>
          <xdr:col>8</xdr:col>
          <xdr:colOff>800100</xdr:colOff>
          <xdr:row>21</xdr:row>
          <xdr:rowOff>205740</xdr:rowOff>
        </xdr:to>
        <xdr:sp macro="" textlink="">
          <xdr:nvSpPr>
            <xdr:cNvPr id="5171" name="btnHwpx_F-018" hidden="1">
              <a:extLst>
                <a:ext uri="{63B3BB69-23CF-44E3-9099-C40C66FF867C}">
                  <a14:compatExt spid="_x0000_s5171"/>
                </a:ext>
                <a:ext uri="{FF2B5EF4-FFF2-40B4-BE49-F238E27FC236}">
                  <a16:creationId xmlns:a16="http://schemas.microsoft.com/office/drawing/2014/main" id="{20A8EAE5-E2FE-494A-BE13-32F32D8EC8CD}"/>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22</xdr:row>
          <xdr:rowOff>15240</xdr:rowOff>
        </xdr:from>
        <xdr:to>
          <xdr:col>6</xdr:col>
          <xdr:colOff>800100</xdr:colOff>
          <xdr:row>22</xdr:row>
          <xdr:rowOff>205740</xdr:rowOff>
        </xdr:to>
        <xdr:sp macro="" textlink="">
          <xdr:nvSpPr>
            <xdr:cNvPr id="5172" name="btnPrev_F-019" hidden="1">
              <a:extLst>
                <a:ext uri="{63B3BB69-23CF-44E3-9099-C40C66FF867C}">
                  <a14:compatExt spid="_x0000_s5172"/>
                </a:ext>
                <a:ext uri="{FF2B5EF4-FFF2-40B4-BE49-F238E27FC236}">
                  <a16:creationId xmlns:a16="http://schemas.microsoft.com/office/drawing/2014/main" id="{61BD71BB-EB75-48DD-90E6-BB81493A8B7C}"/>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22</xdr:row>
          <xdr:rowOff>15240</xdr:rowOff>
        </xdr:from>
        <xdr:to>
          <xdr:col>7</xdr:col>
          <xdr:colOff>800100</xdr:colOff>
          <xdr:row>22</xdr:row>
          <xdr:rowOff>205740</xdr:rowOff>
        </xdr:to>
        <xdr:sp macro="" textlink="">
          <xdr:nvSpPr>
            <xdr:cNvPr id="5173" name="btnPdf_F-019" hidden="1">
              <a:extLst>
                <a:ext uri="{63B3BB69-23CF-44E3-9099-C40C66FF867C}">
                  <a14:compatExt spid="_x0000_s5173"/>
                </a:ext>
                <a:ext uri="{FF2B5EF4-FFF2-40B4-BE49-F238E27FC236}">
                  <a16:creationId xmlns:a16="http://schemas.microsoft.com/office/drawing/2014/main" id="{225AC478-143B-45FC-A423-CDAB7F0BFFE9}"/>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22</xdr:row>
          <xdr:rowOff>15240</xdr:rowOff>
        </xdr:from>
        <xdr:to>
          <xdr:col>8</xdr:col>
          <xdr:colOff>800100</xdr:colOff>
          <xdr:row>22</xdr:row>
          <xdr:rowOff>205740</xdr:rowOff>
        </xdr:to>
        <xdr:sp macro="" textlink="">
          <xdr:nvSpPr>
            <xdr:cNvPr id="5174" name="btnHwpx_F-019" hidden="1">
              <a:extLst>
                <a:ext uri="{63B3BB69-23CF-44E3-9099-C40C66FF867C}">
                  <a14:compatExt spid="_x0000_s5174"/>
                </a:ext>
                <a:ext uri="{FF2B5EF4-FFF2-40B4-BE49-F238E27FC236}">
                  <a16:creationId xmlns:a16="http://schemas.microsoft.com/office/drawing/2014/main" id="{EF269E53-BBDF-42E1-8F23-97EF11B501DE}"/>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23</xdr:row>
          <xdr:rowOff>15240</xdr:rowOff>
        </xdr:from>
        <xdr:to>
          <xdr:col>6</xdr:col>
          <xdr:colOff>800100</xdr:colOff>
          <xdr:row>23</xdr:row>
          <xdr:rowOff>205740</xdr:rowOff>
        </xdr:to>
        <xdr:sp macro="" textlink="">
          <xdr:nvSpPr>
            <xdr:cNvPr id="5175" name="btnPrev_F-020" hidden="1">
              <a:extLst>
                <a:ext uri="{63B3BB69-23CF-44E3-9099-C40C66FF867C}">
                  <a14:compatExt spid="_x0000_s5175"/>
                </a:ext>
                <a:ext uri="{FF2B5EF4-FFF2-40B4-BE49-F238E27FC236}">
                  <a16:creationId xmlns:a16="http://schemas.microsoft.com/office/drawing/2014/main" id="{6480659A-1F56-44A2-91FD-2D9FA2C4A001}"/>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23</xdr:row>
          <xdr:rowOff>15240</xdr:rowOff>
        </xdr:from>
        <xdr:to>
          <xdr:col>7</xdr:col>
          <xdr:colOff>800100</xdr:colOff>
          <xdr:row>23</xdr:row>
          <xdr:rowOff>205740</xdr:rowOff>
        </xdr:to>
        <xdr:sp macro="" textlink="">
          <xdr:nvSpPr>
            <xdr:cNvPr id="5176" name="btnPdf_F-020" hidden="1">
              <a:extLst>
                <a:ext uri="{63B3BB69-23CF-44E3-9099-C40C66FF867C}">
                  <a14:compatExt spid="_x0000_s5176"/>
                </a:ext>
                <a:ext uri="{FF2B5EF4-FFF2-40B4-BE49-F238E27FC236}">
                  <a16:creationId xmlns:a16="http://schemas.microsoft.com/office/drawing/2014/main" id="{3C545234-7F35-4ADD-B85B-57DEB001F954}"/>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23</xdr:row>
          <xdr:rowOff>15240</xdr:rowOff>
        </xdr:from>
        <xdr:to>
          <xdr:col>8</xdr:col>
          <xdr:colOff>800100</xdr:colOff>
          <xdr:row>23</xdr:row>
          <xdr:rowOff>205740</xdr:rowOff>
        </xdr:to>
        <xdr:sp macro="" textlink="">
          <xdr:nvSpPr>
            <xdr:cNvPr id="5177" name="btnHwpx_F-020" hidden="1">
              <a:extLst>
                <a:ext uri="{63B3BB69-23CF-44E3-9099-C40C66FF867C}">
                  <a14:compatExt spid="_x0000_s5177"/>
                </a:ext>
                <a:ext uri="{FF2B5EF4-FFF2-40B4-BE49-F238E27FC236}">
                  <a16:creationId xmlns:a16="http://schemas.microsoft.com/office/drawing/2014/main" id="{1A03AF60-110A-4C56-B0BC-13D8171FC317}"/>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24</xdr:row>
          <xdr:rowOff>15240</xdr:rowOff>
        </xdr:from>
        <xdr:to>
          <xdr:col>6</xdr:col>
          <xdr:colOff>800100</xdr:colOff>
          <xdr:row>24</xdr:row>
          <xdr:rowOff>205740</xdr:rowOff>
        </xdr:to>
        <xdr:sp macro="" textlink="">
          <xdr:nvSpPr>
            <xdr:cNvPr id="5178" name="btnPrev_F-021" hidden="1">
              <a:extLst>
                <a:ext uri="{63B3BB69-23CF-44E3-9099-C40C66FF867C}">
                  <a14:compatExt spid="_x0000_s5178"/>
                </a:ext>
                <a:ext uri="{FF2B5EF4-FFF2-40B4-BE49-F238E27FC236}">
                  <a16:creationId xmlns:a16="http://schemas.microsoft.com/office/drawing/2014/main" id="{151DEE3E-5413-43E3-B608-40AC626869EE}"/>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24</xdr:row>
          <xdr:rowOff>15240</xdr:rowOff>
        </xdr:from>
        <xdr:to>
          <xdr:col>7</xdr:col>
          <xdr:colOff>800100</xdr:colOff>
          <xdr:row>24</xdr:row>
          <xdr:rowOff>205740</xdr:rowOff>
        </xdr:to>
        <xdr:sp macro="" textlink="">
          <xdr:nvSpPr>
            <xdr:cNvPr id="5179" name="btnPdf_F-021" hidden="1">
              <a:extLst>
                <a:ext uri="{63B3BB69-23CF-44E3-9099-C40C66FF867C}">
                  <a14:compatExt spid="_x0000_s5179"/>
                </a:ext>
                <a:ext uri="{FF2B5EF4-FFF2-40B4-BE49-F238E27FC236}">
                  <a16:creationId xmlns:a16="http://schemas.microsoft.com/office/drawing/2014/main" id="{15196819-506E-4D15-A8FD-73CC5DB59386}"/>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24</xdr:row>
          <xdr:rowOff>15240</xdr:rowOff>
        </xdr:from>
        <xdr:to>
          <xdr:col>8</xdr:col>
          <xdr:colOff>800100</xdr:colOff>
          <xdr:row>24</xdr:row>
          <xdr:rowOff>205740</xdr:rowOff>
        </xdr:to>
        <xdr:sp macro="" textlink="">
          <xdr:nvSpPr>
            <xdr:cNvPr id="5180" name="btnHwpx_F-021" hidden="1">
              <a:extLst>
                <a:ext uri="{63B3BB69-23CF-44E3-9099-C40C66FF867C}">
                  <a14:compatExt spid="_x0000_s5180"/>
                </a:ext>
                <a:ext uri="{FF2B5EF4-FFF2-40B4-BE49-F238E27FC236}">
                  <a16:creationId xmlns:a16="http://schemas.microsoft.com/office/drawing/2014/main" id="{21EC3A55-5862-44F8-837D-F2CE7501EF0F}"/>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25</xdr:row>
          <xdr:rowOff>15240</xdr:rowOff>
        </xdr:from>
        <xdr:to>
          <xdr:col>6</xdr:col>
          <xdr:colOff>800100</xdr:colOff>
          <xdr:row>25</xdr:row>
          <xdr:rowOff>205740</xdr:rowOff>
        </xdr:to>
        <xdr:sp macro="" textlink="">
          <xdr:nvSpPr>
            <xdr:cNvPr id="5181" name="btnPrev_F-022" hidden="1">
              <a:extLst>
                <a:ext uri="{63B3BB69-23CF-44E3-9099-C40C66FF867C}">
                  <a14:compatExt spid="_x0000_s5181"/>
                </a:ext>
                <a:ext uri="{FF2B5EF4-FFF2-40B4-BE49-F238E27FC236}">
                  <a16:creationId xmlns:a16="http://schemas.microsoft.com/office/drawing/2014/main" id="{001806C5-1DDE-4F25-88C5-EF9C0203E761}"/>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25</xdr:row>
          <xdr:rowOff>15240</xdr:rowOff>
        </xdr:from>
        <xdr:to>
          <xdr:col>7</xdr:col>
          <xdr:colOff>800100</xdr:colOff>
          <xdr:row>25</xdr:row>
          <xdr:rowOff>205740</xdr:rowOff>
        </xdr:to>
        <xdr:sp macro="" textlink="">
          <xdr:nvSpPr>
            <xdr:cNvPr id="5182" name="btnPdf_F-022" hidden="1">
              <a:extLst>
                <a:ext uri="{63B3BB69-23CF-44E3-9099-C40C66FF867C}">
                  <a14:compatExt spid="_x0000_s5182"/>
                </a:ext>
                <a:ext uri="{FF2B5EF4-FFF2-40B4-BE49-F238E27FC236}">
                  <a16:creationId xmlns:a16="http://schemas.microsoft.com/office/drawing/2014/main" id="{6E178610-470C-407D-B14E-F4B4C0F65F4D}"/>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25</xdr:row>
          <xdr:rowOff>15240</xdr:rowOff>
        </xdr:from>
        <xdr:to>
          <xdr:col>8</xdr:col>
          <xdr:colOff>800100</xdr:colOff>
          <xdr:row>25</xdr:row>
          <xdr:rowOff>205740</xdr:rowOff>
        </xdr:to>
        <xdr:sp macro="" textlink="">
          <xdr:nvSpPr>
            <xdr:cNvPr id="5183" name="btnHwpx_F-022" hidden="1">
              <a:extLst>
                <a:ext uri="{63B3BB69-23CF-44E3-9099-C40C66FF867C}">
                  <a14:compatExt spid="_x0000_s5183"/>
                </a:ext>
                <a:ext uri="{FF2B5EF4-FFF2-40B4-BE49-F238E27FC236}">
                  <a16:creationId xmlns:a16="http://schemas.microsoft.com/office/drawing/2014/main" id="{BEC98CAB-9F29-4E6B-8CBF-66E6A613F815}"/>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26</xdr:row>
          <xdr:rowOff>15240</xdr:rowOff>
        </xdr:from>
        <xdr:to>
          <xdr:col>6</xdr:col>
          <xdr:colOff>800100</xdr:colOff>
          <xdr:row>26</xdr:row>
          <xdr:rowOff>205740</xdr:rowOff>
        </xdr:to>
        <xdr:sp macro="" textlink="">
          <xdr:nvSpPr>
            <xdr:cNvPr id="5184" name="btnPrev_F-023" hidden="1">
              <a:extLst>
                <a:ext uri="{63B3BB69-23CF-44E3-9099-C40C66FF867C}">
                  <a14:compatExt spid="_x0000_s5184"/>
                </a:ext>
                <a:ext uri="{FF2B5EF4-FFF2-40B4-BE49-F238E27FC236}">
                  <a16:creationId xmlns:a16="http://schemas.microsoft.com/office/drawing/2014/main" id="{825F44C4-A37B-4CF9-AB3C-0ADB6FD5BFAE}"/>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26</xdr:row>
          <xdr:rowOff>15240</xdr:rowOff>
        </xdr:from>
        <xdr:to>
          <xdr:col>7</xdr:col>
          <xdr:colOff>800100</xdr:colOff>
          <xdr:row>26</xdr:row>
          <xdr:rowOff>205740</xdr:rowOff>
        </xdr:to>
        <xdr:sp macro="" textlink="">
          <xdr:nvSpPr>
            <xdr:cNvPr id="5185" name="btnPdf_F-023" hidden="1">
              <a:extLst>
                <a:ext uri="{63B3BB69-23CF-44E3-9099-C40C66FF867C}">
                  <a14:compatExt spid="_x0000_s5185"/>
                </a:ext>
                <a:ext uri="{FF2B5EF4-FFF2-40B4-BE49-F238E27FC236}">
                  <a16:creationId xmlns:a16="http://schemas.microsoft.com/office/drawing/2014/main" id="{82B81AB6-4960-44AF-8E9F-EC6A3150DD34}"/>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26</xdr:row>
          <xdr:rowOff>15240</xdr:rowOff>
        </xdr:from>
        <xdr:to>
          <xdr:col>8</xdr:col>
          <xdr:colOff>800100</xdr:colOff>
          <xdr:row>26</xdr:row>
          <xdr:rowOff>205740</xdr:rowOff>
        </xdr:to>
        <xdr:sp macro="" textlink="">
          <xdr:nvSpPr>
            <xdr:cNvPr id="5186" name="btnHwpx_F-023" hidden="1">
              <a:extLst>
                <a:ext uri="{63B3BB69-23CF-44E3-9099-C40C66FF867C}">
                  <a14:compatExt spid="_x0000_s5186"/>
                </a:ext>
                <a:ext uri="{FF2B5EF4-FFF2-40B4-BE49-F238E27FC236}">
                  <a16:creationId xmlns:a16="http://schemas.microsoft.com/office/drawing/2014/main" id="{063250D1-8247-44A2-B65C-1CD304E4B90E}"/>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27</xdr:row>
          <xdr:rowOff>15240</xdr:rowOff>
        </xdr:from>
        <xdr:to>
          <xdr:col>6</xdr:col>
          <xdr:colOff>800100</xdr:colOff>
          <xdr:row>27</xdr:row>
          <xdr:rowOff>205740</xdr:rowOff>
        </xdr:to>
        <xdr:sp macro="" textlink="">
          <xdr:nvSpPr>
            <xdr:cNvPr id="5187" name="btnPrev_F-024" hidden="1">
              <a:extLst>
                <a:ext uri="{63B3BB69-23CF-44E3-9099-C40C66FF867C}">
                  <a14:compatExt spid="_x0000_s5187"/>
                </a:ext>
                <a:ext uri="{FF2B5EF4-FFF2-40B4-BE49-F238E27FC236}">
                  <a16:creationId xmlns:a16="http://schemas.microsoft.com/office/drawing/2014/main" id="{C90AA106-DF4D-4588-85BA-01C0020B88EF}"/>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27</xdr:row>
          <xdr:rowOff>15240</xdr:rowOff>
        </xdr:from>
        <xdr:to>
          <xdr:col>7</xdr:col>
          <xdr:colOff>800100</xdr:colOff>
          <xdr:row>27</xdr:row>
          <xdr:rowOff>205740</xdr:rowOff>
        </xdr:to>
        <xdr:sp macro="" textlink="">
          <xdr:nvSpPr>
            <xdr:cNvPr id="5188" name="btnPdf_F-024" hidden="1">
              <a:extLst>
                <a:ext uri="{63B3BB69-23CF-44E3-9099-C40C66FF867C}">
                  <a14:compatExt spid="_x0000_s5188"/>
                </a:ext>
                <a:ext uri="{FF2B5EF4-FFF2-40B4-BE49-F238E27FC236}">
                  <a16:creationId xmlns:a16="http://schemas.microsoft.com/office/drawing/2014/main" id="{5FF10E30-1651-44DD-A147-A8010BA122B7}"/>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27</xdr:row>
          <xdr:rowOff>15240</xdr:rowOff>
        </xdr:from>
        <xdr:to>
          <xdr:col>8</xdr:col>
          <xdr:colOff>800100</xdr:colOff>
          <xdr:row>27</xdr:row>
          <xdr:rowOff>205740</xdr:rowOff>
        </xdr:to>
        <xdr:sp macro="" textlink="">
          <xdr:nvSpPr>
            <xdr:cNvPr id="5189" name="btnHwpx_F-024" hidden="1">
              <a:extLst>
                <a:ext uri="{63B3BB69-23CF-44E3-9099-C40C66FF867C}">
                  <a14:compatExt spid="_x0000_s5189"/>
                </a:ext>
                <a:ext uri="{FF2B5EF4-FFF2-40B4-BE49-F238E27FC236}">
                  <a16:creationId xmlns:a16="http://schemas.microsoft.com/office/drawing/2014/main" id="{A9918DD3-8729-47C5-9304-4E27196D90D9}"/>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28</xdr:row>
          <xdr:rowOff>15240</xdr:rowOff>
        </xdr:from>
        <xdr:to>
          <xdr:col>6</xdr:col>
          <xdr:colOff>800100</xdr:colOff>
          <xdr:row>28</xdr:row>
          <xdr:rowOff>205740</xdr:rowOff>
        </xdr:to>
        <xdr:sp macro="" textlink="">
          <xdr:nvSpPr>
            <xdr:cNvPr id="5190" name="btnPrev_F-025" hidden="1">
              <a:extLst>
                <a:ext uri="{63B3BB69-23CF-44E3-9099-C40C66FF867C}">
                  <a14:compatExt spid="_x0000_s5190"/>
                </a:ext>
                <a:ext uri="{FF2B5EF4-FFF2-40B4-BE49-F238E27FC236}">
                  <a16:creationId xmlns:a16="http://schemas.microsoft.com/office/drawing/2014/main" id="{4BF8B545-26DE-411F-B5A0-362E1606C2EA}"/>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28</xdr:row>
          <xdr:rowOff>15240</xdr:rowOff>
        </xdr:from>
        <xdr:to>
          <xdr:col>7</xdr:col>
          <xdr:colOff>800100</xdr:colOff>
          <xdr:row>28</xdr:row>
          <xdr:rowOff>205740</xdr:rowOff>
        </xdr:to>
        <xdr:sp macro="" textlink="">
          <xdr:nvSpPr>
            <xdr:cNvPr id="5191" name="btnPdf_F-025" hidden="1">
              <a:extLst>
                <a:ext uri="{63B3BB69-23CF-44E3-9099-C40C66FF867C}">
                  <a14:compatExt spid="_x0000_s5191"/>
                </a:ext>
                <a:ext uri="{FF2B5EF4-FFF2-40B4-BE49-F238E27FC236}">
                  <a16:creationId xmlns:a16="http://schemas.microsoft.com/office/drawing/2014/main" id="{73358333-6E28-41C0-B600-7487D8384ACB}"/>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28</xdr:row>
          <xdr:rowOff>15240</xdr:rowOff>
        </xdr:from>
        <xdr:to>
          <xdr:col>8</xdr:col>
          <xdr:colOff>800100</xdr:colOff>
          <xdr:row>28</xdr:row>
          <xdr:rowOff>205740</xdr:rowOff>
        </xdr:to>
        <xdr:sp macro="" textlink="">
          <xdr:nvSpPr>
            <xdr:cNvPr id="5192" name="btnHwpx_F-025" hidden="1">
              <a:extLst>
                <a:ext uri="{63B3BB69-23CF-44E3-9099-C40C66FF867C}">
                  <a14:compatExt spid="_x0000_s5192"/>
                </a:ext>
                <a:ext uri="{FF2B5EF4-FFF2-40B4-BE49-F238E27FC236}">
                  <a16:creationId xmlns:a16="http://schemas.microsoft.com/office/drawing/2014/main" id="{AD35F139-A66C-4F29-986B-068C6FC2F764}"/>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30</xdr:row>
          <xdr:rowOff>15240</xdr:rowOff>
        </xdr:from>
        <xdr:to>
          <xdr:col>6</xdr:col>
          <xdr:colOff>800100</xdr:colOff>
          <xdr:row>30</xdr:row>
          <xdr:rowOff>205740</xdr:rowOff>
        </xdr:to>
        <xdr:sp macro="" textlink="">
          <xdr:nvSpPr>
            <xdr:cNvPr id="5193" name="btnPrev_F-027" hidden="1">
              <a:extLst>
                <a:ext uri="{63B3BB69-23CF-44E3-9099-C40C66FF867C}">
                  <a14:compatExt spid="_x0000_s5193"/>
                </a:ext>
                <a:ext uri="{FF2B5EF4-FFF2-40B4-BE49-F238E27FC236}">
                  <a16:creationId xmlns:a16="http://schemas.microsoft.com/office/drawing/2014/main" id="{C4AF3F2C-9EB1-4240-9819-A987CBE56097}"/>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30</xdr:row>
          <xdr:rowOff>15240</xdr:rowOff>
        </xdr:from>
        <xdr:to>
          <xdr:col>7</xdr:col>
          <xdr:colOff>800100</xdr:colOff>
          <xdr:row>30</xdr:row>
          <xdr:rowOff>205740</xdr:rowOff>
        </xdr:to>
        <xdr:sp macro="" textlink="">
          <xdr:nvSpPr>
            <xdr:cNvPr id="5194" name="btnPdf_F-027" hidden="1">
              <a:extLst>
                <a:ext uri="{63B3BB69-23CF-44E3-9099-C40C66FF867C}">
                  <a14:compatExt spid="_x0000_s5194"/>
                </a:ext>
                <a:ext uri="{FF2B5EF4-FFF2-40B4-BE49-F238E27FC236}">
                  <a16:creationId xmlns:a16="http://schemas.microsoft.com/office/drawing/2014/main" id="{C0476F78-9CB3-4A3D-B213-C127A107F709}"/>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30</xdr:row>
          <xdr:rowOff>15240</xdr:rowOff>
        </xdr:from>
        <xdr:to>
          <xdr:col>8</xdr:col>
          <xdr:colOff>800100</xdr:colOff>
          <xdr:row>30</xdr:row>
          <xdr:rowOff>205740</xdr:rowOff>
        </xdr:to>
        <xdr:sp macro="" textlink="">
          <xdr:nvSpPr>
            <xdr:cNvPr id="5195" name="btnHwpx_F-027" hidden="1">
              <a:extLst>
                <a:ext uri="{63B3BB69-23CF-44E3-9099-C40C66FF867C}">
                  <a14:compatExt spid="_x0000_s5195"/>
                </a:ext>
                <a:ext uri="{FF2B5EF4-FFF2-40B4-BE49-F238E27FC236}">
                  <a16:creationId xmlns:a16="http://schemas.microsoft.com/office/drawing/2014/main" id="{8E1151DC-24B5-495A-98B1-4B36775D42E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32</xdr:row>
          <xdr:rowOff>15240</xdr:rowOff>
        </xdr:from>
        <xdr:to>
          <xdr:col>6</xdr:col>
          <xdr:colOff>800100</xdr:colOff>
          <xdr:row>32</xdr:row>
          <xdr:rowOff>205740</xdr:rowOff>
        </xdr:to>
        <xdr:sp macro="" textlink="">
          <xdr:nvSpPr>
            <xdr:cNvPr id="5196" name="btnPrev_F-029" hidden="1">
              <a:extLst>
                <a:ext uri="{63B3BB69-23CF-44E3-9099-C40C66FF867C}">
                  <a14:compatExt spid="_x0000_s5196"/>
                </a:ext>
                <a:ext uri="{FF2B5EF4-FFF2-40B4-BE49-F238E27FC236}">
                  <a16:creationId xmlns:a16="http://schemas.microsoft.com/office/drawing/2014/main" id="{6078ED4A-B694-4B3F-9D6B-9B678EE53D1D}"/>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32</xdr:row>
          <xdr:rowOff>15240</xdr:rowOff>
        </xdr:from>
        <xdr:to>
          <xdr:col>7</xdr:col>
          <xdr:colOff>800100</xdr:colOff>
          <xdr:row>32</xdr:row>
          <xdr:rowOff>205740</xdr:rowOff>
        </xdr:to>
        <xdr:sp macro="" textlink="">
          <xdr:nvSpPr>
            <xdr:cNvPr id="5197" name="btnPdf_F-029" hidden="1">
              <a:extLst>
                <a:ext uri="{63B3BB69-23CF-44E3-9099-C40C66FF867C}">
                  <a14:compatExt spid="_x0000_s5197"/>
                </a:ext>
                <a:ext uri="{FF2B5EF4-FFF2-40B4-BE49-F238E27FC236}">
                  <a16:creationId xmlns:a16="http://schemas.microsoft.com/office/drawing/2014/main" id="{C50AC968-BAD7-4D25-A913-B10E2C88C7C8}"/>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32</xdr:row>
          <xdr:rowOff>15240</xdr:rowOff>
        </xdr:from>
        <xdr:to>
          <xdr:col>8</xdr:col>
          <xdr:colOff>800100</xdr:colOff>
          <xdr:row>32</xdr:row>
          <xdr:rowOff>205740</xdr:rowOff>
        </xdr:to>
        <xdr:sp macro="" textlink="">
          <xdr:nvSpPr>
            <xdr:cNvPr id="5198" name="btnHwpx_F-029" hidden="1">
              <a:extLst>
                <a:ext uri="{63B3BB69-23CF-44E3-9099-C40C66FF867C}">
                  <a14:compatExt spid="_x0000_s5198"/>
                </a:ext>
                <a:ext uri="{FF2B5EF4-FFF2-40B4-BE49-F238E27FC236}">
                  <a16:creationId xmlns:a16="http://schemas.microsoft.com/office/drawing/2014/main" id="{8AFE9CA4-CD17-4253-8033-CE45460C6E25}"/>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33</xdr:row>
          <xdr:rowOff>15240</xdr:rowOff>
        </xdr:from>
        <xdr:to>
          <xdr:col>6</xdr:col>
          <xdr:colOff>800100</xdr:colOff>
          <xdr:row>33</xdr:row>
          <xdr:rowOff>205740</xdr:rowOff>
        </xdr:to>
        <xdr:sp macro="" textlink="">
          <xdr:nvSpPr>
            <xdr:cNvPr id="5199" name="btnPrev_F-030" hidden="1">
              <a:extLst>
                <a:ext uri="{63B3BB69-23CF-44E3-9099-C40C66FF867C}">
                  <a14:compatExt spid="_x0000_s5199"/>
                </a:ext>
                <a:ext uri="{FF2B5EF4-FFF2-40B4-BE49-F238E27FC236}">
                  <a16:creationId xmlns:a16="http://schemas.microsoft.com/office/drawing/2014/main" id="{93D71339-6A5C-4D59-BE9A-051CE82FCAA5}"/>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33</xdr:row>
          <xdr:rowOff>15240</xdr:rowOff>
        </xdr:from>
        <xdr:to>
          <xdr:col>7</xdr:col>
          <xdr:colOff>800100</xdr:colOff>
          <xdr:row>33</xdr:row>
          <xdr:rowOff>205740</xdr:rowOff>
        </xdr:to>
        <xdr:sp macro="" textlink="">
          <xdr:nvSpPr>
            <xdr:cNvPr id="5200" name="btnPdf_F-030" hidden="1">
              <a:extLst>
                <a:ext uri="{63B3BB69-23CF-44E3-9099-C40C66FF867C}">
                  <a14:compatExt spid="_x0000_s5200"/>
                </a:ext>
                <a:ext uri="{FF2B5EF4-FFF2-40B4-BE49-F238E27FC236}">
                  <a16:creationId xmlns:a16="http://schemas.microsoft.com/office/drawing/2014/main" id="{FD1781CD-3192-4B82-B32C-DBDDF32FBDD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33</xdr:row>
          <xdr:rowOff>15240</xdr:rowOff>
        </xdr:from>
        <xdr:to>
          <xdr:col>8</xdr:col>
          <xdr:colOff>800100</xdr:colOff>
          <xdr:row>33</xdr:row>
          <xdr:rowOff>205740</xdr:rowOff>
        </xdr:to>
        <xdr:sp macro="" textlink="">
          <xdr:nvSpPr>
            <xdr:cNvPr id="5201" name="btnHwpx_F-030" hidden="1">
              <a:extLst>
                <a:ext uri="{63B3BB69-23CF-44E3-9099-C40C66FF867C}">
                  <a14:compatExt spid="_x0000_s5201"/>
                </a:ext>
                <a:ext uri="{FF2B5EF4-FFF2-40B4-BE49-F238E27FC236}">
                  <a16:creationId xmlns:a16="http://schemas.microsoft.com/office/drawing/2014/main" id="{D2D35552-F495-48D3-8891-1DA71291A7CA}"/>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34</xdr:row>
          <xdr:rowOff>15240</xdr:rowOff>
        </xdr:from>
        <xdr:to>
          <xdr:col>6</xdr:col>
          <xdr:colOff>800100</xdr:colOff>
          <xdr:row>34</xdr:row>
          <xdr:rowOff>205740</xdr:rowOff>
        </xdr:to>
        <xdr:sp macro="" textlink="">
          <xdr:nvSpPr>
            <xdr:cNvPr id="5202" name="btnPrev_F-031" hidden="1">
              <a:extLst>
                <a:ext uri="{63B3BB69-23CF-44E3-9099-C40C66FF867C}">
                  <a14:compatExt spid="_x0000_s5202"/>
                </a:ext>
                <a:ext uri="{FF2B5EF4-FFF2-40B4-BE49-F238E27FC236}">
                  <a16:creationId xmlns:a16="http://schemas.microsoft.com/office/drawing/2014/main" id="{7D73D27F-9B7F-4FBA-85E4-15F89FFEFFBC}"/>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34</xdr:row>
          <xdr:rowOff>15240</xdr:rowOff>
        </xdr:from>
        <xdr:to>
          <xdr:col>7</xdr:col>
          <xdr:colOff>800100</xdr:colOff>
          <xdr:row>34</xdr:row>
          <xdr:rowOff>205740</xdr:rowOff>
        </xdr:to>
        <xdr:sp macro="" textlink="">
          <xdr:nvSpPr>
            <xdr:cNvPr id="5203" name="btnPdf_F-031" hidden="1">
              <a:extLst>
                <a:ext uri="{63B3BB69-23CF-44E3-9099-C40C66FF867C}">
                  <a14:compatExt spid="_x0000_s5203"/>
                </a:ext>
                <a:ext uri="{FF2B5EF4-FFF2-40B4-BE49-F238E27FC236}">
                  <a16:creationId xmlns:a16="http://schemas.microsoft.com/office/drawing/2014/main" id="{AD719A09-6003-442A-AEEA-543EFE6BEFC9}"/>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34</xdr:row>
          <xdr:rowOff>15240</xdr:rowOff>
        </xdr:from>
        <xdr:to>
          <xdr:col>8</xdr:col>
          <xdr:colOff>800100</xdr:colOff>
          <xdr:row>34</xdr:row>
          <xdr:rowOff>205740</xdr:rowOff>
        </xdr:to>
        <xdr:sp macro="" textlink="">
          <xdr:nvSpPr>
            <xdr:cNvPr id="5204" name="btnHwpx_F-031" hidden="1">
              <a:extLst>
                <a:ext uri="{63B3BB69-23CF-44E3-9099-C40C66FF867C}">
                  <a14:compatExt spid="_x0000_s5204"/>
                </a:ext>
                <a:ext uri="{FF2B5EF4-FFF2-40B4-BE49-F238E27FC236}">
                  <a16:creationId xmlns:a16="http://schemas.microsoft.com/office/drawing/2014/main" id="{39BA2953-0457-41B5-80D8-7194B120B97C}"/>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35</xdr:row>
          <xdr:rowOff>15240</xdr:rowOff>
        </xdr:from>
        <xdr:to>
          <xdr:col>6</xdr:col>
          <xdr:colOff>800100</xdr:colOff>
          <xdr:row>35</xdr:row>
          <xdr:rowOff>205740</xdr:rowOff>
        </xdr:to>
        <xdr:sp macro="" textlink="">
          <xdr:nvSpPr>
            <xdr:cNvPr id="5205" name="btnPrev_F-032" hidden="1">
              <a:extLst>
                <a:ext uri="{63B3BB69-23CF-44E3-9099-C40C66FF867C}">
                  <a14:compatExt spid="_x0000_s5205"/>
                </a:ext>
                <a:ext uri="{FF2B5EF4-FFF2-40B4-BE49-F238E27FC236}">
                  <a16:creationId xmlns:a16="http://schemas.microsoft.com/office/drawing/2014/main" id="{B6463762-4577-4AEF-BDA4-63CD1C80E62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35</xdr:row>
          <xdr:rowOff>15240</xdr:rowOff>
        </xdr:from>
        <xdr:to>
          <xdr:col>7</xdr:col>
          <xdr:colOff>800100</xdr:colOff>
          <xdr:row>35</xdr:row>
          <xdr:rowOff>205740</xdr:rowOff>
        </xdr:to>
        <xdr:sp macro="" textlink="">
          <xdr:nvSpPr>
            <xdr:cNvPr id="5206" name="btnPdf_F-032" hidden="1">
              <a:extLst>
                <a:ext uri="{63B3BB69-23CF-44E3-9099-C40C66FF867C}">
                  <a14:compatExt spid="_x0000_s5206"/>
                </a:ext>
                <a:ext uri="{FF2B5EF4-FFF2-40B4-BE49-F238E27FC236}">
                  <a16:creationId xmlns:a16="http://schemas.microsoft.com/office/drawing/2014/main" id="{77B1F4F8-82C3-4C52-8B37-69A6076FB9BA}"/>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35</xdr:row>
          <xdr:rowOff>15240</xdr:rowOff>
        </xdr:from>
        <xdr:to>
          <xdr:col>8</xdr:col>
          <xdr:colOff>800100</xdr:colOff>
          <xdr:row>35</xdr:row>
          <xdr:rowOff>205740</xdr:rowOff>
        </xdr:to>
        <xdr:sp macro="" textlink="">
          <xdr:nvSpPr>
            <xdr:cNvPr id="5207" name="btnHwpx_F-032" hidden="1">
              <a:extLst>
                <a:ext uri="{63B3BB69-23CF-44E3-9099-C40C66FF867C}">
                  <a14:compatExt spid="_x0000_s5207"/>
                </a:ext>
                <a:ext uri="{FF2B5EF4-FFF2-40B4-BE49-F238E27FC236}">
                  <a16:creationId xmlns:a16="http://schemas.microsoft.com/office/drawing/2014/main" id="{71033CE3-ECB9-4346-B226-BA3BCDFC0D8C}"/>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36</xdr:row>
          <xdr:rowOff>15240</xdr:rowOff>
        </xdr:from>
        <xdr:to>
          <xdr:col>6</xdr:col>
          <xdr:colOff>800100</xdr:colOff>
          <xdr:row>36</xdr:row>
          <xdr:rowOff>205740</xdr:rowOff>
        </xdr:to>
        <xdr:sp macro="" textlink="">
          <xdr:nvSpPr>
            <xdr:cNvPr id="5208" name="btnPrev_F-033" hidden="1">
              <a:extLst>
                <a:ext uri="{63B3BB69-23CF-44E3-9099-C40C66FF867C}">
                  <a14:compatExt spid="_x0000_s5208"/>
                </a:ext>
                <a:ext uri="{FF2B5EF4-FFF2-40B4-BE49-F238E27FC236}">
                  <a16:creationId xmlns:a16="http://schemas.microsoft.com/office/drawing/2014/main" id="{E7B4D145-7583-4AAC-A5D1-5F9709074466}"/>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36</xdr:row>
          <xdr:rowOff>15240</xdr:rowOff>
        </xdr:from>
        <xdr:to>
          <xdr:col>7</xdr:col>
          <xdr:colOff>800100</xdr:colOff>
          <xdr:row>36</xdr:row>
          <xdr:rowOff>205740</xdr:rowOff>
        </xdr:to>
        <xdr:sp macro="" textlink="">
          <xdr:nvSpPr>
            <xdr:cNvPr id="5209" name="btnPdf_F-033" hidden="1">
              <a:extLst>
                <a:ext uri="{63B3BB69-23CF-44E3-9099-C40C66FF867C}">
                  <a14:compatExt spid="_x0000_s5209"/>
                </a:ext>
                <a:ext uri="{FF2B5EF4-FFF2-40B4-BE49-F238E27FC236}">
                  <a16:creationId xmlns:a16="http://schemas.microsoft.com/office/drawing/2014/main" id="{918C00B5-286E-4124-A618-9F45EEBE02FF}"/>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36</xdr:row>
          <xdr:rowOff>15240</xdr:rowOff>
        </xdr:from>
        <xdr:to>
          <xdr:col>8</xdr:col>
          <xdr:colOff>800100</xdr:colOff>
          <xdr:row>36</xdr:row>
          <xdr:rowOff>205740</xdr:rowOff>
        </xdr:to>
        <xdr:sp macro="" textlink="">
          <xdr:nvSpPr>
            <xdr:cNvPr id="5210" name="btnHwpx_F-033" hidden="1">
              <a:extLst>
                <a:ext uri="{63B3BB69-23CF-44E3-9099-C40C66FF867C}">
                  <a14:compatExt spid="_x0000_s5210"/>
                </a:ext>
                <a:ext uri="{FF2B5EF4-FFF2-40B4-BE49-F238E27FC236}">
                  <a16:creationId xmlns:a16="http://schemas.microsoft.com/office/drawing/2014/main" id="{C53FDD40-88F1-46C2-9636-70AC408067EF}"/>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37</xdr:row>
          <xdr:rowOff>15240</xdr:rowOff>
        </xdr:from>
        <xdr:to>
          <xdr:col>6</xdr:col>
          <xdr:colOff>800100</xdr:colOff>
          <xdr:row>37</xdr:row>
          <xdr:rowOff>205740</xdr:rowOff>
        </xdr:to>
        <xdr:sp macro="" textlink="">
          <xdr:nvSpPr>
            <xdr:cNvPr id="5211" name="btnPrev_F-034" hidden="1">
              <a:extLst>
                <a:ext uri="{63B3BB69-23CF-44E3-9099-C40C66FF867C}">
                  <a14:compatExt spid="_x0000_s5211"/>
                </a:ext>
                <a:ext uri="{FF2B5EF4-FFF2-40B4-BE49-F238E27FC236}">
                  <a16:creationId xmlns:a16="http://schemas.microsoft.com/office/drawing/2014/main" id="{B8653831-6C52-44B7-AAAD-FAD420BCEE0F}"/>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37</xdr:row>
          <xdr:rowOff>15240</xdr:rowOff>
        </xdr:from>
        <xdr:to>
          <xdr:col>7</xdr:col>
          <xdr:colOff>800100</xdr:colOff>
          <xdr:row>37</xdr:row>
          <xdr:rowOff>205740</xdr:rowOff>
        </xdr:to>
        <xdr:sp macro="" textlink="">
          <xdr:nvSpPr>
            <xdr:cNvPr id="5212" name="btnPdf_F-034" hidden="1">
              <a:extLst>
                <a:ext uri="{63B3BB69-23CF-44E3-9099-C40C66FF867C}">
                  <a14:compatExt spid="_x0000_s5212"/>
                </a:ext>
                <a:ext uri="{FF2B5EF4-FFF2-40B4-BE49-F238E27FC236}">
                  <a16:creationId xmlns:a16="http://schemas.microsoft.com/office/drawing/2014/main" id="{531D6A15-8592-43B8-B73C-A2DC9156CC8F}"/>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37</xdr:row>
          <xdr:rowOff>15240</xdr:rowOff>
        </xdr:from>
        <xdr:to>
          <xdr:col>8</xdr:col>
          <xdr:colOff>800100</xdr:colOff>
          <xdr:row>37</xdr:row>
          <xdr:rowOff>205740</xdr:rowOff>
        </xdr:to>
        <xdr:sp macro="" textlink="">
          <xdr:nvSpPr>
            <xdr:cNvPr id="5213" name="btnHwpx_F-034" hidden="1">
              <a:extLst>
                <a:ext uri="{63B3BB69-23CF-44E3-9099-C40C66FF867C}">
                  <a14:compatExt spid="_x0000_s5213"/>
                </a:ext>
                <a:ext uri="{FF2B5EF4-FFF2-40B4-BE49-F238E27FC236}">
                  <a16:creationId xmlns:a16="http://schemas.microsoft.com/office/drawing/2014/main" id="{18E90937-FB19-4D75-B7DE-752BA32C1C5F}"/>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38</xdr:row>
          <xdr:rowOff>15240</xdr:rowOff>
        </xdr:from>
        <xdr:to>
          <xdr:col>6</xdr:col>
          <xdr:colOff>800100</xdr:colOff>
          <xdr:row>38</xdr:row>
          <xdr:rowOff>205740</xdr:rowOff>
        </xdr:to>
        <xdr:sp macro="" textlink="">
          <xdr:nvSpPr>
            <xdr:cNvPr id="5214" name="btnPrev_F-035" hidden="1">
              <a:extLst>
                <a:ext uri="{63B3BB69-23CF-44E3-9099-C40C66FF867C}">
                  <a14:compatExt spid="_x0000_s5214"/>
                </a:ext>
                <a:ext uri="{FF2B5EF4-FFF2-40B4-BE49-F238E27FC236}">
                  <a16:creationId xmlns:a16="http://schemas.microsoft.com/office/drawing/2014/main" id="{0DAABC50-1EDA-4251-A1BB-D0403E26A9CB}"/>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38</xdr:row>
          <xdr:rowOff>15240</xdr:rowOff>
        </xdr:from>
        <xdr:to>
          <xdr:col>7</xdr:col>
          <xdr:colOff>800100</xdr:colOff>
          <xdr:row>38</xdr:row>
          <xdr:rowOff>205740</xdr:rowOff>
        </xdr:to>
        <xdr:sp macro="" textlink="">
          <xdr:nvSpPr>
            <xdr:cNvPr id="5215" name="btnPdf_F-035" hidden="1">
              <a:extLst>
                <a:ext uri="{63B3BB69-23CF-44E3-9099-C40C66FF867C}">
                  <a14:compatExt spid="_x0000_s5215"/>
                </a:ext>
                <a:ext uri="{FF2B5EF4-FFF2-40B4-BE49-F238E27FC236}">
                  <a16:creationId xmlns:a16="http://schemas.microsoft.com/office/drawing/2014/main" id="{C66F2CCF-8D1E-4FC6-89F1-972D619E0E28}"/>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38</xdr:row>
          <xdr:rowOff>15240</xdr:rowOff>
        </xdr:from>
        <xdr:to>
          <xdr:col>8</xdr:col>
          <xdr:colOff>800100</xdr:colOff>
          <xdr:row>38</xdr:row>
          <xdr:rowOff>205740</xdr:rowOff>
        </xdr:to>
        <xdr:sp macro="" textlink="">
          <xdr:nvSpPr>
            <xdr:cNvPr id="5216" name="btnHwpx_F-035" hidden="1">
              <a:extLst>
                <a:ext uri="{63B3BB69-23CF-44E3-9099-C40C66FF867C}">
                  <a14:compatExt spid="_x0000_s5216"/>
                </a:ext>
                <a:ext uri="{FF2B5EF4-FFF2-40B4-BE49-F238E27FC236}">
                  <a16:creationId xmlns:a16="http://schemas.microsoft.com/office/drawing/2014/main" id="{189A32E3-A95B-48C0-BCE6-4679F9C0632D}"/>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39</xdr:row>
          <xdr:rowOff>15240</xdr:rowOff>
        </xdr:from>
        <xdr:to>
          <xdr:col>6</xdr:col>
          <xdr:colOff>800100</xdr:colOff>
          <xdr:row>39</xdr:row>
          <xdr:rowOff>205740</xdr:rowOff>
        </xdr:to>
        <xdr:sp macro="" textlink="">
          <xdr:nvSpPr>
            <xdr:cNvPr id="5217" name="btnPrev_F-036" hidden="1">
              <a:extLst>
                <a:ext uri="{63B3BB69-23CF-44E3-9099-C40C66FF867C}">
                  <a14:compatExt spid="_x0000_s5217"/>
                </a:ext>
                <a:ext uri="{FF2B5EF4-FFF2-40B4-BE49-F238E27FC236}">
                  <a16:creationId xmlns:a16="http://schemas.microsoft.com/office/drawing/2014/main" id="{858E85BC-080D-4E1B-91DF-C914C8E8CE03}"/>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39</xdr:row>
          <xdr:rowOff>15240</xdr:rowOff>
        </xdr:from>
        <xdr:to>
          <xdr:col>7</xdr:col>
          <xdr:colOff>800100</xdr:colOff>
          <xdr:row>39</xdr:row>
          <xdr:rowOff>205740</xdr:rowOff>
        </xdr:to>
        <xdr:sp macro="" textlink="">
          <xdr:nvSpPr>
            <xdr:cNvPr id="5218" name="btnPdf_F-036" hidden="1">
              <a:extLst>
                <a:ext uri="{63B3BB69-23CF-44E3-9099-C40C66FF867C}">
                  <a14:compatExt spid="_x0000_s5218"/>
                </a:ext>
                <a:ext uri="{FF2B5EF4-FFF2-40B4-BE49-F238E27FC236}">
                  <a16:creationId xmlns:a16="http://schemas.microsoft.com/office/drawing/2014/main" id="{0BD8858A-95C9-45AB-9142-DF56D12D63B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39</xdr:row>
          <xdr:rowOff>15240</xdr:rowOff>
        </xdr:from>
        <xdr:to>
          <xdr:col>8</xdr:col>
          <xdr:colOff>800100</xdr:colOff>
          <xdr:row>39</xdr:row>
          <xdr:rowOff>205740</xdr:rowOff>
        </xdr:to>
        <xdr:sp macro="" textlink="">
          <xdr:nvSpPr>
            <xdr:cNvPr id="5219" name="btnHwpx_F-036" hidden="1">
              <a:extLst>
                <a:ext uri="{63B3BB69-23CF-44E3-9099-C40C66FF867C}">
                  <a14:compatExt spid="_x0000_s5219"/>
                </a:ext>
                <a:ext uri="{FF2B5EF4-FFF2-40B4-BE49-F238E27FC236}">
                  <a16:creationId xmlns:a16="http://schemas.microsoft.com/office/drawing/2014/main" id="{8249AC8C-B87E-499B-95FF-330CC7E21DB2}"/>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40</xdr:row>
          <xdr:rowOff>15240</xdr:rowOff>
        </xdr:from>
        <xdr:to>
          <xdr:col>6</xdr:col>
          <xdr:colOff>800100</xdr:colOff>
          <xdr:row>40</xdr:row>
          <xdr:rowOff>205740</xdr:rowOff>
        </xdr:to>
        <xdr:sp macro="" textlink="">
          <xdr:nvSpPr>
            <xdr:cNvPr id="5220" name="btnPrev_F-037" hidden="1">
              <a:extLst>
                <a:ext uri="{63B3BB69-23CF-44E3-9099-C40C66FF867C}">
                  <a14:compatExt spid="_x0000_s5220"/>
                </a:ext>
                <a:ext uri="{FF2B5EF4-FFF2-40B4-BE49-F238E27FC236}">
                  <a16:creationId xmlns:a16="http://schemas.microsoft.com/office/drawing/2014/main" id="{2E3D17A3-0D3B-49E3-A638-97A72FC1ED4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40</xdr:row>
          <xdr:rowOff>15240</xdr:rowOff>
        </xdr:from>
        <xdr:to>
          <xdr:col>7</xdr:col>
          <xdr:colOff>800100</xdr:colOff>
          <xdr:row>40</xdr:row>
          <xdr:rowOff>205740</xdr:rowOff>
        </xdr:to>
        <xdr:sp macro="" textlink="">
          <xdr:nvSpPr>
            <xdr:cNvPr id="5221" name="btnPdf_F-037" hidden="1">
              <a:extLst>
                <a:ext uri="{63B3BB69-23CF-44E3-9099-C40C66FF867C}">
                  <a14:compatExt spid="_x0000_s5221"/>
                </a:ext>
                <a:ext uri="{FF2B5EF4-FFF2-40B4-BE49-F238E27FC236}">
                  <a16:creationId xmlns:a16="http://schemas.microsoft.com/office/drawing/2014/main" id="{E6147358-A5BC-4A8F-988C-27ECF8DC0296}"/>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40</xdr:row>
          <xdr:rowOff>15240</xdr:rowOff>
        </xdr:from>
        <xdr:to>
          <xdr:col>8</xdr:col>
          <xdr:colOff>800100</xdr:colOff>
          <xdr:row>40</xdr:row>
          <xdr:rowOff>205740</xdr:rowOff>
        </xdr:to>
        <xdr:sp macro="" textlink="">
          <xdr:nvSpPr>
            <xdr:cNvPr id="5222" name="btnHwpx_F-037" hidden="1">
              <a:extLst>
                <a:ext uri="{63B3BB69-23CF-44E3-9099-C40C66FF867C}">
                  <a14:compatExt spid="_x0000_s5222"/>
                </a:ext>
                <a:ext uri="{FF2B5EF4-FFF2-40B4-BE49-F238E27FC236}">
                  <a16:creationId xmlns:a16="http://schemas.microsoft.com/office/drawing/2014/main" id="{ACB1026D-493B-41F3-8A5A-0A75A2BC49BE}"/>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41</xdr:row>
          <xdr:rowOff>15240</xdr:rowOff>
        </xdr:from>
        <xdr:to>
          <xdr:col>6</xdr:col>
          <xdr:colOff>800100</xdr:colOff>
          <xdr:row>41</xdr:row>
          <xdr:rowOff>205740</xdr:rowOff>
        </xdr:to>
        <xdr:sp macro="" textlink="">
          <xdr:nvSpPr>
            <xdr:cNvPr id="5223" name="btnPrev_F-038" hidden="1">
              <a:extLst>
                <a:ext uri="{63B3BB69-23CF-44E3-9099-C40C66FF867C}">
                  <a14:compatExt spid="_x0000_s5223"/>
                </a:ext>
                <a:ext uri="{FF2B5EF4-FFF2-40B4-BE49-F238E27FC236}">
                  <a16:creationId xmlns:a16="http://schemas.microsoft.com/office/drawing/2014/main" id="{83D703AD-D639-4E50-AC7F-82FE3F3523D9}"/>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41</xdr:row>
          <xdr:rowOff>15240</xdr:rowOff>
        </xdr:from>
        <xdr:to>
          <xdr:col>7</xdr:col>
          <xdr:colOff>800100</xdr:colOff>
          <xdr:row>41</xdr:row>
          <xdr:rowOff>205740</xdr:rowOff>
        </xdr:to>
        <xdr:sp macro="" textlink="">
          <xdr:nvSpPr>
            <xdr:cNvPr id="5224" name="btnPdf_F-038" hidden="1">
              <a:extLst>
                <a:ext uri="{63B3BB69-23CF-44E3-9099-C40C66FF867C}">
                  <a14:compatExt spid="_x0000_s5224"/>
                </a:ext>
                <a:ext uri="{FF2B5EF4-FFF2-40B4-BE49-F238E27FC236}">
                  <a16:creationId xmlns:a16="http://schemas.microsoft.com/office/drawing/2014/main" id="{E0AC64A9-5F96-417A-B340-AB1339F66C21}"/>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41</xdr:row>
          <xdr:rowOff>15240</xdr:rowOff>
        </xdr:from>
        <xdr:to>
          <xdr:col>8</xdr:col>
          <xdr:colOff>800100</xdr:colOff>
          <xdr:row>41</xdr:row>
          <xdr:rowOff>205740</xdr:rowOff>
        </xdr:to>
        <xdr:sp macro="" textlink="">
          <xdr:nvSpPr>
            <xdr:cNvPr id="5225" name="btnHwpx_F-038" hidden="1">
              <a:extLst>
                <a:ext uri="{63B3BB69-23CF-44E3-9099-C40C66FF867C}">
                  <a14:compatExt spid="_x0000_s5225"/>
                </a:ext>
                <a:ext uri="{FF2B5EF4-FFF2-40B4-BE49-F238E27FC236}">
                  <a16:creationId xmlns:a16="http://schemas.microsoft.com/office/drawing/2014/main" id="{C75D584F-09D1-4EEE-95ED-4F38E8AFD505}"/>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42</xdr:row>
          <xdr:rowOff>15240</xdr:rowOff>
        </xdr:from>
        <xdr:to>
          <xdr:col>6</xdr:col>
          <xdr:colOff>800100</xdr:colOff>
          <xdr:row>42</xdr:row>
          <xdr:rowOff>205740</xdr:rowOff>
        </xdr:to>
        <xdr:sp macro="" textlink="">
          <xdr:nvSpPr>
            <xdr:cNvPr id="5226" name="btnPrev_F-039" hidden="1">
              <a:extLst>
                <a:ext uri="{63B3BB69-23CF-44E3-9099-C40C66FF867C}">
                  <a14:compatExt spid="_x0000_s5226"/>
                </a:ext>
                <a:ext uri="{FF2B5EF4-FFF2-40B4-BE49-F238E27FC236}">
                  <a16:creationId xmlns:a16="http://schemas.microsoft.com/office/drawing/2014/main" id="{7A283105-8DB1-4DE0-BB16-BAB50EAC86E2}"/>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42</xdr:row>
          <xdr:rowOff>15240</xdr:rowOff>
        </xdr:from>
        <xdr:to>
          <xdr:col>7</xdr:col>
          <xdr:colOff>800100</xdr:colOff>
          <xdr:row>42</xdr:row>
          <xdr:rowOff>205740</xdr:rowOff>
        </xdr:to>
        <xdr:sp macro="" textlink="">
          <xdr:nvSpPr>
            <xdr:cNvPr id="5227" name="btnPdf_F-039" hidden="1">
              <a:extLst>
                <a:ext uri="{63B3BB69-23CF-44E3-9099-C40C66FF867C}">
                  <a14:compatExt spid="_x0000_s5227"/>
                </a:ext>
                <a:ext uri="{FF2B5EF4-FFF2-40B4-BE49-F238E27FC236}">
                  <a16:creationId xmlns:a16="http://schemas.microsoft.com/office/drawing/2014/main" id="{32BFDCD9-BAFF-4BB3-AFF3-9ACFEC1D5B7C}"/>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42</xdr:row>
          <xdr:rowOff>15240</xdr:rowOff>
        </xdr:from>
        <xdr:to>
          <xdr:col>8</xdr:col>
          <xdr:colOff>800100</xdr:colOff>
          <xdr:row>42</xdr:row>
          <xdr:rowOff>205740</xdr:rowOff>
        </xdr:to>
        <xdr:sp macro="" textlink="">
          <xdr:nvSpPr>
            <xdr:cNvPr id="5228" name="btnHwpx_F-039" hidden="1">
              <a:extLst>
                <a:ext uri="{63B3BB69-23CF-44E3-9099-C40C66FF867C}">
                  <a14:compatExt spid="_x0000_s5228"/>
                </a:ext>
                <a:ext uri="{FF2B5EF4-FFF2-40B4-BE49-F238E27FC236}">
                  <a16:creationId xmlns:a16="http://schemas.microsoft.com/office/drawing/2014/main" id="{E1B1A9ED-8433-42A5-A206-A5E01EDE5A64}"/>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43</xdr:row>
          <xdr:rowOff>15240</xdr:rowOff>
        </xdr:from>
        <xdr:to>
          <xdr:col>6</xdr:col>
          <xdr:colOff>800100</xdr:colOff>
          <xdr:row>43</xdr:row>
          <xdr:rowOff>205740</xdr:rowOff>
        </xdr:to>
        <xdr:sp macro="" textlink="">
          <xdr:nvSpPr>
            <xdr:cNvPr id="5229" name="btnPrev_F-040" hidden="1">
              <a:extLst>
                <a:ext uri="{63B3BB69-23CF-44E3-9099-C40C66FF867C}">
                  <a14:compatExt spid="_x0000_s5229"/>
                </a:ext>
                <a:ext uri="{FF2B5EF4-FFF2-40B4-BE49-F238E27FC236}">
                  <a16:creationId xmlns:a16="http://schemas.microsoft.com/office/drawing/2014/main" id="{9D86E2B6-74CD-4087-B225-2A3E794114DD}"/>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43</xdr:row>
          <xdr:rowOff>15240</xdr:rowOff>
        </xdr:from>
        <xdr:to>
          <xdr:col>7</xdr:col>
          <xdr:colOff>800100</xdr:colOff>
          <xdr:row>43</xdr:row>
          <xdr:rowOff>205740</xdr:rowOff>
        </xdr:to>
        <xdr:sp macro="" textlink="">
          <xdr:nvSpPr>
            <xdr:cNvPr id="5230" name="btnPdf_F-040" hidden="1">
              <a:extLst>
                <a:ext uri="{63B3BB69-23CF-44E3-9099-C40C66FF867C}">
                  <a14:compatExt spid="_x0000_s5230"/>
                </a:ext>
                <a:ext uri="{FF2B5EF4-FFF2-40B4-BE49-F238E27FC236}">
                  <a16:creationId xmlns:a16="http://schemas.microsoft.com/office/drawing/2014/main" id="{111FC896-9365-4025-BA16-138BB1388D7E}"/>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43</xdr:row>
          <xdr:rowOff>15240</xdr:rowOff>
        </xdr:from>
        <xdr:to>
          <xdr:col>8</xdr:col>
          <xdr:colOff>800100</xdr:colOff>
          <xdr:row>43</xdr:row>
          <xdr:rowOff>205740</xdr:rowOff>
        </xdr:to>
        <xdr:sp macro="" textlink="">
          <xdr:nvSpPr>
            <xdr:cNvPr id="5231" name="btnHwpx_F-040" hidden="1">
              <a:extLst>
                <a:ext uri="{63B3BB69-23CF-44E3-9099-C40C66FF867C}">
                  <a14:compatExt spid="_x0000_s5231"/>
                </a:ext>
                <a:ext uri="{FF2B5EF4-FFF2-40B4-BE49-F238E27FC236}">
                  <a16:creationId xmlns:a16="http://schemas.microsoft.com/office/drawing/2014/main" id="{CF26A992-E3C3-43F7-95DC-B647789E2677}"/>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44</xdr:row>
          <xdr:rowOff>15240</xdr:rowOff>
        </xdr:from>
        <xdr:to>
          <xdr:col>6</xdr:col>
          <xdr:colOff>800100</xdr:colOff>
          <xdr:row>44</xdr:row>
          <xdr:rowOff>205740</xdr:rowOff>
        </xdr:to>
        <xdr:sp macro="" textlink="">
          <xdr:nvSpPr>
            <xdr:cNvPr id="5232" name="btnPrev_F-041" hidden="1">
              <a:extLst>
                <a:ext uri="{63B3BB69-23CF-44E3-9099-C40C66FF867C}">
                  <a14:compatExt spid="_x0000_s5232"/>
                </a:ext>
                <a:ext uri="{FF2B5EF4-FFF2-40B4-BE49-F238E27FC236}">
                  <a16:creationId xmlns:a16="http://schemas.microsoft.com/office/drawing/2014/main" id="{618E655E-5106-4947-822C-4B1AA2F6F292}"/>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44</xdr:row>
          <xdr:rowOff>15240</xdr:rowOff>
        </xdr:from>
        <xdr:to>
          <xdr:col>7</xdr:col>
          <xdr:colOff>800100</xdr:colOff>
          <xdr:row>44</xdr:row>
          <xdr:rowOff>205740</xdr:rowOff>
        </xdr:to>
        <xdr:sp macro="" textlink="">
          <xdr:nvSpPr>
            <xdr:cNvPr id="5233" name="btnPdf_F-041" hidden="1">
              <a:extLst>
                <a:ext uri="{63B3BB69-23CF-44E3-9099-C40C66FF867C}">
                  <a14:compatExt spid="_x0000_s5233"/>
                </a:ext>
                <a:ext uri="{FF2B5EF4-FFF2-40B4-BE49-F238E27FC236}">
                  <a16:creationId xmlns:a16="http://schemas.microsoft.com/office/drawing/2014/main" id="{90E3C69C-514F-4FA3-A3FF-E8084E66CE3E}"/>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44</xdr:row>
          <xdr:rowOff>15240</xdr:rowOff>
        </xdr:from>
        <xdr:to>
          <xdr:col>8</xdr:col>
          <xdr:colOff>800100</xdr:colOff>
          <xdr:row>44</xdr:row>
          <xdr:rowOff>205740</xdr:rowOff>
        </xdr:to>
        <xdr:sp macro="" textlink="">
          <xdr:nvSpPr>
            <xdr:cNvPr id="5234" name="btnHwpx_F-041" hidden="1">
              <a:extLst>
                <a:ext uri="{63B3BB69-23CF-44E3-9099-C40C66FF867C}">
                  <a14:compatExt spid="_x0000_s5234"/>
                </a:ext>
                <a:ext uri="{FF2B5EF4-FFF2-40B4-BE49-F238E27FC236}">
                  <a16:creationId xmlns:a16="http://schemas.microsoft.com/office/drawing/2014/main" id="{0AC46610-0AFD-4383-B88E-161ACE8DFD32}"/>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45</xdr:row>
          <xdr:rowOff>15240</xdr:rowOff>
        </xdr:from>
        <xdr:to>
          <xdr:col>6</xdr:col>
          <xdr:colOff>800100</xdr:colOff>
          <xdr:row>45</xdr:row>
          <xdr:rowOff>205740</xdr:rowOff>
        </xdr:to>
        <xdr:sp macro="" textlink="">
          <xdr:nvSpPr>
            <xdr:cNvPr id="5235" name="btnPrev_F-042" hidden="1">
              <a:extLst>
                <a:ext uri="{63B3BB69-23CF-44E3-9099-C40C66FF867C}">
                  <a14:compatExt spid="_x0000_s5235"/>
                </a:ext>
                <a:ext uri="{FF2B5EF4-FFF2-40B4-BE49-F238E27FC236}">
                  <a16:creationId xmlns:a16="http://schemas.microsoft.com/office/drawing/2014/main" id="{D6EE9F16-B1E4-4674-8702-D09846E9DA2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45</xdr:row>
          <xdr:rowOff>15240</xdr:rowOff>
        </xdr:from>
        <xdr:to>
          <xdr:col>7</xdr:col>
          <xdr:colOff>800100</xdr:colOff>
          <xdr:row>45</xdr:row>
          <xdr:rowOff>205740</xdr:rowOff>
        </xdr:to>
        <xdr:sp macro="" textlink="">
          <xdr:nvSpPr>
            <xdr:cNvPr id="5236" name="btnPdf_F-042" hidden="1">
              <a:extLst>
                <a:ext uri="{63B3BB69-23CF-44E3-9099-C40C66FF867C}">
                  <a14:compatExt spid="_x0000_s5236"/>
                </a:ext>
                <a:ext uri="{FF2B5EF4-FFF2-40B4-BE49-F238E27FC236}">
                  <a16:creationId xmlns:a16="http://schemas.microsoft.com/office/drawing/2014/main" id="{D36BEAEF-16AE-4A56-BCA8-5DD5E47120DA}"/>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45</xdr:row>
          <xdr:rowOff>15240</xdr:rowOff>
        </xdr:from>
        <xdr:to>
          <xdr:col>8</xdr:col>
          <xdr:colOff>800100</xdr:colOff>
          <xdr:row>45</xdr:row>
          <xdr:rowOff>205740</xdr:rowOff>
        </xdr:to>
        <xdr:sp macro="" textlink="">
          <xdr:nvSpPr>
            <xdr:cNvPr id="5237" name="btnHwpx_F-042" hidden="1">
              <a:extLst>
                <a:ext uri="{63B3BB69-23CF-44E3-9099-C40C66FF867C}">
                  <a14:compatExt spid="_x0000_s5237"/>
                </a:ext>
                <a:ext uri="{FF2B5EF4-FFF2-40B4-BE49-F238E27FC236}">
                  <a16:creationId xmlns:a16="http://schemas.microsoft.com/office/drawing/2014/main" id="{E37228D0-E755-430A-BCD1-13E270DDEAE9}"/>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46</xdr:row>
          <xdr:rowOff>15240</xdr:rowOff>
        </xdr:from>
        <xdr:to>
          <xdr:col>6</xdr:col>
          <xdr:colOff>800100</xdr:colOff>
          <xdr:row>46</xdr:row>
          <xdr:rowOff>205740</xdr:rowOff>
        </xdr:to>
        <xdr:sp macro="" textlink="">
          <xdr:nvSpPr>
            <xdr:cNvPr id="5238" name="btnPrev_F-043" hidden="1">
              <a:extLst>
                <a:ext uri="{63B3BB69-23CF-44E3-9099-C40C66FF867C}">
                  <a14:compatExt spid="_x0000_s5238"/>
                </a:ext>
                <a:ext uri="{FF2B5EF4-FFF2-40B4-BE49-F238E27FC236}">
                  <a16:creationId xmlns:a16="http://schemas.microsoft.com/office/drawing/2014/main" id="{7BE9AA53-58EE-4BE6-9066-AF47924B2D68}"/>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46</xdr:row>
          <xdr:rowOff>15240</xdr:rowOff>
        </xdr:from>
        <xdr:to>
          <xdr:col>7</xdr:col>
          <xdr:colOff>800100</xdr:colOff>
          <xdr:row>46</xdr:row>
          <xdr:rowOff>205740</xdr:rowOff>
        </xdr:to>
        <xdr:sp macro="" textlink="">
          <xdr:nvSpPr>
            <xdr:cNvPr id="5239" name="btnPdf_F-043" hidden="1">
              <a:extLst>
                <a:ext uri="{63B3BB69-23CF-44E3-9099-C40C66FF867C}">
                  <a14:compatExt spid="_x0000_s5239"/>
                </a:ext>
                <a:ext uri="{FF2B5EF4-FFF2-40B4-BE49-F238E27FC236}">
                  <a16:creationId xmlns:a16="http://schemas.microsoft.com/office/drawing/2014/main" id="{4AAAFB26-8EF3-4D3C-98C3-CA09C711A02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46</xdr:row>
          <xdr:rowOff>15240</xdr:rowOff>
        </xdr:from>
        <xdr:to>
          <xdr:col>8</xdr:col>
          <xdr:colOff>800100</xdr:colOff>
          <xdr:row>46</xdr:row>
          <xdr:rowOff>205740</xdr:rowOff>
        </xdr:to>
        <xdr:sp macro="" textlink="">
          <xdr:nvSpPr>
            <xdr:cNvPr id="5240" name="btnHwpx_F-043" hidden="1">
              <a:extLst>
                <a:ext uri="{63B3BB69-23CF-44E3-9099-C40C66FF867C}">
                  <a14:compatExt spid="_x0000_s5240"/>
                </a:ext>
                <a:ext uri="{FF2B5EF4-FFF2-40B4-BE49-F238E27FC236}">
                  <a16:creationId xmlns:a16="http://schemas.microsoft.com/office/drawing/2014/main" id="{9133004E-8174-4C0E-BB67-B2BACCE0F3F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47</xdr:row>
          <xdr:rowOff>15240</xdr:rowOff>
        </xdr:from>
        <xdr:to>
          <xdr:col>6</xdr:col>
          <xdr:colOff>800100</xdr:colOff>
          <xdr:row>47</xdr:row>
          <xdr:rowOff>205740</xdr:rowOff>
        </xdr:to>
        <xdr:sp macro="" textlink="">
          <xdr:nvSpPr>
            <xdr:cNvPr id="5241" name="btnPrev_F-044" hidden="1">
              <a:extLst>
                <a:ext uri="{63B3BB69-23CF-44E3-9099-C40C66FF867C}">
                  <a14:compatExt spid="_x0000_s5241"/>
                </a:ext>
                <a:ext uri="{FF2B5EF4-FFF2-40B4-BE49-F238E27FC236}">
                  <a16:creationId xmlns:a16="http://schemas.microsoft.com/office/drawing/2014/main" id="{F37CC376-EFDB-441A-ACD7-6C8DE764B33C}"/>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47</xdr:row>
          <xdr:rowOff>15240</xdr:rowOff>
        </xdr:from>
        <xdr:to>
          <xdr:col>7</xdr:col>
          <xdr:colOff>800100</xdr:colOff>
          <xdr:row>47</xdr:row>
          <xdr:rowOff>205740</xdr:rowOff>
        </xdr:to>
        <xdr:sp macro="" textlink="">
          <xdr:nvSpPr>
            <xdr:cNvPr id="5242" name="btnPdf_F-044" hidden="1">
              <a:extLst>
                <a:ext uri="{63B3BB69-23CF-44E3-9099-C40C66FF867C}">
                  <a14:compatExt spid="_x0000_s5242"/>
                </a:ext>
                <a:ext uri="{FF2B5EF4-FFF2-40B4-BE49-F238E27FC236}">
                  <a16:creationId xmlns:a16="http://schemas.microsoft.com/office/drawing/2014/main" id="{6AF639E0-3365-40ED-873E-C0446DA58993}"/>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47</xdr:row>
          <xdr:rowOff>15240</xdr:rowOff>
        </xdr:from>
        <xdr:to>
          <xdr:col>8</xdr:col>
          <xdr:colOff>800100</xdr:colOff>
          <xdr:row>47</xdr:row>
          <xdr:rowOff>205740</xdr:rowOff>
        </xdr:to>
        <xdr:sp macro="" textlink="">
          <xdr:nvSpPr>
            <xdr:cNvPr id="5243" name="btnHwpx_F-044" hidden="1">
              <a:extLst>
                <a:ext uri="{63B3BB69-23CF-44E3-9099-C40C66FF867C}">
                  <a14:compatExt spid="_x0000_s5243"/>
                </a:ext>
                <a:ext uri="{FF2B5EF4-FFF2-40B4-BE49-F238E27FC236}">
                  <a16:creationId xmlns:a16="http://schemas.microsoft.com/office/drawing/2014/main" id="{79BB7243-C282-4464-9372-23AB88DB250F}"/>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48</xdr:row>
          <xdr:rowOff>15240</xdr:rowOff>
        </xdr:from>
        <xdr:to>
          <xdr:col>6</xdr:col>
          <xdr:colOff>800100</xdr:colOff>
          <xdr:row>48</xdr:row>
          <xdr:rowOff>205740</xdr:rowOff>
        </xdr:to>
        <xdr:sp macro="" textlink="">
          <xdr:nvSpPr>
            <xdr:cNvPr id="5244" name="btnPrev_F-045" hidden="1">
              <a:extLst>
                <a:ext uri="{63B3BB69-23CF-44E3-9099-C40C66FF867C}">
                  <a14:compatExt spid="_x0000_s5244"/>
                </a:ext>
                <a:ext uri="{FF2B5EF4-FFF2-40B4-BE49-F238E27FC236}">
                  <a16:creationId xmlns:a16="http://schemas.microsoft.com/office/drawing/2014/main" id="{117FFD6B-7497-43C9-93C4-464733BDEF8B}"/>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48</xdr:row>
          <xdr:rowOff>15240</xdr:rowOff>
        </xdr:from>
        <xdr:to>
          <xdr:col>7</xdr:col>
          <xdr:colOff>800100</xdr:colOff>
          <xdr:row>48</xdr:row>
          <xdr:rowOff>205740</xdr:rowOff>
        </xdr:to>
        <xdr:sp macro="" textlink="">
          <xdr:nvSpPr>
            <xdr:cNvPr id="5245" name="btnPdf_F-045" hidden="1">
              <a:extLst>
                <a:ext uri="{63B3BB69-23CF-44E3-9099-C40C66FF867C}">
                  <a14:compatExt spid="_x0000_s5245"/>
                </a:ext>
                <a:ext uri="{FF2B5EF4-FFF2-40B4-BE49-F238E27FC236}">
                  <a16:creationId xmlns:a16="http://schemas.microsoft.com/office/drawing/2014/main" id="{5DF163A9-39B7-4324-A6F5-473286766B92}"/>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48</xdr:row>
          <xdr:rowOff>15240</xdr:rowOff>
        </xdr:from>
        <xdr:to>
          <xdr:col>8</xdr:col>
          <xdr:colOff>800100</xdr:colOff>
          <xdr:row>48</xdr:row>
          <xdr:rowOff>205740</xdr:rowOff>
        </xdr:to>
        <xdr:sp macro="" textlink="">
          <xdr:nvSpPr>
            <xdr:cNvPr id="5246" name="btnHwpx_F-045" hidden="1">
              <a:extLst>
                <a:ext uri="{63B3BB69-23CF-44E3-9099-C40C66FF867C}">
                  <a14:compatExt spid="_x0000_s5246"/>
                </a:ext>
                <a:ext uri="{FF2B5EF4-FFF2-40B4-BE49-F238E27FC236}">
                  <a16:creationId xmlns:a16="http://schemas.microsoft.com/office/drawing/2014/main" id="{0DF4AC05-233F-408D-96B4-98E5D9EECADF}"/>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49</xdr:row>
          <xdr:rowOff>15240</xdr:rowOff>
        </xdr:from>
        <xdr:to>
          <xdr:col>6</xdr:col>
          <xdr:colOff>800100</xdr:colOff>
          <xdr:row>49</xdr:row>
          <xdr:rowOff>205740</xdr:rowOff>
        </xdr:to>
        <xdr:sp macro="" textlink="">
          <xdr:nvSpPr>
            <xdr:cNvPr id="5247" name="btnPrev_F-046" hidden="1">
              <a:extLst>
                <a:ext uri="{63B3BB69-23CF-44E3-9099-C40C66FF867C}">
                  <a14:compatExt spid="_x0000_s5247"/>
                </a:ext>
                <a:ext uri="{FF2B5EF4-FFF2-40B4-BE49-F238E27FC236}">
                  <a16:creationId xmlns:a16="http://schemas.microsoft.com/office/drawing/2014/main" id="{9A950F65-4CDD-4B4D-872C-14CE1E3F2623}"/>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49</xdr:row>
          <xdr:rowOff>15240</xdr:rowOff>
        </xdr:from>
        <xdr:to>
          <xdr:col>7</xdr:col>
          <xdr:colOff>800100</xdr:colOff>
          <xdr:row>49</xdr:row>
          <xdr:rowOff>205740</xdr:rowOff>
        </xdr:to>
        <xdr:sp macro="" textlink="">
          <xdr:nvSpPr>
            <xdr:cNvPr id="5248" name="btnPdf_F-046" hidden="1">
              <a:extLst>
                <a:ext uri="{63B3BB69-23CF-44E3-9099-C40C66FF867C}">
                  <a14:compatExt spid="_x0000_s5248"/>
                </a:ext>
                <a:ext uri="{FF2B5EF4-FFF2-40B4-BE49-F238E27FC236}">
                  <a16:creationId xmlns:a16="http://schemas.microsoft.com/office/drawing/2014/main" id="{383FE584-63AD-43E4-B458-6B79A86092E4}"/>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49</xdr:row>
          <xdr:rowOff>15240</xdr:rowOff>
        </xdr:from>
        <xdr:to>
          <xdr:col>8</xdr:col>
          <xdr:colOff>800100</xdr:colOff>
          <xdr:row>49</xdr:row>
          <xdr:rowOff>205740</xdr:rowOff>
        </xdr:to>
        <xdr:sp macro="" textlink="">
          <xdr:nvSpPr>
            <xdr:cNvPr id="5249" name="btnHwpx_F-046" hidden="1">
              <a:extLst>
                <a:ext uri="{63B3BB69-23CF-44E3-9099-C40C66FF867C}">
                  <a14:compatExt spid="_x0000_s5249"/>
                </a:ext>
                <a:ext uri="{FF2B5EF4-FFF2-40B4-BE49-F238E27FC236}">
                  <a16:creationId xmlns:a16="http://schemas.microsoft.com/office/drawing/2014/main" id="{900E2420-8564-49BC-99CF-AC41927108D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50</xdr:row>
          <xdr:rowOff>15240</xdr:rowOff>
        </xdr:from>
        <xdr:to>
          <xdr:col>6</xdr:col>
          <xdr:colOff>800100</xdr:colOff>
          <xdr:row>50</xdr:row>
          <xdr:rowOff>205740</xdr:rowOff>
        </xdr:to>
        <xdr:sp macro="" textlink="">
          <xdr:nvSpPr>
            <xdr:cNvPr id="5250" name="btnPrev_F-047" hidden="1">
              <a:extLst>
                <a:ext uri="{63B3BB69-23CF-44E3-9099-C40C66FF867C}">
                  <a14:compatExt spid="_x0000_s5250"/>
                </a:ext>
                <a:ext uri="{FF2B5EF4-FFF2-40B4-BE49-F238E27FC236}">
                  <a16:creationId xmlns:a16="http://schemas.microsoft.com/office/drawing/2014/main" id="{D169ED09-2F6E-49C7-A454-FCE85C108164}"/>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50</xdr:row>
          <xdr:rowOff>15240</xdr:rowOff>
        </xdr:from>
        <xdr:to>
          <xdr:col>7</xdr:col>
          <xdr:colOff>800100</xdr:colOff>
          <xdr:row>50</xdr:row>
          <xdr:rowOff>205740</xdr:rowOff>
        </xdr:to>
        <xdr:sp macro="" textlink="">
          <xdr:nvSpPr>
            <xdr:cNvPr id="5251" name="btnPdf_F-047" hidden="1">
              <a:extLst>
                <a:ext uri="{63B3BB69-23CF-44E3-9099-C40C66FF867C}">
                  <a14:compatExt spid="_x0000_s5251"/>
                </a:ext>
                <a:ext uri="{FF2B5EF4-FFF2-40B4-BE49-F238E27FC236}">
                  <a16:creationId xmlns:a16="http://schemas.microsoft.com/office/drawing/2014/main" id="{EE3CA339-BB60-4793-A50C-FB0D7C4FD5D7}"/>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50</xdr:row>
          <xdr:rowOff>15240</xdr:rowOff>
        </xdr:from>
        <xdr:to>
          <xdr:col>8</xdr:col>
          <xdr:colOff>800100</xdr:colOff>
          <xdr:row>50</xdr:row>
          <xdr:rowOff>205740</xdr:rowOff>
        </xdr:to>
        <xdr:sp macro="" textlink="">
          <xdr:nvSpPr>
            <xdr:cNvPr id="5252" name="btnHwpx_F-047" hidden="1">
              <a:extLst>
                <a:ext uri="{63B3BB69-23CF-44E3-9099-C40C66FF867C}">
                  <a14:compatExt spid="_x0000_s5252"/>
                </a:ext>
                <a:ext uri="{FF2B5EF4-FFF2-40B4-BE49-F238E27FC236}">
                  <a16:creationId xmlns:a16="http://schemas.microsoft.com/office/drawing/2014/main" id="{956F7E64-AABF-45DE-A7E8-BEB6008511D5}"/>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51</xdr:row>
          <xdr:rowOff>15240</xdr:rowOff>
        </xdr:from>
        <xdr:to>
          <xdr:col>6</xdr:col>
          <xdr:colOff>800100</xdr:colOff>
          <xdr:row>51</xdr:row>
          <xdr:rowOff>205740</xdr:rowOff>
        </xdr:to>
        <xdr:sp macro="" textlink="">
          <xdr:nvSpPr>
            <xdr:cNvPr id="5253" name="btnPrev_F-048" hidden="1">
              <a:extLst>
                <a:ext uri="{63B3BB69-23CF-44E3-9099-C40C66FF867C}">
                  <a14:compatExt spid="_x0000_s5253"/>
                </a:ext>
                <a:ext uri="{FF2B5EF4-FFF2-40B4-BE49-F238E27FC236}">
                  <a16:creationId xmlns:a16="http://schemas.microsoft.com/office/drawing/2014/main" id="{CDFE4C8C-5AED-4BE1-B948-0AD331912D7E}"/>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51</xdr:row>
          <xdr:rowOff>15240</xdr:rowOff>
        </xdr:from>
        <xdr:to>
          <xdr:col>7</xdr:col>
          <xdr:colOff>800100</xdr:colOff>
          <xdr:row>51</xdr:row>
          <xdr:rowOff>205740</xdr:rowOff>
        </xdr:to>
        <xdr:sp macro="" textlink="">
          <xdr:nvSpPr>
            <xdr:cNvPr id="5254" name="btnPdf_F-048" hidden="1">
              <a:extLst>
                <a:ext uri="{63B3BB69-23CF-44E3-9099-C40C66FF867C}">
                  <a14:compatExt spid="_x0000_s5254"/>
                </a:ext>
                <a:ext uri="{FF2B5EF4-FFF2-40B4-BE49-F238E27FC236}">
                  <a16:creationId xmlns:a16="http://schemas.microsoft.com/office/drawing/2014/main" id="{E19B99EA-4DE9-4196-AD12-FDBD7B692BE3}"/>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51</xdr:row>
          <xdr:rowOff>15240</xdr:rowOff>
        </xdr:from>
        <xdr:to>
          <xdr:col>8</xdr:col>
          <xdr:colOff>800100</xdr:colOff>
          <xdr:row>51</xdr:row>
          <xdr:rowOff>205740</xdr:rowOff>
        </xdr:to>
        <xdr:sp macro="" textlink="">
          <xdr:nvSpPr>
            <xdr:cNvPr id="5255" name="btnHwpx_F-048" hidden="1">
              <a:extLst>
                <a:ext uri="{63B3BB69-23CF-44E3-9099-C40C66FF867C}">
                  <a14:compatExt spid="_x0000_s5255"/>
                </a:ext>
                <a:ext uri="{FF2B5EF4-FFF2-40B4-BE49-F238E27FC236}">
                  <a16:creationId xmlns:a16="http://schemas.microsoft.com/office/drawing/2014/main" id="{72EAF32C-9D01-419B-8833-D669E3ACC5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52</xdr:row>
          <xdr:rowOff>15240</xdr:rowOff>
        </xdr:from>
        <xdr:to>
          <xdr:col>6</xdr:col>
          <xdr:colOff>800100</xdr:colOff>
          <xdr:row>52</xdr:row>
          <xdr:rowOff>205740</xdr:rowOff>
        </xdr:to>
        <xdr:sp macro="" textlink="">
          <xdr:nvSpPr>
            <xdr:cNvPr id="5256" name="btnPrev_F-049" hidden="1">
              <a:extLst>
                <a:ext uri="{63B3BB69-23CF-44E3-9099-C40C66FF867C}">
                  <a14:compatExt spid="_x0000_s5256"/>
                </a:ext>
                <a:ext uri="{FF2B5EF4-FFF2-40B4-BE49-F238E27FC236}">
                  <a16:creationId xmlns:a16="http://schemas.microsoft.com/office/drawing/2014/main" id="{C530744C-726E-4C43-BD6A-CDED99686755}"/>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52</xdr:row>
          <xdr:rowOff>15240</xdr:rowOff>
        </xdr:from>
        <xdr:to>
          <xdr:col>7</xdr:col>
          <xdr:colOff>800100</xdr:colOff>
          <xdr:row>52</xdr:row>
          <xdr:rowOff>205740</xdr:rowOff>
        </xdr:to>
        <xdr:sp macro="" textlink="">
          <xdr:nvSpPr>
            <xdr:cNvPr id="5257" name="btnPdf_F-049" hidden="1">
              <a:extLst>
                <a:ext uri="{63B3BB69-23CF-44E3-9099-C40C66FF867C}">
                  <a14:compatExt spid="_x0000_s5257"/>
                </a:ext>
                <a:ext uri="{FF2B5EF4-FFF2-40B4-BE49-F238E27FC236}">
                  <a16:creationId xmlns:a16="http://schemas.microsoft.com/office/drawing/2014/main" id="{CABAF706-86A4-4396-AB02-038C0E061319}"/>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52</xdr:row>
          <xdr:rowOff>15240</xdr:rowOff>
        </xdr:from>
        <xdr:to>
          <xdr:col>8</xdr:col>
          <xdr:colOff>800100</xdr:colOff>
          <xdr:row>52</xdr:row>
          <xdr:rowOff>205740</xdr:rowOff>
        </xdr:to>
        <xdr:sp macro="" textlink="">
          <xdr:nvSpPr>
            <xdr:cNvPr id="5258" name="btnHwpx_F-049" hidden="1">
              <a:extLst>
                <a:ext uri="{63B3BB69-23CF-44E3-9099-C40C66FF867C}">
                  <a14:compatExt spid="_x0000_s5258"/>
                </a:ext>
                <a:ext uri="{FF2B5EF4-FFF2-40B4-BE49-F238E27FC236}">
                  <a16:creationId xmlns:a16="http://schemas.microsoft.com/office/drawing/2014/main" id="{65343A61-8D35-4232-806E-68A861BB8CEE}"/>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53</xdr:row>
          <xdr:rowOff>15240</xdr:rowOff>
        </xdr:from>
        <xdr:to>
          <xdr:col>6</xdr:col>
          <xdr:colOff>800100</xdr:colOff>
          <xdr:row>53</xdr:row>
          <xdr:rowOff>205740</xdr:rowOff>
        </xdr:to>
        <xdr:sp macro="" textlink="">
          <xdr:nvSpPr>
            <xdr:cNvPr id="5259" name="btnPrev_F-050" hidden="1">
              <a:extLst>
                <a:ext uri="{63B3BB69-23CF-44E3-9099-C40C66FF867C}">
                  <a14:compatExt spid="_x0000_s5259"/>
                </a:ext>
                <a:ext uri="{FF2B5EF4-FFF2-40B4-BE49-F238E27FC236}">
                  <a16:creationId xmlns:a16="http://schemas.microsoft.com/office/drawing/2014/main" id="{7E71AF2F-0D6B-40E2-AA75-5D1FC64E31C2}"/>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미리보기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53</xdr:row>
          <xdr:rowOff>15240</xdr:rowOff>
        </xdr:from>
        <xdr:to>
          <xdr:col>7</xdr:col>
          <xdr:colOff>800100</xdr:colOff>
          <xdr:row>53</xdr:row>
          <xdr:rowOff>205740</xdr:rowOff>
        </xdr:to>
        <xdr:sp macro="" textlink="">
          <xdr:nvSpPr>
            <xdr:cNvPr id="5260" name="btnPdf_F-050" hidden="1">
              <a:extLst>
                <a:ext uri="{63B3BB69-23CF-44E3-9099-C40C66FF867C}">
                  <a14:compatExt spid="_x0000_s5260"/>
                </a:ext>
                <a:ext uri="{FF2B5EF4-FFF2-40B4-BE49-F238E27FC236}">
                  <a16:creationId xmlns:a16="http://schemas.microsoft.com/office/drawing/2014/main" id="{300A238E-BBF5-4423-9326-E928DF908BEA}"/>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7620</xdr:colOff>
          <xdr:row>53</xdr:row>
          <xdr:rowOff>15240</xdr:rowOff>
        </xdr:from>
        <xdr:to>
          <xdr:col>8</xdr:col>
          <xdr:colOff>800100</xdr:colOff>
          <xdr:row>53</xdr:row>
          <xdr:rowOff>205740</xdr:rowOff>
        </xdr:to>
        <xdr:sp macro="" textlink="">
          <xdr:nvSpPr>
            <xdr:cNvPr id="5261" name="btnHwpx_F-050" hidden="1">
              <a:extLst>
                <a:ext uri="{63B3BB69-23CF-44E3-9099-C40C66FF867C}">
                  <a14:compatExt spid="_x0000_s5261"/>
                </a:ext>
                <a:ext uri="{FF2B5EF4-FFF2-40B4-BE49-F238E27FC236}">
                  <a16:creationId xmlns:a16="http://schemas.microsoft.com/office/drawing/2014/main" id="{62522D0A-42EC-483F-B4E9-8C2B6721CD9C}"/>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HWPX</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2118360</xdr:colOff>
          <xdr:row>1</xdr:row>
          <xdr:rowOff>182880</xdr:rowOff>
        </xdr:from>
        <xdr:to>
          <xdr:col>5</xdr:col>
          <xdr:colOff>190500</xdr:colOff>
          <xdr:row>3</xdr:row>
          <xdr:rowOff>45720</xdr:rowOff>
        </xdr:to>
        <xdr:sp macro="" textlink="">
          <xdr:nvSpPr>
            <xdr:cNvPr id="6145" name="btn학교검색" hidden="1">
              <a:extLst>
                <a:ext uri="{63B3BB69-23CF-44E3-9099-C40C66FF867C}">
                  <a14:compatExt spid="_x0000_s6145"/>
                </a:ext>
                <a:ext uri="{FF2B5EF4-FFF2-40B4-BE49-F238E27FC236}">
                  <a16:creationId xmlns:a16="http://schemas.microsoft.com/office/drawing/2014/main" id="{51BE01F7-9ECE-4BD3-AAF4-838ECC459EAA}"/>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검색</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312420</xdr:colOff>
          <xdr:row>1</xdr:row>
          <xdr:rowOff>182880</xdr:rowOff>
        </xdr:from>
        <xdr:to>
          <xdr:col>8</xdr:col>
          <xdr:colOff>114300</xdr:colOff>
          <xdr:row>3</xdr:row>
          <xdr:rowOff>45720</xdr:rowOff>
        </xdr:to>
        <xdr:sp macro="" textlink="">
          <xdr:nvSpPr>
            <xdr:cNvPr id="6146" name="btn선택학교반영" hidden="1">
              <a:extLst>
                <a:ext uri="{63B3BB69-23CF-44E3-9099-C40C66FF867C}">
                  <a14:compatExt spid="_x0000_s6146"/>
                </a:ext>
                <a:ext uri="{FF2B5EF4-FFF2-40B4-BE49-F238E27FC236}">
                  <a16:creationId xmlns:a16="http://schemas.microsoft.com/office/drawing/2014/main" id="{3E906F8E-0B94-4A38-9407-96E39156AF53}"/>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선택 학교를 기초자료에 반영</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0</xdr:colOff>
          <xdr:row>0</xdr:row>
          <xdr:rowOff>0</xdr:rowOff>
        </xdr:from>
        <xdr:to>
          <xdr:col>27</xdr:col>
          <xdr:colOff>144780</xdr:colOff>
          <xdr:row>1</xdr:row>
          <xdr:rowOff>83820</xdr:rowOff>
        </xdr:to>
        <xdr:sp macro="" textlink="">
          <xdr:nvSpPr>
            <xdr:cNvPr id="8193" name="btnDB닫기" hidden="1">
              <a:extLst>
                <a:ext uri="{63B3BB69-23CF-44E3-9099-C40C66FF867C}">
                  <a14:compatExt spid="_x0000_s8193"/>
                </a:ext>
                <a:ext uri="{FF2B5EF4-FFF2-40B4-BE49-F238E27FC236}">
                  <a16:creationId xmlns:a16="http://schemas.microsoft.com/office/drawing/2014/main" id="{01CEE3F8-5A36-47EC-A54A-CDF4059AB78D}"/>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DB 닫기(다시 숨김)</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13313" name="btn목록_서식선택" hidden="1">
              <a:extLst>
                <a:ext uri="{63B3BB69-23CF-44E3-9099-C40C66FF867C}">
                  <a14:compatExt spid="_x0000_s13313"/>
                </a:ext>
                <a:ext uri="{FF2B5EF4-FFF2-40B4-BE49-F238E27FC236}">
                  <a16:creationId xmlns:a16="http://schemas.microsoft.com/office/drawing/2014/main" id="{D98D9363-D00A-408F-AB0B-78520093AD5C}"/>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13314" name="btn목록_계약방법" hidden="1">
              <a:extLst>
                <a:ext uri="{63B3BB69-23CF-44E3-9099-C40C66FF867C}">
                  <a14:compatExt spid="_x0000_s13314"/>
                </a:ext>
                <a:ext uri="{FF2B5EF4-FFF2-40B4-BE49-F238E27FC236}">
                  <a16:creationId xmlns:a16="http://schemas.microsoft.com/office/drawing/2014/main" id="{6FD073EB-C899-49AA-85F5-9B06AD8EDD1C}"/>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14337" name="btn목록_서식선택" hidden="1">
              <a:extLst>
                <a:ext uri="{63B3BB69-23CF-44E3-9099-C40C66FF867C}">
                  <a14:compatExt spid="_x0000_s14337"/>
                </a:ext>
                <a:ext uri="{FF2B5EF4-FFF2-40B4-BE49-F238E27FC236}">
                  <a16:creationId xmlns:a16="http://schemas.microsoft.com/office/drawing/2014/main" id="{5B61A4C6-D9F4-409B-8492-9E17DCC7F17F}"/>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14338" name="btn목록_계약방법" hidden="1">
              <a:extLst>
                <a:ext uri="{63B3BB69-23CF-44E3-9099-C40C66FF867C}">
                  <a14:compatExt spid="_x0000_s14338"/>
                </a:ext>
                <a:ext uri="{FF2B5EF4-FFF2-40B4-BE49-F238E27FC236}">
                  <a16:creationId xmlns:a16="http://schemas.microsoft.com/office/drawing/2014/main" id="{F1075AEE-2770-45B8-BDE5-59654BF878FC}"/>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15361" name="btn목록_서식선택" hidden="1">
              <a:extLst>
                <a:ext uri="{63B3BB69-23CF-44E3-9099-C40C66FF867C}">
                  <a14:compatExt spid="_x0000_s15361"/>
                </a:ext>
                <a:ext uri="{FF2B5EF4-FFF2-40B4-BE49-F238E27FC236}">
                  <a16:creationId xmlns:a16="http://schemas.microsoft.com/office/drawing/2014/main" id="{9CCD1F51-E201-417F-8D55-B03B7EB47DE6}"/>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15362" name="btn목록_계약방법" hidden="1">
              <a:extLst>
                <a:ext uri="{63B3BB69-23CF-44E3-9099-C40C66FF867C}">
                  <a14:compatExt spid="_x0000_s15362"/>
                </a:ext>
                <a:ext uri="{FF2B5EF4-FFF2-40B4-BE49-F238E27FC236}">
                  <a16:creationId xmlns:a16="http://schemas.microsoft.com/office/drawing/2014/main" id="{CB1EFD39-131D-41EF-8EB9-B5857A7D8685}"/>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16385" name="btn목록_서식선택" hidden="1">
              <a:extLst>
                <a:ext uri="{63B3BB69-23CF-44E3-9099-C40C66FF867C}">
                  <a14:compatExt spid="_x0000_s16385"/>
                </a:ext>
                <a:ext uri="{FF2B5EF4-FFF2-40B4-BE49-F238E27FC236}">
                  <a16:creationId xmlns:a16="http://schemas.microsoft.com/office/drawing/2014/main" id="{B18E17BC-5706-46BC-AE3B-DDC933EC5E6F}"/>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16386" name="btn목록_계약방법" hidden="1">
              <a:extLst>
                <a:ext uri="{63B3BB69-23CF-44E3-9099-C40C66FF867C}">
                  <a14:compatExt spid="_x0000_s16386"/>
                </a:ext>
                <a:ext uri="{FF2B5EF4-FFF2-40B4-BE49-F238E27FC236}">
                  <a16:creationId xmlns:a16="http://schemas.microsoft.com/office/drawing/2014/main" id="{EEDD44E2-4A3D-4231-8E9B-C0D1F7C757AD}"/>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0</xdr:row>
          <xdr:rowOff>228600</xdr:rowOff>
        </xdr:to>
        <xdr:sp macro="" textlink="">
          <xdr:nvSpPr>
            <xdr:cNvPr id="17409" name="btn목록_서식선택" hidden="1">
              <a:extLst>
                <a:ext uri="{63B3BB69-23CF-44E3-9099-C40C66FF867C}">
                  <a14:compatExt spid="_x0000_s17409"/>
                </a:ext>
                <a:ext uri="{FF2B5EF4-FFF2-40B4-BE49-F238E27FC236}">
                  <a16:creationId xmlns:a16="http://schemas.microsoft.com/office/drawing/2014/main" id="{52B9F23A-9E25-4EED-9D1C-B7467E6F2653}"/>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0</xdr:row>
          <xdr:rowOff>228600</xdr:rowOff>
        </xdr:to>
        <xdr:sp macro="" textlink="">
          <xdr:nvSpPr>
            <xdr:cNvPr id="17410" name="btn목록_계약방법" hidden="1">
              <a:extLst>
                <a:ext uri="{63B3BB69-23CF-44E3-9099-C40C66FF867C}">
                  <a14:compatExt spid="_x0000_s17410"/>
                </a:ext>
                <a:ext uri="{FF2B5EF4-FFF2-40B4-BE49-F238E27FC236}">
                  <a16:creationId xmlns:a16="http://schemas.microsoft.com/office/drawing/2014/main" id="{3F7DAF18-6639-48E3-BE0B-57209648B1B5}"/>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18433" name="btn목록_서식선택" hidden="1">
              <a:extLst>
                <a:ext uri="{63B3BB69-23CF-44E3-9099-C40C66FF867C}">
                  <a14:compatExt spid="_x0000_s18433"/>
                </a:ext>
                <a:ext uri="{FF2B5EF4-FFF2-40B4-BE49-F238E27FC236}">
                  <a16:creationId xmlns:a16="http://schemas.microsoft.com/office/drawing/2014/main" id="{84A3768B-75A3-4A2B-B61B-2270D10B57BA}"/>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18434" name="btn목록_계약방법" hidden="1">
              <a:extLst>
                <a:ext uri="{63B3BB69-23CF-44E3-9099-C40C66FF867C}">
                  <a14:compatExt spid="_x0000_s18434"/>
                </a:ext>
                <a:ext uri="{FF2B5EF4-FFF2-40B4-BE49-F238E27FC236}">
                  <a16:creationId xmlns:a16="http://schemas.microsoft.com/office/drawing/2014/main" id="{D6C8B8DB-5B3D-41E3-BD0A-5008138A50E9}"/>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19457" name="btn목록_서식선택" hidden="1">
              <a:extLst>
                <a:ext uri="{63B3BB69-23CF-44E3-9099-C40C66FF867C}">
                  <a14:compatExt spid="_x0000_s19457"/>
                </a:ext>
                <a:ext uri="{FF2B5EF4-FFF2-40B4-BE49-F238E27FC236}">
                  <a16:creationId xmlns:a16="http://schemas.microsoft.com/office/drawing/2014/main" id="{7B2FD49E-DF41-4496-8079-CDA64F7B6FCE}"/>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19458" name="btn목록_계약방법" hidden="1">
              <a:extLst>
                <a:ext uri="{63B3BB69-23CF-44E3-9099-C40C66FF867C}">
                  <a14:compatExt spid="_x0000_s19458"/>
                </a:ext>
                <a:ext uri="{FF2B5EF4-FFF2-40B4-BE49-F238E27FC236}">
                  <a16:creationId xmlns:a16="http://schemas.microsoft.com/office/drawing/2014/main" id="{494F0641-50CC-4990-8D82-30958B660108}"/>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0481" name="btn목록_서식선택" hidden="1">
              <a:extLst>
                <a:ext uri="{63B3BB69-23CF-44E3-9099-C40C66FF867C}">
                  <a14:compatExt spid="_x0000_s20481"/>
                </a:ext>
                <a:ext uri="{FF2B5EF4-FFF2-40B4-BE49-F238E27FC236}">
                  <a16:creationId xmlns:a16="http://schemas.microsoft.com/office/drawing/2014/main" id="{C975BDDD-F677-47A4-B2CE-01B605917E39}"/>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0482" name="btn목록_계약방법" hidden="1">
              <a:extLst>
                <a:ext uri="{63B3BB69-23CF-44E3-9099-C40C66FF867C}">
                  <a14:compatExt spid="_x0000_s20482"/>
                </a:ext>
                <a:ext uri="{FF2B5EF4-FFF2-40B4-BE49-F238E27FC236}">
                  <a16:creationId xmlns:a16="http://schemas.microsoft.com/office/drawing/2014/main" id="{140D342D-7FBD-4D33-8C34-CD05D494AEAB}"/>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1505" name="btn목록_서식선택" hidden="1">
              <a:extLst>
                <a:ext uri="{63B3BB69-23CF-44E3-9099-C40C66FF867C}">
                  <a14:compatExt spid="_x0000_s21505"/>
                </a:ext>
                <a:ext uri="{FF2B5EF4-FFF2-40B4-BE49-F238E27FC236}">
                  <a16:creationId xmlns:a16="http://schemas.microsoft.com/office/drawing/2014/main" id="{5182FD9B-A19E-4906-9B2C-C19DC871DB5D}"/>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1506" name="btn목록_계약방법" hidden="1">
              <a:extLst>
                <a:ext uri="{63B3BB69-23CF-44E3-9099-C40C66FF867C}">
                  <a14:compatExt spid="_x0000_s21506"/>
                </a:ext>
                <a:ext uri="{FF2B5EF4-FFF2-40B4-BE49-F238E27FC236}">
                  <a16:creationId xmlns:a16="http://schemas.microsoft.com/office/drawing/2014/main" id="{3A44512B-D8E9-433A-97A3-7028D5F28437}"/>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2529" name="btn목록_서식선택" hidden="1">
              <a:extLst>
                <a:ext uri="{63B3BB69-23CF-44E3-9099-C40C66FF867C}">
                  <a14:compatExt spid="_x0000_s22529"/>
                </a:ext>
                <a:ext uri="{FF2B5EF4-FFF2-40B4-BE49-F238E27FC236}">
                  <a16:creationId xmlns:a16="http://schemas.microsoft.com/office/drawing/2014/main" id="{45BB203D-DFFE-4E47-B0CB-D39D42EF42CE}"/>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2530" name="btn목록_계약방법" hidden="1">
              <a:extLst>
                <a:ext uri="{63B3BB69-23CF-44E3-9099-C40C66FF867C}">
                  <a14:compatExt spid="_x0000_s22530"/>
                </a:ext>
                <a:ext uri="{FF2B5EF4-FFF2-40B4-BE49-F238E27FC236}">
                  <a16:creationId xmlns:a16="http://schemas.microsoft.com/office/drawing/2014/main" id="{54219955-3168-477D-BA31-5D6FC0FB4A91}"/>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0</xdr:row>
          <xdr:rowOff>228600</xdr:rowOff>
        </xdr:to>
        <xdr:sp macro="" textlink="">
          <xdr:nvSpPr>
            <xdr:cNvPr id="23553" name="btn목록_서식선택" hidden="1">
              <a:extLst>
                <a:ext uri="{63B3BB69-23CF-44E3-9099-C40C66FF867C}">
                  <a14:compatExt spid="_x0000_s23553"/>
                </a:ext>
                <a:ext uri="{FF2B5EF4-FFF2-40B4-BE49-F238E27FC236}">
                  <a16:creationId xmlns:a16="http://schemas.microsoft.com/office/drawing/2014/main" id="{14DE10CE-29BE-4446-AD57-B6F020CCA6BA}"/>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0</xdr:row>
          <xdr:rowOff>228600</xdr:rowOff>
        </xdr:to>
        <xdr:sp macro="" textlink="">
          <xdr:nvSpPr>
            <xdr:cNvPr id="23554" name="btn목록_계약방법" hidden="1">
              <a:extLst>
                <a:ext uri="{63B3BB69-23CF-44E3-9099-C40C66FF867C}">
                  <a14:compatExt spid="_x0000_s23554"/>
                </a:ext>
                <a:ext uri="{FF2B5EF4-FFF2-40B4-BE49-F238E27FC236}">
                  <a16:creationId xmlns:a16="http://schemas.microsoft.com/office/drawing/2014/main" id="{3F649FAD-0F94-4A94-B8D7-E1E5724A2816}"/>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0</xdr:row>
          <xdr:rowOff>228600</xdr:rowOff>
        </xdr:to>
        <xdr:sp macro="" textlink="">
          <xdr:nvSpPr>
            <xdr:cNvPr id="24577" name="btn목록_서식선택" hidden="1">
              <a:extLst>
                <a:ext uri="{63B3BB69-23CF-44E3-9099-C40C66FF867C}">
                  <a14:compatExt spid="_x0000_s24577"/>
                </a:ext>
                <a:ext uri="{FF2B5EF4-FFF2-40B4-BE49-F238E27FC236}">
                  <a16:creationId xmlns:a16="http://schemas.microsoft.com/office/drawing/2014/main" id="{0016F780-2BC6-49E2-A517-13CBAA4F547D}"/>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0</xdr:row>
          <xdr:rowOff>228600</xdr:rowOff>
        </xdr:to>
        <xdr:sp macro="" textlink="">
          <xdr:nvSpPr>
            <xdr:cNvPr id="24578" name="btn목록_계약방법" hidden="1">
              <a:extLst>
                <a:ext uri="{63B3BB69-23CF-44E3-9099-C40C66FF867C}">
                  <a14:compatExt spid="_x0000_s24578"/>
                </a:ext>
                <a:ext uri="{FF2B5EF4-FFF2-40B4-BE49-F238E27FC236}">
                  <a16:creationId xmlns:a16="http://schemas.microsoft.com/office/drawing/2014/main" id="{EEA82BA4-BBEB-4369-AE0E-66EEAACFE696}"/>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5601" name="btn목록_서식선택" hidden="1">
              <a:extLst>
                <a:ext uri="{63B3BB69-23CF-44E3-9099-C40C66FF867C}">
                  <a14:compatExt spid="_x0000_s25601"/>
                </a:ext>
                <a:ext uri="{FF2B5EF4-FFF2-40B4-BE49-F238E27FC236}">
                  <a16:creationId xmlns:a16="http://schemas.microsoft.com/office/drawing/2014/main" id="{F3C50D09-5CDA-4443-90CD-CBE17F1BFD4C}"/>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5602" name="btn목록_계약방법" hidden="1">
              <a:extLst>
                <a:ext uri="{63B3BB69-23CF-44E3-9099-C40C66FF867C}">
                  <a14:compatExt spid="_x0000_s25602"/>
                </a:ext>
                <a:ext uri="{FF2B5EF4-FFF2-40B4-BE49-F238E27FC236}">
                  <a16:creationId xmlns:a16="http://schemas.microsoft.com/office/drawing/2014/main" id="{E1F5E7EF-7AE8-4AF9-A027-46A9314DADC2}"/>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6625" name="btn목록_서식선택" hidden="1">
              <a:extLst>
                <a:ext uri="{63B3BB69-23CF-44E3-9099-C40C66FF867C}">
                  <a14:compatExt spid="_x0000_s26625"/>
                </a:ext>
                <a:ext uri="{FF2B5EF4-FFF2-40B4-BE49-F238E27FC236}">
                  <a16:creationId xmlns:a16="http://schemas.microsoft.com/office/drawing/2014/main" id="{6A724E50-BB97-479D-95D6-E1A2CF94D6D8}"/>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6626" name="btn목록_계약방법" hidden="1">
              <a:extLst>
                <a:ext uri="{63B3BB69-23CF-44E3-9099-C40C66FF867C}">
                  <a14:compatExt spid="_x0000_s26626"/>
                </a:ext>
                <a:ext uri="{FF2B5EF4-FFF2-40B4-BE49-F238E27FC236}">
                  <a16:creationId xmlns:a16="http://schemas.microsoft.com/office/drawing/2014/main" id="{B9086940-2743-40A7-8367-8CCB92D7E083}"/>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7649" name="btn목록_서식선택" hidden="1">
              <a:extLst>
                <a:ext uri="{63B3BB69-23CF-44E3-9099-C40C66FF867C}">
                  <a14:compatExt spid="_x0000_s27649"/>
                </a:ext>
                <a:ext uri="{FF2B5EF4-FFF2-40B4-BE49-F238E27FC236}">
                  <a16:creationId xmlns:a16="http://schemas.microsoft.com/office/drawing/2014/main" id="{FAA57594-AAB5-40E7-8A8D-4AA300B96F92}"/>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7650" name="btn목록_계약방법" hidden="1">
              <a:extLst>
                <a:ext uri="{63B3BB69-23CF-44E3-9099-C40C66FF867C}">
                  <a14:compatExt spid="_x0000_s27650"/>
                </a:ext>
                <a:ext uri="{FF2B5EF4-FFF2-40B4-BE49-F238E27FC236}">
                  <a16:creationId xmlns:a16="http://schemas.microsoft.com/office/drawing/2014/main" id="{DB082F96-6B02-45A6-9340-EE0C8FC03503}"/>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8673" name="btn목록_서식선택" hidden="1">
              <a:extLst>
                <a:ext uri="{63B3BB69-23CF-44E3-9099-C40C66FF867C}">
                  <a14:compatExt spid="_x0000_s28673"/>
                </a:ext>
                <a:ext uri="{FF2B5EF4-FFF2-40B4-BE49-F238E27FC236}">
                  <a16:creationId xmlns:a16="http://schemas.microsoft.com/office/drawing/2014/main" id="{16572712-4FD2-4549-99C6-D07E4EB5388D}"/>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8674" name="btn목록_계약방법" hidden="1">
              <a:extLst>
                <a:ext uri="{63B3BB69-23CF-44E3-9099-C40C66FF867C}">
                  <a14:compatExt spid="_x0000_s28674"/>
                </a:ext>
                <a:ext uri="{FF2B5EF4-FFF2-40B4-BE49-F238E27FC236}">
                  <a16:creationId xmlns:a16="http://schemas.microsoft.com/office/drawing/2014/main" id="{21F4E930-A9D1-4A07-AAB7-74A0EBA11F3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29697" name="btn목록_서식선택" hidden="1">
              <a:extLst>
                <a:ext uri="{63B3BB69-23CF-44E3-9099-C40C66FF867C}">
                  <a14:compatExt spid="_x0000_s29697"/>
                </a:ext>
                <a:ext uri="{FF2B5EF4-FFF2-40B4-BE49-F238E27FC236}">
                  <a16:creationId xmlns:a16="http://schemas.microsoft.com/office/drawing/2014/main" id="{C6439115-6240-4DBE-8B52-6FD3B6E5A1A6}"/>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29698" name="btn목록_계약방법" hidden="1">
              <a:extLst>
                <a:ext uri="{63B3BB69-23CF-44E3-9099-C40C66FF867C}">
                  <a14:compatExt spid="_x0000_s29698"/>
                </a:ext>
                <a:ext uri="{FF2B5EF4-FFF2-40B4-BE49-F238E27FC236}">
                  <a16:creationId xmlns:a16="http://schemas.microsoft.com/office/drawing/2014/main" id="{29176016-6C6B-4833-ADC5-49F682C6A107}"/>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106680</xdr:rowOff>
        </xdr:to>
        <xdr:sp macro="" textlink="">
          <xdr:nvSpPr>
            <xdr:cNvPr id="30721" name="btn목록_서식선택" hidden="1">
              <a:extLst>
                <a:ext uri="{63B3BB69-23CF-44E3-9099-C40C66FF867C}">
                  <a14:compatExt spid="_x0000_s30721"/>
                </a:ext>
                <a:ext uri="{FF2B5EF4-FFF2-40B4-BE49-F238E27FC236}">
                  <a16:creationId xmlns:a16="http://schemas.microsoft.com/office/drawing/2014/main" id="{A0963A92-20D9-4432-9826-EAE03DA40531}"/>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106680</xdr:rowOff>
        </xdr:to>
        <xdr:sp macro="" textlink="">
          <xdr:nvSpPr>
            <xdr:cNvPr id="30722" name="btn목록_계약방법" hidden="1">
              <a:extLst>
                <a:ext uri="{63B3BB69-23CF-44E3-9099-C40C66FF867C}">
                  <a14:compatExt spid="_x0000_s30722"/>
                </a:ext>
                <a:ext uri="{FF2B5EF4-FFF2-40B4-BE49-F238E27FC236}">
                  <a16:creationId xmlns:a16="http://schemas.microsoft.com/office/drawing/2014/main" id="{51A4833D-F3E7-43F9-8C13-7C00E9EA30F5}"/>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106680</xdr:rowOff>
        </xdr:to>
        <xdr:sp macro="" textlink="">
          <xdr:nvSpPr>
            <xdr:cNvPr id="31745" name="btn목록_서식선택" hidden="1">
              <a:extLst>
                <a:ext uri="{63B3BB69-23CF-44E3-9099-C40C66FF867C}">
                  <a14:compatExt spid="_x0000_s31745"/>
                </a:ext>
                <a:ext uri="{FF2B5EF4-FFF2-40B4-BE49-F238E27FC236}">
                  <a16:creationId xmlns:a16="http://schemas.microsoft.com/office/drawing/2014/main" id="{7C5C4E44-948E-466C-A658-03F3BCDBF87C}"/>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106680</xdr:rowOff>
        </xdr:to>
        <xdr:sp macro="" textlink="">
          <xdr:nvSpPr>
            <xdr:cNvPr id="31746" name="btn목록_계약방법" hidden="1">
              <a:extLst>
                <a:ext uri="{63B3BB69-23CF-44E3-9099-C40C66FF867C}">
                  <a14:compatExt spid="_x0000_s31746"/>
                </a:ext>
                <a:ext uri="{FF2B5EF4-FFF2-40B4-BE49-F238E27FC236}">
                  <a16:creationId xmlns:a16="http://schemas.microsoft.com/office/drawing/2014/main" id="{33298F23-80E3-44C7-9FD9-1BF888BA873E}"/>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32769" name="btn목록_서식선택" hidden="1">
              <a:extLst>
                <a:ext uri="{63B3BB69-23CF-44E3-9099-C40C66FF867C}">
                  <a14:compatExt spid="_x0000_s32769"/>
                </a:ext>
                <a:ext uri="{FF2B5EF4-FFF2-40B4-BE49-F238E27FC236}">
                  <a16:creationId xmlns:a16="http://schemas.microsoft.com/office/drawing/2014/main" id="{74C440D1-8409-4148-8170-A6403FE4306B}"/>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32770" name="btn목록_계약방법" hidden="1">
              <a:extLst>
                <a:ext uri="{63B3BB69-23CF-44E3-9099-C40C66FF867C}">
                  <a14:compatExt spid="_x0000_s32770"/>
                </a:ext>
                <a:ext uri="{FF2B5EF4-FFF2-40B4-BE49-F238E27FC236}">
                  <a16:creationId xmlns:a16="http://schemas.microsoft.com/office/drawing/2014/main" id="{156DBAD5-082B-416F-B526-C49587345658}"/>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33793" name="btn목록_서식선택" hidden="1">
              <a:extLst>
                <a:ext uri="{63B3BB69-23CF-44E3-9099-C40C66FF867C}">
                  <a14:compatExt spid="_x0000_s33793"/>
                </a:ext>
                <a:ext uri="{FF2B5EF4-FFF2-40B4-BE49-F238E27FC236}">
                  <a16:creationId xmlns:a16="http://schemas.microsoft.com/office/drawing/2014/main" id="{15917AB3-7E7C-47EB-9B01-7A675B8843F3}"/>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33794" name="btn목록_계약방법" hidden="1">
              <a:extLst>
                <a:ext uri="{63B3BB69-23CF-44E3-9099-C40C66FF867C}">
                  <a14:compatExt spid="_x0000_s33794"/>
                </a:ext>
                <a:ext uri="{FF2B5EF4-FFF2-40B4-BE49-F238E27FC236}">
                  <a16:creationId xmlns:a16="http://schemas.microsoft.com/office/drawing/2014/main" id="{94353372-0CEE-499F-8B6F-44359F0099F2}"/>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34817" name="btn목록_서식선택" hidden="1">
              <a:extLst>
                <a:ext uri="{63B3BB69-23CF-44E3-9099-C40C66FF867C}">
                  <a14:compatExt spid="_x0000_s34817"/>
                </a:ext>
                <a:ext uri="{FF2B5EF4-FFF2-40B4-BE49-F238E27FC236}">
                  <a16:creationId xmlns:a16="http://schemas.microsoft.com/office/drawing/2014/main" id="{BF95B2EF-B0DF-401A-9D66-51A761F4587F}"/>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34818" name="btn목록_계약방법" hidden="1">
              <a:extLst>
                <a:ext uri="{63B3BB69-23CF-44E3-9099-C40C66FF867C}">
                  <a14:compatExt spid="_x0000_s34818"/>
                </a:ext>
                <a:ext uri="{FF2B5EF4-FFF2-40B4-BE49-F238E27FC236}">
                  <a16:creationId xmlns:a16="http://schemas.microsoft.com/office/drawing/2014/main" id="{BCEFDB1E-CFEA-477A-B9EB-55E671190ECE}"/>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35841" name="btn목록_서식선택" hidden="1">
              <a:extLst>
                <a:ext uri="{63B3BB69-23CF-44E3-9099-C40C66FF867C}">
                  <a14:compatExt spid="_x0000_s35841"/>
                </a:ext>
                <a:ext uri="{FF2B5EF4-FFF2-40B4-BE49-F238E27FC236}">
                  <a16:creationId xmlns:a16="http://schemas.microsoft.com/office/drawing/2014/main" id="{D6D75D57-3A85-40F4-9CCA-4806C60CC65D}"/>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35842" name="btn목록_계약방법" hidden="1">
              <a:extLst>
                <a:ext uri="{63B3BB69-23CF-44E3-9099-C40C66FF867C}">
                  <a14:compatExt spid="_x0000_s35842"/>
                </a:ext>
                <a:ext uri="{FF2B5EF4-FFF2-40B4-BE49-F238E27FC236}">
                  <a16:creationId xmlns:a16="http://schemas.microsoft.com/office/drawing/2014/main" id="{442F47A5-3038-4569-86AD-C6A0E6585952}"/>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36865" name="btn목록_서식선택" hidden="1">
              <a:extLst>
                <a:ext uri="{63B3BB69-23CF-44E3-9099-C40C66FF867C}">
                  <a14:compatExt spid="_x0000_s36865"/>
                </a:ext>
                <a:ext uri="{FF2B5EF4-FFF2-40B4-BE49-F238E27FC236}">
                  <a16:creationId xmlns:a16="http://schemas.microsoft.com/office/drawing/2014/main" id="{F8347ECA-B55C-4915-9EA4-DCF3A89D42D3}"/>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36866" name="btn목록_계약방법" hidden="1">
              <a:extLst>
                <a:ext uri="{63B3BB69-23CF-44E3-9099-C40C66FF867C}">
                  <a14:compatExt spid="_x0000_s36866"/>
                </a:ext>
                <a:ext uri="{FF2B5EF4-FFF2-40B4-BE49-F238E27FC236}">
                  <a16:creationId xmlns:a16="http://schemas.microsoft.com/office/drawing/2014/main" id="{4FDFB953-FAF3-499D-946A-BB21E2FE3A6D}"/>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37889" name="btn목록_서식선택" hidden="1">
              <a:extLst>
                <a:ext uri="{63B3BB69-23CF-44E3-9099-C40C66FF867C}">
                  <a14:compatExt spid="_x0000_s37889"/>
                </a:ext>
                <a:ext uri="{FF2B5EF4-FFF2-40B4-BE49-F238E27FC236}">
                  <a16:creationId xmlns:a16="http://schemas.microsoft.com/office/drawing/2014/main" id="{0C11C1DB-81DF-4DF8-8754-0B3A891385A2}"/>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37890" name="btn목록_계약방법" hidden="1">
              <a:extLst>
                <a:ext uri="{63B3BB69-23CF-44E3-9099-C40C66FF867C}">
                  <a14:compatExt spid="_x0000_s37890"/>
                </a:ext>
                <a:ext uri="{FF2B5EF4-FFF2-40B4-BE49-F238E27FC236}">
                  <a16:creationId xmlns:a16="http://schemas.microsoft.com/office/drawing/2014/main" id="{66F06E31-1C45-49D6-AF23-7238E0C7BAC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38913" name="btn목록_서식선택" hidden="1">
              <a:extLst>
                <a:ext uri="{63B3BB69-23CF-44E3-9099-C40C66FF867C}">
                  <a14:compatExt spid="_x0000_s38913"/>
                </a:ext>
                <a:ext uri="{FF2B5EF4-FFF2-40B4-BE49-F238E27FC236}">
                  <a16:creationId xmlns:a16="http://schemas.microsoft.com/office/drawing/2014/main" id="{BB66C7C2-D7E4-47FA-BB6C-C3DE30AFDCEC}"/>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38914" name="btn목록_계약방법" hidden="1">
              <a:extLst>
                <a:ext uri="{63B3BB69-23CF-44E3-9099-C40C66FF867C}">
                  <a14:compatExt spid="_x0000_s38914"/>
                </a:ext>
                <a:ext uri="{FF2B5EF4-FFF2-40B4-BE49-F238E27FC236}">
                  <a16:creationId xmlns:a16="http://schemas.microsoft.com/office/drawing/2014/main" id="{A09DB31B-DB09-4EA2-B811-6E556ED73B03}"/>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106680</xdr:rowOff>
        </xdr:to>
        <xdr:sp macro="" textlink="">
          <xdr:nvSpPr>
            <xdr:cNvPr id="39937" name="btn목록_서식선택" hidden="1">
              <a:extLst>
                <a:ext uri="{63B3BB69-23CF-44E3-9099-C40C66FF867C}">
                  <a14:compatExt spid="_x0000_s39937"/>
                </a:ext>
                <a:ext uri="{FF2B5EF4-FFF2-40B4-BE49-F238E27FC236}">
                  <a16:creationId xmlns:a16="http://schemas.microsoft.com/office/drawing/2014/main" id="{51105596-EC9B-4878-B1BA-95E76C831FF8}"/>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106680</xdr:rowOff>
        </xdr:to>
        <xdr:sp macro="" textlink="">
          <xdr:nvSpPr>
            <xdr:cNvPr id="39938" name="btn목록_계약방법" hidden="1">
              <a:extLst>
                <a:ext uri="{63B3BB69-23CF-44E3-9099-C40C66FF867C}">
                  <a14:compatExt spid="_x0000_s39938"/>
                </a:ext>
                <a:ext uri="{FF2B5EF4-FFF2-40B4-BE49-F238E27FC236}">
                  <a16:creationId xmlns:a16="http://schemas.microsoft.com/office/drawing/2014/main" id="{96E3E3AD-CE14-413D-A4F5-E8A0E4ECC72A}"/>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76200</xdr:rowOff>
        </xdr:to>
        <xdr:sp macro="" textlink="">
          <xdr:nvSpPr>
            <xdr:cNvPr id="40961" name="btn목록_서식선택" hidden="1">
              <a:extLst>
                <a:ext uri="{63B3BB69-23CF-44E3-9099-C40C66FF867C}">
                  <a14:compatExt spid="_x0000_s40961"/>
                </a:ext>
                <a:ext uri="{FF2B5EF4-FFF2-40B4-BE49-F238E27FC236}">
                  <a16:creationId xmlns:a16="http://schemas.microsoft.com/office/drawing/2014/main" id="{6982E5BD-EE88-4F08-9515-69E461623FE9}"/>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76200</xdr:rowOff>
        </xdr:to>
        <xdr:sp macro="" textlink="">
          <xdr:nvSpPr>
            <xdr:cNvPr id="40962" name="btn목록_계약방법" hidden="1">
              <a:extLst>
                <a:ext uri="{63B3BB69-23CF-44E3-9099-C40C66FF867C}">
                  <a14:compatExt spid="_x0000_s40962"/>
                </a:ext>
                <a:ext uri="{FF2B5EF4-FFF2-40B4-BE49-F238E27FC236}">
                  <a16:creationId xmlns:a16="http://schemas.microsoft.com/office/drawing/2014/main" id="{4772A0D8-5FC3-46AD-B143-25BDF7CA06CC}"/>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1985" name="btn목록_서식선택" hidden="1">
              <a:extLst>
                <a:ext uri="{63B3BB69-23CF-44E3-9099-C40C66FF867C}">
                  <a14:compatExt spid="_x0000_s41985"/>
                </a:ext>
                <a:ext uri="{FF2B5EF4-FFF2-40B4-BE49-F238E27FC236}">
                  <a16:creationId xmlns:a16="http://schemas.microsoft.com/office/drawing/2014/main" id="{7B7D1CE6-BA15-4914-B7EC-B669C84AEB8C}"/>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1986" name="btn목록_계약방법" hidden="1">
              <a:extLst>
                <a:ext uri="{63B3BB69-23CF-44E3-9099-C40C66FF867C}">
                  <a14:compatExt spid="_x0000_s41986"/>
                </a:ext>
                <a:ext uri="{FF2B5EF4-FFF2-40B4-BE49-F238E27FC236}">
                  <a16:creationId xmlns:a16="http://schemas.microsoft.com/office/drawing/2014/main" id="{CBC7D7DD-84FA-4B94-90EF-F34A57E58FBD}"/>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3009" name="btn목록_서식선택" hidden="1">
              <a:extLst>
                <a:ext uri="{63B3BB69-23CF-44E3-9099-C40C66FF867C}">
                  <a14:compatExt spid="_x0000_s43009"/>
                </a:ext>
                <a:ext uri="{FF2B5EF4-FFF2-40B4-BE49-F238E27FC236}">
                  <a16:creationId xmlns:a16="http://schemas.microsoft.com/office/drawing/2014/main" id="{3DBE3DAD-DB1D-4475-A1C8-3286670B4A4F}"/>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3010" name="btn목록_계약방법" hidden="1">
              <a:extLst>
                <a:ext uri="{63B3BB69-23CF-44E3-9099-C40C66FF867C}">
                  <a14:compatExt spid="_x0000_s43010"/>
                </a:ext>
                <a:ext uri="{FF2B5EF4-FFF2-40B4-BE49-F238E27FC236}">
                  <a16:creationId xmlns:a16="http://schemas.microsoft.com/office/drawing/2014/main" id="{32DC2B6E-7A51-426C-A41B-666B646B2777}"/>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4033" name="btn목록_서식선택" hidden="1">
              <a:extLst>
                <a:ext uri="{63B3BB69-23CF-44E3-9099-C40C66FF867C}">
                  <a14:compatExt spid="_x0000_s44033"/>
                </a:ext>
                <a:ext uri="{FF2B5EF4-FFF2-40B4-BE49-F238E27FC236}">
                  <a16:creationId xmlns:a16="http://schemas.microsoft.com/office/drawing/2014/main" id="{695A3500-269A-419E-B46E-4B9E1F5A79B6}"/>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4034" name="btn목록_계약방법" hidden="1">
              <a:extLst>
                <a:ext uri="{63B3BB69-23CF-44E3-9099-C40C66FF867C}">
                  <a14:compatExt spid="_x0000_s44034"/>
                </a:ext>
                <a:ext uri="{FF2B5EF4-FFF2-40B4-BE49-F238E27FC236}">
                  <a16:creationId xmlns:a16="http://schemas.microsoft.com/office/drawing/2014/main" id="{0493923F-220E-4E25-9110-79FB7F738065}"/>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5057" name="btn목록_서식선택" hidden="1">
              <a:extLst>
                <a:ext uri="{63B3BB69-23CF-44E3-9099-C40C66FF867C}">
                  <a14:compatExt spid="_x0000_s45057"/>
                </a:ext>
                <a:ext uri="{FF2B5EF4-FFF2-40B4-BE49-F238E27FC236}">
                  <a16:creationId xmlns:a16="http://schemas.microsoft.com/office/drawing/2014/main" id="{95A8038C-451F-4664-AD0B-C502639BB12C}"/>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5058" name="btn목록_계약방법" hidden="1">
              <a:extLst>
                <a:ext uri="{63B3BB69-23CF-44E3-9099-C40C66FF867C}">
                  <a14:compatExt spid="_x0000_s45058"/>
                </a:ext>
                <a:ext uri="{FF2B5EF4-FFF2-40B4-BE49-F238E27FC236}">
                  <a16:creationId xmlns:a16="http://schemas.microsoft.com/office/drawing/2014/main" id="{3FE0A404-0BCC-47A1-B0BB-445316057EB2}"/>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6081" name="btn목록_서식선택" hidden="1">
              <a:extLst>
                <a:ext uri="{63B3BB69-23CF-44E3-9099-C40C66FF867C}">
                  <a14:compatExt spid="_x0000_s46081"/>
                </a:ext>
                <a:ext uri="{FF2B5EF4-FFF2-40B4-BE49-F238E27FC236}">
                  <a16:creationId xmlns:a16="http://schemas.microsoft.com/office/drawing/2014/main" id="{F53A1B15-DF74-4E46-8A78-9DF5A3A38084}"/>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6082" name="btn목록_계약방법" hidden="1">
              <a:extLst>
                <a:ext uri="{63B3BB69-23CF-44E3-9099-C40C66FF867C}">
                  <a14:compatExt spid="_x0000_s46082"/>
                </a:ext>
                <a:ext uri="{FF2B5EF4-FFF2-40B4-BE49-F238E27FC236}">
                  <a16:creationId xmlns:a16="http://schemas.microsoft.com/office/drawing/2014/main" id="{240AD6DD-5A2F-42AA-9139-583CB891DC24}"/>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7105" name="btn목록_서식선택" hidden="1">
              <a:extLst>
                <a:ext uri="{63B3BB69-23CF-44E3-9099-C40C66FF867C}">
                  <a14:compatExt spid="_x0000_s47105"/>
                </a:ext>
                <a:ext uri="{FF2B5EF4-FFF2-40B4-BE49-F238E27FC236}">
                  <a16:creationId xmlns:a16="http://schemas.microsoft.com/office/drawing/2014/main" id="{DD695910-3579-4E2C-B673-1DEF13E0576B}"/>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7106" name="btn목록_계약방법" hidden="1">
              <a:extLst>
                <a:ext uri="{63B3BB69-23CF-44E3-9099-C40C66FF867C}">
                  <a14:compatExt spid="_x0000_s47106"/>
                </a:ext>
                <a:ext uri="{FF2B5EF4-FFF2-40B4-BE49-F238E27FC236}">
                  <a16:creationId xmlns:a16="http://schemas.microsoft.com/office/drawing/2014/main" id="{C828F54D-D72A-4C4C-9D97-4DA440A2CBEA}"/>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8129" name="btn목록_서식선택" hidden="1">
              <a:extLst>
                <a:ext uri="{63B3BB69-23CF-44E3-9099-C40C66FF867C}">
                  <a14:compatExt spid="_x0000_s48129"/>
                </a:ext>
                <a:ext uri="{FF2B5EF4-FFF2-40B4-BE49-F238E27FC236}">
                  <a16:creationId xmlns:a16="http://schemas.microsoft.com/office/drawing/2014/main" id="{1AB44BF9-8E4F-4A32-9DE4-06FA7993A11D}"/>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8130" name="btn목록_계약방법" hidden="1">
              <a:extLst>
                <a:ext uri="{63B3BB69-23CF-44E3-9099-C40C66FF867C}">
                  <a14:compatExt spid="_x0000_s48130"/>
                </a:ext>
                <a:ext uri="{FF2B5EF4-FFF2-40B4-BE49-F238E27FC236}">
                  <a16:creationId xmlns:a16="http://schemas.microsoft.com/office/drawing/2014/main" id="{5BABA1FD-56A7-47B4-8CB3-5B04607D09B3}"/>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49153" name="btn목록_서식선택" hidden="1">
              <a:extLst>
                <a:ext uri="{63B3BB69-23CF-44E3-9099-C40C66FF867C}">
                  <a14:compatExt spid="_x0000_s49153"/>
                </a:ext>
                <a:ext uri="{FF2B5EF4-FFF2-40B4-BE49-F238E27FC236}">
                  <a16:creationId xmlns:a16="http://schemas.microsoft.com/office/drawing/2014/main" id="{688DDB0B-C262-41CD-B03B-74EBB6536211}"/>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49154" name="btn목록_계약방법" hidden="1">
              <a:extLst>
                <a:ext uri="{63B3BB69-23CF-44E3-9099-C40C66FF867C}">
                  <a14:compatExt spid="_x0000_s49154"/>
                </a:ext>
                <a:ext uri="{FF2B5EF4-FFF2-40B4-BE49-F238E27FC236}">
                  <a16:creationId xmlns:a16="http://schemas.microsoft.com/office/drawing/2014/main" id="{2991A127-5AAA-4D88-81FF-CBCC4EACB75D}"/>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0177" name="btn목록_서식선택" hidden="1">
              <a:extLst>
                <a:ext uri="{63B3BB69-23CF-44E3-9099-C40C66FF867C}">
                  <a14:compatExt spid="_x0000_s50177"/>
                </a:ext>
                <a:ext uri="{FF2B5EF4-FFF2-40B4-BE49-F238E27FC236}">
                  <a16:creationId xmlns:a16="http://schemas.microsoft.com/office/drawing/2014/main" id="{15FA7061-C0D4-496E-8B66-C8146CE30A84}"/>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0178" name="btn목록_계약방법" hidden="1">
              <a:extLst>
                <a:ext uri="{63B3BB69-23CF-44E3-9099-C40C66FF867C}">
                  <a14:compatExt spid="_x0000_s50178"/>
                </a:ext>
                <a:ext uri="{FF2B5EF4-FFF2-40B4-BE49-F238E27FC236}">
                  <a16:creationId xmlns:a16="http://schemas.microsoft.com/office/drawing/2014/main" id="{6EC3F4B3-00F6-4226-A7D7-3B3DB59B5D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1201" name="btn목록_서식선택" hidden="1">
              <a:extLst>
                <a:ext uri="{63B3BB69-23CF-44E3-9099-C40C66FF867C}">
                  <a14:compatExt spid="_x0000_s51201"/>
                </a:ext>
                <a:ext uri="{FF2B5EF4-FFF2-40B4-BE49-F238E27FC236}">
                  <a16:creationId xmlns:a16="http://schemas.microsoft.com/office/drawing/2014/main" id="{4A7918FB-F659-44DF-9889-E8DDA58A31EA}"/>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1202" name="btn목록_계약방법" hidden="1">
              <a:extLst>
                <a:ext uri="{63B3BB69-23CF-44E3-9099-C40C66FF867C}">
                  <a14:compatExt spid="_x0000_s51202"/>
                </a:ext>
                <a:ext uri="{FF2B5EF4-FFF2-40B4-BE49-F238E27FC236}">
                  <a16:creationId xmlns:a16="http://schemas.microsoft.com/office/drawing/2014/main" id="{E7121C26-8A75-4B0C-AE61-1D602F77B126}"/>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2225" name="btn목록_서식선택" hidden="1">
              <a:extLst>
                <a:ext uri="{63B3BB69-23CF-44E3-9099-C40C66FF867C}">
                  <a14:compatExt spid="_x0000_s52225"/>
                </a:ext>
                <a:ext uri="{FF2B5EF4-FFF2-40B4-BE49-F238E27FC236}">
                  <a16:creationId xmlns:a16="http://schemas.microsoft.com/office/drawing/2014/main" id="{0B36C830-AE23-427A-94C6-8F134A20C0ED}"/>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2226" name="btn목록_계약방법" hidden="1">
              <a:extLst>
                <a:ext uri="{63B3BB69-23CF-44E3-9099-C40C66FF867C}">
                  <a14:compatExt spid="_x0000_s52226"/>
                </a:ext>
                <a:ext uri="{FF2B5EF4-FFF2-40B4-BE49-F238E27FC236}">
                  <a16:creationId xmlns:a16="http://schemas.microsoft.com/office/drawing/2014/main" id="{EFD61F60-F318-4BED-9478-363E78F317DE}"/>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3249" name="btn목록_서식선택" hidden="1">
              <a:extLst>
                <a:ext uri="{63B3BB69-23CF-44E3-9099-C40C66FF867C}">
                  <a14:compatExt spid="_x0000_s53249"/>
                </a:ext>
                <a:ext uri="{FF2B5EF4-FFF2-40B4-BE49-F238E27FC236}">
                  <a16:creationId xmlns:a16="http://schemas.microsoft.com/office/drawing/2014/main" id="{CE1AD505-EFEB-4192-949E-0719A050DA3F}"/>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3250" name="btn목록_계약방법" hidden="1">
              <a:extLst>
                <a:ext uri="{63B3BB69-23CF-44E3-9099-C40C66FF867C}">
                  <a14:compatExt spid="_x0000_s53250"/>
                </a:ext>
                <a:ext uri="{FF2B5EF4-FFF2-40B4-BE49-F238E27FC236}">
                  <a16:creationId xmlns:a16="http://schemas.microsoft.com/office/drawing/2014/main" id="{2FCB6A6B-7AFC-4F00-B84F-F6109F1AE273}"/>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4273" name="btn목록_서식선택" hidden="1">
              <a:extLst>
                <a:ext uri="{63B3BB69-23CF-44E3-9099-C40C66FF867C}">
                  <a14:compatExt spid="_x0000_s54273"/>
                </a:ext>
                <a:ext uri="{FF2B5EF4-FFF2-40B4-BE49-F238E27FC236}">
                  <a16:creationId xmlns:a16="http://schemas.microsoft.com/office/drawing/2014/main" id="{AFC2DAEA-4ACA-42E4-B3D0-3C9FDDAD8524}"/>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4274" name="btn목록_계약방법" hidden="1">
              <a:extLst>
                <a:ext uri="{63B3BB69-23CF-44E3-9099-C40C66FF867C}">
                  <a14:compatExt spid="_x0000_s54274"/>
                </a:ext>
                <a:ext uri="{FF2B5EF4-FFF2-40B4-BE49-F238E27FC236}">
                  <a16:creationId xmlns:a16="http://schemas.microsoft.com/office/drawing/2014/main" id="{7FC70959-8F47-42F8-BF92-C941FC33DD57}"/>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4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5297" name="btn목록_서식선택" hidden="1">
              <a:extLst>
                <a:ext uri="{63B3BB69-23CF-44E3-9099-C40C66FF867C}">
                  <a14:compatExt spid="_x0000_s55297"/>
                </a:ext>
                <a:ext uri="{FF2B5EF4-FFF2-40B4-BE49-F238E27FC236}">
                  <a16:creationId xmlns:a16="http://schemas.microsoft.com/office/drawing/2014/main" id="{99AF8F34-27A6-4258-8E47-1265269C385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5298" name="btn목록_계약방법" hidden="1">
              <a:extLst>
                <a:ext uri="{63B3BB69-23CF-44E3-9099-C40C66FF867C}">
                  <a14:compatExt spid="_x0000_s55298"/>
                </a:ext>
                <a:ext uri="{FF2B5EF4-FFF2-40B4-BE49-F238E27FC236}">
                  <a16:creationId xmlns:a16="http://schemas.microsoft.com/office/drawing/2014/main" id="{16FB805C-D596-4E5A-BE97-2FE825A5E59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5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6321" name="btn목록_서식선택" hidden="1">
              <a:extLst>
                <a:ext uri="{63B3BB69-23CF-44E3-9099-C40C66FF867C}">
                  <a14:compatExt spid="_x0000_s56321"/>
                </a:ext>
                <a:ext uri="{FF2B5EF4-FFF2-40B4-BE49-F238E27FC236}">
                  <a16:creationId xmlns:a16="http://schemas.microsoft.com/office/drawing/2014/main" id="{21A2F980-A5B9-48D1-9EFC-39237A81905A}"/>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6322" name="btn목록_계약방법" hidden="1">
              <a:extLst>
                <a:ext uri="{63B3BB69-23CF-44E3-9099-C40C66FF867C}">
                  <a14:compatExt spid="_x0000_s56322"/>
                </a:ext>
                <a:ext uri="{FF2B5EF4-FFF2-40B4-BE49-F238E27FC236}">
                  <a16:creationId xmlns:a16="http://schemas.microsoft.com/office/drawing/2014/main" id="{A6465870-654C-4FB8-AEC0-CF8DDDEC75F1}"/>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5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7345" name="btn목록_서식선택" hidden="1">
              <a:extLst>
                <a:ext uri="{63B3BB69-23CF-44E3-9099-C40C66FF867C}">
                  <a14:compatExt spid="_x0000_s57345"/>
                </a:ext>
                <a:ext uri="{FF2B5EF4-FFF2-40B4-BE49-F238E27FC236}">
                  <a16:creationId xmlns:a16="http://schemas.microsoft.com/office/drawing/2014/main" id="{C3BD5F62-3AD4-4D56-908E-E5A97937E225}"/>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7346" name="btn목록_계약방법" hidden="1">
              <a:extLst>
                <a:ext uri="{63B3BB69-23CF-44E3-9099-C40C66FF867C}">
                  <a14:compatExt spid="_x0000_s57346"/>
                </a:ext>
                <a:ext uri="{FF2B5EF4-FFF2-40B4-BE49-F238E27FC236}">
                  <a16:creationId xmlns:a16="http://schemas.microsoft.com/office/drawing/2014/main" id="{3D67B7ED-8E93-4F07-9C46-6441750D8663}"/>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5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8369" name="btn목록_서식선택" hidden="1">
              <a:extLst>
                <a:ext uri="{63B3BB69-23CF-44E3-9099-C40C66FF867C}">
                  <a14:compatExt spid="_x0000_s58369"/>
                </a:ext>
                <a:ext uri="{FF2B5EF4-FFF2-40B4-BE49-F238E27FC236}">
                  <a16:creationId xmlns:a16="http://schemas.microsoft.com/office/drawing/2014/main" id="{2E43397F-4911-4C31-9F61-D2890679C95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8370" name="btn목록_계약방법" hidden="1">
              <a:extLst>
                <a:ext uri="{63B3BB69-23CF-44E3-9099-C40C66FF867C}">
                  <a14:compatExt spid="_x0000_s58370"/>
                </a:ext>
                <a:ext uri="{FF2B5EF4-FFF2-40B4-BE49-F238E27FC236}">
                  <a16:creationId xmlns:a16="http://schemas.microsoft.com/office/drawing/2014/main" id="{FD96AC16-6587-4566-A3A4-5653A7F5D76D}"/>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drawings/drawing5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0</xdr:rowOff>
        </xdr:from>
        <xdr:to>
          <xdr:col>14</xdr:col>
          <xdr:colOff>594360</xdr:colOff>
          <xdr:row>1</xdr:row>
          <xdr:rowOff>7620</xdr:rowOff>
        </xdr:to>
        <xdr:sp macro="" textlink="">
          <xdr:nvSpPr>
            <xdr:cNvPr id="59393" name="btn목록_서식선택" hidden="1">
              <a:extLst>
                <a:ext uri="{63B3BB69-23CF-44E3-9099-C40C66FF867C}">
                  <a14:compatExt spid="_x0000_s59393"/>
                </a:ext>
                <a:ext uri="{FF2B5EF4-FFF2-40B4-BE49-F238E27FC236}">
                  <a16:creationId xmlns:a16="http://schemas.microsoft.com/office/drawing/2014/main" id="{39BBA896-B463-47CB-B035-82AAD39A4C83}"/>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서식목록으로</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662940</xdr:colOff>
          <xdr:row>0</xdr:row>
          <xdr:rowOff>0</xdr:rowOff>
        </xdr:from>
        <xdr:to>
          <xdr:col>16</xdr:col>
          <xdr:colOff>586740</xdr:colOff>
          <xdr:row>1</xdr:row>
          <xdr:rowOff>7620</xdr:rowOff>
        </xdr:to>
        <xdr:sp macro="" textlink="">
          <xdr:nvSpPr>
            <xdr:cNvPr id="59394" name="btn목록_계약방법" hidden="1">
              <a:extLst>
                <a:ext uri="{63B3BB69-23CF-44E3-9099-C40C66FF867C}">
                  <a14:compatExt spid="_x0000_s59394"/>
                </a:ext>
                <a:ext uri="{FF2B5EF4-FFF2-40B4-BE49-F238E27FC236}">
                  <a16:creationId xmlns:a16="http://schemas.microsoft.com/office/drawing/2014/main" id="{56CD5441-2647-40DA-9536-9DF37EE62B13}"/>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ko-KR" altLang="en-US" sz="1100" b="0" i="0" u="none" strike="noStrike" baseline="0">
                  <a:solidFill>
                    <a:srgbClr val="000000"/>
                  </a:solidFill>
                  <a:latin typeface="맑은 고딕"/>
                  <a:ea typeface="맑은 고딕"/>
                </a:rPr>
                <a:t>계약방법안내로</a:t>
              </a:r>
            </a:p>
          </xdr:txBody>
        </xdr:sp>
        <xdr:clientData fPrintsWithSheet="0"/>
      </xdr:twoCellAnchor>
    </mc:Choice>
    <mc:Fallback/>
  </mc:AlternateContent>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6" Type="http://schemas.openxmlformats.org/officeDocument/2006/relationships/ctrlProp" Target="../ctrlProps/ctrlProp13.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102" Type="http://schemas.openxmlformats.org/officeDocument/2006/relationships/ctrlProp" Target="../ctrlProps/ctrlProp99.xml"/><Relationship Id="rId5" Type="http://schemas.openxmlformats.org/officeDocument/2006/relationships/ctrlProp" Target="../ctrlProps/ctrlProp2.xml"/><Relationship Id="rId90" Type="http://schemas.openxmlformats.org/officeDocument/2006/relationships/ctrlProp" Target="../ctrlProps/ctrlProp87.xml"/><Relationship Id="rId95" Type="http://schemas.openxmlformats.org/officeDocument/2006/relationships/ctrlProp" Target="../ctrlProps/ctrlProp92.xml"/><Relationship Id="rId22" Type="http://schemas.openxmlformats.org/officeDocument/2006/relationships/ctrlProp" Target="../ctrlProps/ctrlProp19.xml"/><Relationship Id="rId27" Type="http://schemas.openxmlformats.org/officeDocument/2006/relationships/ctrlProp" Target="../ctrlProps/ctrlProp24.xml"/><Relationship Id="rId43" Type="http://schemas.openxmlformats.org/officeDocument/2006/relationships/ctrlProp" Target="../ctrlProps/ctrlProp40.xml"/><Relationship Id="rId48" Type="http://schemas.openxmlformats.org/officeDocument/2006/relationships/ctrlProp" Target="../ctrlProps/ctrlProp45.xml"/><Relationship Id="rId64" Type="http://schemas.openxmlformats.org/officeDocument/2006/relationships/ctrlProp" Target="../ctrlProps/ctrlProp61.xml"/><Relationship Id="rId69" Type="http://schemas.openxmlformats.org/officeDocument/2006/relationships/ctrlProp" Target="../ctrlProps/ctrlProp66.xml"/><Relationship Id="rId80" Type="http://schemas.openxmlformats.org/officeDocument/2006/relationships/ctrlProp" Target="../ctrlProps/ctrlProp77.xml"/><Relationship Id="rId85" Type="http://schemas.openxmlformats.org/officeDocument/2006/relationships/ctrlProp" Target="../ctrlProps/ctrlProp82.xml"/><Relationship Id="rId12" Type="http://schemas.openxmlformats.org/officeDocument/2006/relationships/ctrlProp" Target="../ctrlProps/ctrlProp9.xml"/><Relationship Id="rId17" Type="http://schemas.openxmlformats.org/officeDocument/2006/relationships/ctrlProp" Target="../ctrlProps/ctrlProp14.xml"/><Relationship Id="rId33" Type="http://schemas.openxmlformats.org/officeDocument/2006/relationships/ctrlProp" Target="../ctrlProps/ctrlProp30.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08" Type="http://schemas.openxmlformats.org/officeDocument/2006/relationships/ctrlProp" Target="../ctrlProps/ctrlProp105.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6" Type="http://schemas.openxmlformats.org/officeDocument/2006/relationships/ctrlProp" Target="../ctrlProps/ctrlProp103.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2" Type="http://schemas.openxmlformats.org/officeDocument/2006/relationships/drawing" Target="../drawings/drawing2.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61" Type="http://schemas.openxmlformats.org/officeDocument/2006/relationships/ctrlProp" Target="../ctrlProps/ctrlProp58.xml"/><Relationship Id="rId82" Type="http://schemas.openxmlformats.org/officeDocument/2006/relationships/ctrlProp" Target="../ctrlProps/ctrlProp7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11.xml"/><Relationship Id="rId5" Type="http://schemas.openxmlformats.org/officeDocument/2006/relationships/ctrlProp" Target="../ctrlProps/ctrlProp110.xml"/><Relationship Id="rId4" Type="http://schemas.openxmlformats.org/officeDocument/2006/relationships/ctrlProp" Target="../ctrlProps/ctrlProp109.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12.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17" Type="http://schemas.openxmlformats.org/officeDocument/2006/relationships/ctrlProp" Target="../ctrlProps/ctrlProp227.xml"/><Relationship Id="rId21" Type="http://schemas.openxmlformats.org/officeDocument/2006/relationships/ctrlProp" Target="../ctrlProps/ctrlProp131.xml"/><Relationship Id="rId42" Type="http://schemas.openxmlformats.org/officeDocument/2006/relationships/ctrlProp" Target="../ctrlProps/ctrlProp152.xml"/><Relationship Id="rId63" Type="http://schemas.openxmlformats.org/officeDocument/2006/relationships/ctrlProp" Target="../ctrlProps/ctrlProp173.xml"/><Relationship Id="rId84" Type="http://schemas.openxmlformats.org/officeDocument/2006/relationships/ctrlProp" Target="../ctrlProps/ctrlProp194.xml"/><Relationship Id="rId138" Type="http://schemas.openxmlformats.org/officeDocument/2006/relationships/ctrlProp" Target="../ctrlProps/ctrlProp248.xml"/><Relationship Id="rId107" Type="http://schemas.openxmlformats.org/officeDocument/2006/relationships/ctrlProp" Target="../ctrlProps/ctrlProp217.xml"/><Relationship Id="rId11" Type="http://schemas.openxmlformats.org/officeDocument/2006/relationships/ctrlProp" Target="../ctrlProps/ctrlProp121.xml"/><Relationship Id="rId32" Type="http://schemas.openxmlformats.org/officeDocument/2006/relationships/ctrlProp" Target="../ctrlProps/ctrlProp142.xml"/><Relationship Id="rId37" Type="http://schemas.openxmlformats.org/officeDocument/2006/relationships/ctrlProp" Target="../ctrlProps/ctrlProp147.xml"/><Relationship Id="rId53" Type="http://schemas.openxmlformats.org/officeDocument/2006/relationships/ctrlProp" Target="../ctrlProps/ctrlProp163.xml"/><Relationship Id="rId58" Type="http://schemas.openxmlformats.org/officeDocument/2006/relationships/ctrlProp" Target="../ctrlProps/ctrlProp168.xml"/><Relationship Id="rId74" Type="http://schemas.openxmlformats.org/officeDocument/2006/relationships/ctrlProp" Target="../ctrlProps/ctrlProp184.xml"/><Relationship Id="rId79" Type="http://schemas.openxmlformats.org/officeDocument/2006/relationships/ctrlProp" Target="../ctrlProps/ctrlProp189.xml"/><Relationship Id="rId102" Type="http://schemas.openxmlformats.org/officeDocument/2006/relationships/ctrlProp" Target="../ctrlProps/ctrlProp212.xml"/><Relationship Id="rId123" Type="http://schemas.openxmlformats.org/officeDocument/2006/relationships/ctrlProp" Target="../ctrlProps/ctrlProp233.xml"/><Relationship Id="rId128" Type="http://schemas.openxmlformats.org/officeDocument/2006/relationships/ctrlProp" Target="../ctrlProps/ctrlProp238.xml"/><Relationship Id="rId5" Type="http://schemas.openxmlformats.org/officeDocument/2006/relationships/ctrlProp" Target="../ctrlProps/ctrlProp115.xml"/><Relationship Id="rId90" Type="http://schemas.openxmlformats.org/officeDocument/2006/relationships/ctrlProp" Target="../ctrlProps/ctrlProp200.xml"/><Relationship Id="rId95" Type="http://schemas.openxmlformats.org/officeDocument/2006/relationships/ctrlProp" Target="../ctrlProps/ctrlProp205.xml"/><Relationship Id="rId22" Type="http://schemas.openxmlformats.org/officeDocument/2006/relationships/ctrlProp" Target="../ctrlProps/ctrlProp132.xml"/><Relationship Id="rId27" Type="http://schemas.openxmlformats.org/officeDocument/2006/relationships/ctrlProp" Target="../ctrlProps/ctrlProp137.xml"/><Relationship Id="rId43" Type="http://schemas.openxmlformats.org/officeDocument/2006/relationships/ctrlProp" Target="../ctrlProps/ctrlProp153.xml"/><Relationship Id="rId48" Type="http://schemas.openxmlformats.org/officeDocument/2006/relationships/ctrlProp" Target="../ctrlProps/ctrlProp158.xml"/><Relationship Id="rId64" Type="http://schemas.openxmlformats.org/officeDocument/2006/relationships/ctrlProp" Target="../ctrlProps/ctrlProp174.xml"/><Relationship Id="rId69" Type="http://schemas.openxmlformats.org/officeDocument/2006/relationships/ctrlProp" Target="../ctrlProps/ctrlProp179.xml"/><Relationship Id="rId113" Type="http://schemas.openxmlformats.org/officeDocument/2006/relationships/ctrlProp" Target="../ctrlProps/ctrlProp223.xml"/><Relationship Id="rId118" Type="http://schemas.openxmlformats.org/officeDocument/2006/relationships/ctrlProp" Target="../ctrlProps/ctrlProp228.xml"/><Relationship Id="rId134" Type="http://schemas.openxmlformats.org/officeDocument/2006/relationships/ctrlProp" Target="../ctrlProps/ctrlProp244.xml"/><Relationship Id="rId139" Type="http://schemas.openxmlformats.org/officeDocument/2006/relationships/ctrlProp" Target="../ctrlProps/ctrlProp249.xml"/><Relationship Id="rId80" Type="http://schemas.openxmlformats.org/officeDocument/2006/relationships/ctrlProp" Target="../ctrlProps/ctrlProp190.xml"/><Relationship Id="rId85" Type="http://schemas.openxmlformats.org/officeDocument/2006/relationships/ctrlProp" Target="../ctrlProps/ctrlProp195.xml"/><Relationship Id="rId12" Type="http://schemas.openxmlformats.org/officeDocument/2006/relationships/ctrlProp" Target="../ctrlProps/ctrlProp122.xml"/><Relationship Id="rId17" Type="http://schemas.openxmlformats.org/officeDocument/2006/relationships/ctrlProp" Target="../ctrlProps/ctrlProp127.xml"/><Relationship Id="rId33" Type="http://schemas.openxmlformats.org/officeDocument/2006/relationships/ctrlProp" Target="../ctrlProps/ctrlProp143.xml"/><Relationship Id="rId38" Type="http://schemas.openxmlformats.org/officeDocument/2006/relationships/ctrlProp" Target="../ctrlProps/ctrlProp148.xml"/><Relationship Id="rId59" Type="http://schemas.openxmlformats.org/officeDocument/2006/relationships/ctrlProp" Target="../ctrlProps/ctrlProp169.xml"/><Relationship Id="rId103" Type="http://schemas.openxmlformats.org/officeDocument/2006/relationships/ctrlProp" Target="../ctrlProps/ctrlProp213.xml"/><Relationship Id="rId108" Type="http://schemas.openxmlformats.org/officeDocument/2006/relationships/ctrlProp" Target="../ctrlProps/ctrlProp218.xml"/><Relationship Id="rId124" Type="http://schemas.openxmlformats.org/officeDocument/2006/relationships/ctrlProp" Target="../ctrlProps/ctrlProp234.xml"/><Relationship Id="rId129" Type="http://schemas.openxmlformats.org/officeDocument/2006/relationships/ctrlProp" Target="../ctrlProps/ctrlProp239.xml"/><Relationship Id="rId54" Type="http://schemas.openxmlformats.org/officeDocument/2006/relationships/ctrlProp" Target="../ctrlProps/ctrlProp164.xml"/><Relationship Id="rId70" Type="http://schemas.openxmlformats.org/officeDocument/2006/relationships/ctrlProp" Target="../ctrlProps/ctrlProp180.xml"/><Relationship Id="rId75" Type="http://schemas.openxmlformats.org/officeDocument/2006/relationships/ctrlProp" Target="../ctrlProps/ctrlProp185.xml"/><Relationship Id="rId91" Type="http://schemas.openxmlformats.org/officeDocument/2006/relationships/ctrlProp" Target="../ctrlProps/ctrlProp201.xml"/><Relationship Id="rId96" Type="http://schemas.openxmlformats.org/officeDocument/2006/relationships/ctrlProp" Target="../ctrlProps/ctrlProp206.xml"/><Relationship Id="rId140" Type="http://schemas.openxmlformats.org/officeDocument/2006/relationships/ctrlProp" Target="../ctrlProps/ctrlProp250.xml"/><Relationship Id="rId1" Type="http://schemas.openxmlformats.org/officeDocument/2006/relationships/drawing" Target="../drawings/drawing5.xml"/><Relationship Id="rId6" Type="http://schemas.openxmlformats.org/officeDocument/2006/relationships/ctrlProp" Target="../ctrlProps/ctrlProp116.xml"/><Relationship Id="rId23" Type="http://schemas.openxmlformats.org/officeDocument/2006/relationships/ctrlProp" Target="../ctrlProps/ctrlProp133.xml"/><Relationship Id="rId28" Type="http://schemas.openxmlformats.org/officeDocument/2006/relationships/ctrlProp" Target="../ctrlProps/ctrlProp138.xml"/><Relationship Id="rId49" Type="http://schemas.openxmlformats.org/officeDocument/2006/relationships/ctrlProp" Target="../ctrlProps/ctrlProp159.xml"/><Relationship Id="rId114" Type="http://schemas.openxmlformats.org/officeDocument/2006/relationships/ctrlProp" Target="../ctrlProps/ctrlProp224.xml"/><Relationship Id="rId119" Type="http://schemas.openxmlformats.org/officeDocument/2006/relationships/ctrlProp" Target="../ctrlProps/ctrlProp229.xml"/><Relationship Id="rId44" Type="http://schemas.openxmlformats.org/officeDocument/2006/relationships/ctrlProp" Target="../ctrlProps/ctrlProp154.xml"/><Relationship Id="rId60" Type="http://schemas.openxmlformats.org/officeDocument/2006/relationships/ctrlProp" Target="../ctrlProps/ctrlProp170.xml"/><Relationship Id="rId65" Type="http://schemas.openxmlformats.org/officeDocument/2006/relationships/ctrlProp" Target="../ctrlProps/ctrlProp175.xml"/><Relationship Id="rId81" Type="http://schemas.openxmlformats.org/officeDocument/2006/relationships/ctrlProp" Target="../ctrlProps/ctrlProp191.xml"/><Relationship Id="rId86" Type="http://schemas.openxmlformats.org/officeDocument/2006/relationships/ctrlProp" Target="../ctrlProps/ctrlProp196.xml"/><Relationship Id="rId130" Type="http://schemas.openxmlformats.org/officeDocument/2006/relationships/ctrlProp" Target="../ctrlProps/ctrlProp240.xml"/><Relationship Id="rId135" Type="http://schemas.openxmlformats.org/officeDocument/2006/relationships/ctrlProp" Target="../ctrlProps/ctrlProp245.xml"/><Relationship Id="rId13" Type="http://schemas.openxmlformats.org/officeDocument/2006/relationships/ctrlProp" Target="../ctrlProps/ctrlProp123.xml"/><Relationship Id="rId18" Type="http://schemas.openxmlformats.org/officeDocument/2006/relationships/ctrlProp" Target="../ctrlProps/ctrlProp128.xml"/><Relationship Id="rId39" Type="http://schemas.openxmlformats.org/officeDocument/2006/relationships/ctrlProp" Target="../ctrlProps/ctrlProp149.xml"/><Relationship Id="rId109" Type="http://schemas.openxmlformats.org/officeDocument/2006/relationships/ctrlProp" Target="../ctrlProps/ctrlProp219.xml"/><Relationship Id="rId34" Type="http://schemas.openxmlformats.org/officeDocument/2006/relationships/ctrlProp" Target="../ctrlProps/ctrlProp144.xml"/><Relationship Id="rId50" Type="http://schemas.openxmlformats.org/officeDocument/2006/relationships/ctrlProp" Target="../ctrlProps/ctrlProp160.xml"/><Relationship Id="rId55" Type="http://schemas.openxmlformats.org/officeDocument/2006/relationships/ctrlProp" Target="../ctrlProps/ctrlProp165.xml"/><Relationship Id="rId76" Type="http://schemas.openxmlformats.org/officeDocument/2006/relationships/ctrlProp" Target="../ctrlProps/ctrlProp186.xml"/><Relationship Id="rId97" Type="http://schemas.openxmlformats.org/officeDocument/2006/relationships/ctrlProp" Target="../ctrlProps/ctrlProp207.xml"/><Relationship Id="rId104" Type="http://schemas.openxmlformats.org/officeDocument/2006/relationships/ctrlProp" Target="../ctrlProps/ctrlProp214.xml"/><Relationship Id="rId120" Type="http://schemas.openxmlformats.org/officeDocument/2006/relationships/ctrlProp" Target="../ctrlProps/ctrlProp230.xml"/><Relationship Id="rId125" Type="http://schemas.openxmlformats.org/officeDocument/2006/relationships/ctrlProp" Target="../ctrlProps/ctrlProp235.xml"/><Relationship Id="rId141" Type="http://schemas.openxmlformats.org/officeDocument/2006/relationships/ctrlProp" Target="../ctrlProps/ctrlProp251.xml"/><Relationship Id="rId7" Type="http://schemas.openxmlformats.org/officeDocument/2006/relationships/ctrlProp" Target="../ctrlProps/ctrlProp117.xml"/><Relationship Id="rId71" Type="http://schemas.openxmlformats.org/officeDocument/2006/relationships/ctrlProp" Target="../ctrlProps/ctrlProp181.xml"/><Relationship Id="rId92" Type="http://schemas.openxmlformats.org/officeDocument/2006/relationships/ctrlProp" Target="../ctrlProps/ctrlProp202.xml"/><Relationship Id="rId2" Type="http://schemas.openxmlformats.org/officeDocument/2006/relationships/vmlDrawing" Target="../drawings/vmlDrawing4.vml"/><Relationship Id="rId29" Type="http://schemas.openxmlformats.org/officeDocument/2006/relationships/ctrlProp" Target="../ctrlProps/ctrlProp139.xml"/><Relationship Id="rId24" Type="http://schemas.openxmlformats.org/officeDocument/2006/relationships/ctrlProp" Target="../ctrlProps/ctrlProp134.xml"/><Relationship Id="rId40" Type="http://schemas.openxmlformats.org/officeDocument/2006/relationships/ctrlProp" Target="../ctrlProps/ctrlProp150.xml"/><Relationship Id="rId45" Type="http://schemas.openxmlformats.org/officeDocument/2006/relationships/ctrlProp" Target="../ctrlProps/ctrlProp155.xml"/><Relationship Id="rId66" Type="http://schemas.openxmlformats.org/officeDocument/2006/relationships/ctrlProp" Target="../ctrlProps/ctrlProp176.xml"/><Relationship Id="rId87" Type="http://schemas.openxmlformats.org/officeDocument/2006/relationships/ctrlProp" Target="../ctrlProps/ctrlProp197.xml"/><Relationship Id="rId110" Type="http://schemas.openxmlformats.org/officeDocument/2006/relationships/ctrlProp" Target="../ctrlProps/ctrlProp220.xml"/><Relationship Id="rId115" Type="http://schemas.openxmlformats.org/officeDocument/2006/relationships/ctrlProp" Target="../ctrlProps/ctrlProp225.xml"/><Relationship Id="rId131" Type="http://schemas.openxmlformats.org/officeDocument/2006/relationships/ctrlProp" Target="../ctrlProps/ctrlProp241.xml"/><Relationship Id="rId136" Type="http://schemas.openxmlformats.org/officeDocument/2006/relationships/ctrlProp" Target="../ctrlProps/ctrlProp246.xml"/><Relationship Id="rId61" Type="http://schemas.openxmlformats.org/officeDocument/2006/relationships/ctrlProp" Target="../ctrlProps/ctrlProp171.xml"/><Relationship Id="rId82" Type="http://schemas.openxmlformats.org/officeDocument/2006/relationships/ctrlProp" Target="../ctrlProps/ctrlProp192.xml"/><Relationship Id="rId19" Type="http://schemas.openxmlformats.org/officeDocument/2006/relationships/ctrlProp" Target="../ctrlProps/ctrlProp129.xml"/><Relationship Id="rId14" Type="http://schemas.openxmlformats.org/officeDocument/2006/relationships/ctrlProp" Target="../ctrlProps/ctrlProp124.xml"/><Relationship Id="rId30" Type="http://schemas.openxmlformats.org/officeDocument/2006/relationships/ctrlProp" Target="../ctrlProps/ctrlProp140.xml"/><Relationship Id="rId35" Type="http://schemas.openxmlformats.org/officeDocument/2006/relationships/ctrlProp" Target="../ctrlProps/ctrlProp145.xml"/><Relationship Id="rId56" Type="http://schemas.openxmlformats.org/officeDocument/2006/relationships/ctrlProp" Target="../ctrlProps/ctrlProp166.xml"/><Relationship Id="rId77" Type="http://schemas.openxmlformats.org/officeDocument/2006/relationships/ctrlProp" Target="../ctrlProps/ctrlProp187.xml"/><Relationship Id="rId100" Type="http://schemas.openxmlformats.org/officeDocument/2006/relationships/ctrlProp" Target="../ctrlProps/ctrlProp210.xml"/><Relationship Id="rId105" Type="http://schemas.openxmlformats.org/officeDocument/2006/relationships/ctrlProp" Target="../ctrlProps/ctrlProp215.xml"/><Relationship Id="rId126" Type="http://schemas.openxmlformats.org/officeDocument/2006/relationships/ctrlProp" Target="../ctrlProps/ctrlProp236.xml"/><Relationship Id="rId8" Type="http://schemas.openxmlformats.org/officeDocument/2006/relationships/ctrlProp" Target="../ctrlProps/ctrlProp118.xml"/><Relationship Id="rId51" Type="http://schemas.openxmlformats.org/officeDocument/2006/relationships/ctrlProp" Target="../ctrlProps/ctrlProp161.xml"/><Relationship Id="rId72" Type="http://schemas.openxmlformats.org/officeDocument/2006/relationships/ctrlProp" Target="../ctrlProps/ctrlProp182.xml"/><Relationship Id="rId93" Type="http://schemas.openxmlformats.org/officeDocument/2006/relationships/ctrlProp" Target="../ctrlProps/ctrlProp203.xml"/><Relationship Id="rId98" Type="http://schemas.openxmlformats.org/officeDocument/2006/relationships/ctrlProp" Target="../ctrlProps/ctrlProp208.xml"/><Relationship Id="rId121" Type="http://schemas.openxmlformats.org/officeDocument/2006/relationships/ctrlProp" Target="../ctrlProps/ctrlProp231.xml"/><Relationship Id="rId142" Type="http://schemas.openxmlformats.org/officeDocument/2006/relationships/ctrlProp" Target="../ctrlProps/ctrlProp252.xml"/><Relationship Id="rId3" Type="http://schemas.openxmlformats.org/officeDocument/2006/relationships/ctrlProp" Target="../ctrlProps/ctrlProp113.xml"/><Relationship Id="rId25" Type="http://schemas.openxmlformats.org/officeDocument/2006/relationships/ctrlProp" Target="../ctrlProps/ctrlProp135.xml"/><Relationship Id="rId46" Type="http://schemas.openxmlformats.org/officeDocument/2006/relationships/ctrlProp" Target="../ctrlProps/ctrlProp156.xml"/><Relationship Id="rId67" Type="http://schemas.openxmlformats.org/officeDocument/2006/relationships/ctrlProp" Target="../ctrlProps/ctrlProp177.xml"/><Relationship Id="rId116" Type="http://schemas.openxmlformats.org/officeDocument/2006/relationships/ctrlProp" Target="../ctrlProps/ctrlProp226.xml"/><Relationship Id="rId137" Type="http://schemas.openxmlformats.org/officeDocument/2006/relationships/ctrlProp" Target="../ctrlProps/ctrlProp247.xml"/><Relationship Id="rId20" Type="http://schemas.openxmlformats.org/officeDocument/2006/relationships/ctrlProp" Target="../ctrlProps/ctrlProp130.xml"/><Relationship Id="rId41" Type="http://schemas.openxmlformats.org/officeDocument/2006/relationships/ctrlProp" Target="../ctrlProps/ctrlProp151.xml"/><Relationship Id="rId62" Type="http://schemas.openxmlformats.org/officeDocument/2006/relationships/ctrlProp" Target="../ctrlProps/ctrlProp172.xml"/><Relationship Id="rId83" Type="http://schemas.openxmlformats.org/officeDocument/2006/relationships/ctrlProp" Target="../ctrlProps/ctrlProp193.xml"/><Relationship Id="rId88" Type="http://schemas.openxmlformats.org/officeDocument/2006/relationships/ctrlProp" Target="../ctrlProps/ctrlProp198.xml"/><Relationship Id="rId111" Type="http://schemas.openxmlformats.org/officeDocument/2006/relationships/ctrlProp" Target="../ctrlProps/ctrlProp221.xml"/><Relationship Id="rId132" Type="http://schemas.openxmlformats.org/officeDocument/2006/relationships/ctrlProp" Target="../ctrlProps/ctrlProp242.xml"/><Relationship Id="rId15" Type="http://schemas.openxmlformats.org/officeDocument/2006/relationships/ctrlProp" Target="../ctrlProps/ctrlProp125.xml"/><Relationship Id="rId36" Type="http://schemas.openxmlformats.org/officeDocument/2006/relationships/ctrlProp" Target="../ctrlProps/ctrlProp146.xml"/><Relationship Id="rId57" Type="http://schemas.openxmlformats.org/officeDocument/2006/relationships/ctrlProp" Target="../ctrlProps/ctrlProp167.xml"/><Relationship Id="rId106" Type="http://schemas.openxmlformats.org/officeDocument/2006/relationships/ctrlProp" Target="../ctrlProps/ctrlProp216.xml"/><Relationship Id="rId127" Type="http://schemas.openxmlformats.org/officeDocument/2006/relationships/ctrlProp" Target="../ctrlProps/ctrlProp237.xml"/><Relationship Id="rId10" Type="http://schemas.openxmlformats.org/officeDocument/2006/relationships/ctrlProp" Target="../ctrlProps/ctrlProp120.xml"/><Relationship Id="rId31" Type="http://schemas.openxmlformats.org/officeDocument/2006/relationships/ctrlProp" Target="../ctrlProps/ctrlProp141.xml"/><Relationship Id="rId52" Type="http://schemas.openxmlformats.org/officeDocument/2006/relationships/ctrlProp" Target="../ctrlProps/ctrlProp162.xml"/><Relationship Id="rId73" Type="http://schemas.openxmlformats.org/officeDocument/2006/relationships/ctrlProp" Target="../ctrlProps/ctrlProp183.xml"/><Relationship Id="rId78" Type="http://schemas.openxmlformats.org/officeDocument/2006/relationships/ctrlProp" Target="../ctrlProps/ctrlProp188.xml"/><Relationship Id="rId94" Type="http://schemas.openxmlformats.org/officeDocument/2006/relationships/ctrlProp" Target="../ctrlProps/ctrlProp204.xml"/><Relationship Id="rId99" Type="http://schemas.openxmlformats.org/officeDocument/2006/relationships/ctrlProp" Target="../ctrlProps/ctrlProp209.xml"/><Relationship Id="rId101" Type="http://schemas.openxmlformats.org/officeDocument/2006/relationships/ctrlProp" Target="../ctrlProps/ctrlProp211.xml"/><Relationship Id="rId122" Type="http://schemas.openxmlformats.org/officeDocument/2006/relationships/ctrlProp" Target="../ctrlProps/ctrlProp232.xml"/><Relationship Id="rId143" Type="http://schemas.openxmlformats.org/officeDocument/2006/relationships/ctrlProp" Target="../ctrlProps/ctrlProp253.xml"/><Relationship Id="rId4" Type="http://schemas.openxmlformats.org/officeDocument/2006/relationships/ctrlProp" Target="../ctrlProps/ctrlProp114.xml"/><Relationship Id="rId9" Type="http://schemas.openxmlformats.org/officeDocument/2006/relationships/ctrlProp" Target="../ctrlProps/ctrlProp119.xml"/><Relationship Id="rId26" Type="http://schemas.openxmlformats.org/officeDocument/2006/relationships/ctrlProp" Target="../ctrlProps/ctrlProp136.xml"/><Relationship Id="rId47" Type="http://schemas.openxmlformats.org/officeDocument/2006/relationships/ctrlProp" Target="../ctrlProps/ctrlProp157.xml"/><Relationship Id="rId68" Type="http://schemas.openxmlformats.org/officeDocument/2006/relationships/ctrlProp" Target="../ctrlProps/ctrlProp178.xml"/><Relationship Id="rId89" Type="http://schemas.openxmlformats.org/officeDocument/2006/relationships/ctrlProp" Target="../ctrlProps/ctrlProp199.xml"/><Relationship Id="rId112" Type="http://schemas.openxmlformats.org/officeDocument/2006/relationships/ctrlProp" Target="../ctrlProps/ctrlProp222.xml"/><Relationship Id="rId133" Type="http://schemas.openxmlformats.org/officeDocument/2006/relationships/ctrlProp" Target="../ctrlProps/ctrlProp243.xml"/><Relationship Id="rId16" Type="http://schemas.openxmlformats.org/officeDocument/2006/relationships/ctrlProp" Target="../ctrlProps/ctrlProp12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4.bin"/><Relationship Id="rId5" Type="http://schemas.openxmlformats.org/officeDocument/2006/relationships/ctrlProp" Target="../ctrlProps/ctrlProp255.xml"/><Relationship Id="rId4" Type="http://schemas.openxmlformats.org/officeDocument/2006/relationships/ctrlProp" Target="../ctrlProps/ctrlProp254.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56.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openxmlformats.org/officeDocument/2006/relationships/ctrlProp" Target="../ctrlProps/ctrlProp258.xml"/><Relationship Id="rId4" Type="http://schemas.openxmlformats.org/officeDocument/2006/relationships/ctrlProp" Target="../ctrlProps/ctrlProp25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7.bin"/><Relationship Id="rId5" Type="http://schemas.openxmlformats.org/officeDocument/2006/relationships/ctrlProp" Target="../ctrlProps/ctrlProp260.xml"/><Relationship Id="rId4" Type="http://schemas.openxmlformats.org/officeDocument/2006/relationships/ctrlProp" Target="../ctrlProps/ctrlProp25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8.bin"/><Relationship Id="rId5" Type="http://schemas.openxmlformats.org/officeDocument/2006/relationships/ctrlProp" Target="../ctrlProps/ctrlProp262.xml"/><Relationship Id="rId4" Type="http://schemas.openxmlformats.org/officeDocument/2006/relationships/ctrlProp" Target="../ctrlProps/ctrlProp261.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9.bin"/><Relationship Id="rId5" Type="http://schemas.openxmlformats.org/officeDocument/2006/relationships/ctrlProp" Target="../ctrlProps/ctrlProp264.xml"/><Relationship Id="rId4" Type="http://schemas.openxmlformats.org/officeDocument/2006/relationships/ctrlProp" Target="../ctrlProps/ctrlProp263.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0.bin"/><Relationship Id="rId5" Type="http://schemas.openxmlformats.org/officeDocument/2006/relationships/ctrlProp" Target="../ctrlProps/ctrlProp266.xml"/><Relationship Id="rId4" Type="http://schemas.openxmlformats.org/officeDocument/2006/relationships/ctrlProp" Target="../ctrlProps/ctrlProp265.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1.bin"/><Relationship Id="rId5" Type="http://schemas.openxmlformats.org/officeDocument/2006/relationships/ctrlProp" Target="../ctrlProps/ctrlProp268.xml"/><Relationship Id="rId4" Type="http://schemas.openxmlformats.org/officeDocument/2006/relationships/ctrlProp" Target="../ctrlProps/ctrlProp267.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2.bin"/><Relationship Id="rId5" Type="http://schemas.openxmlformats.org/officeDocument/2006/relationships/ctrlProp" Target="../ctrlProps/ctrlProp270.xml"/><Relationship Id="rId4" Type="http://schemas.openxmlformats.org/officeDocument/2006/relationships/ctrlProp" Target="../ctrlProps/ctrlProp26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3.bin"/><Relationship Id="rId5" Type="http://schemas.openxmlformats.org/officeDocument/2006/relationships/ctrlProp" Target="../ctrlProps/ctrlProp272.xml"/><Relationship Id="rId4" Type="http://schemas.openxmlformats.org/officeDocument/2006/relationships/ctrlProp" Target="../ctrlProps/ctrlProp271.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4.bin"/><Relationship Id="rId5" Type="http://schemas.openxmlformats.org/officeDocument/2006/relationships/ctrlProp" Target="../ctrlProps/ctrlProp274.xml"/><Relationship Id="rId4" Type="http://schemas.openxmlformats.org/officeDocument/2006/relationships/ctrlProp" Target="../ctrlProps/ctrlProp27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15.bin"/><Relationship Id="rId5" Type="http://schemas.openxmlformats.org/officeDocument/2006/relationships/ctrlProp" Target="../ctrlProps/ctrlProp276.xml"/><Relationship Id="rId4" Type="http://schemas.openxmlformats.org/officeDocument/2006/relationships/ctrlProp" Target="../ctrlProps/ctrlProp275.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8.xml"/><Relationship Id="rId1" Type="http://schemas.openxmlformats.org/officeDocument/2006/relationships/printerSettings" Target="../printerSettings/printerSettings16.bin"/><Relationship Id="rId5" Type="http://schemas.openxmlformats.org/officeDocument/2006/relationships/ctrlProp" Target="../ctrlProps/ctrlProp278.xml"/><Relationship Id="rId4" Type="http://schemas.openxmlformats.org/officeDocument/2006/relationships/ctrlProp" Target="../ctrlProps/ctrlProp277.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9.xml"/><Relationship Id="rId1" Type="http://schemas.openxmlformats.org/officeDocument/2006/relationships/printerSettings" Target="../printerSettings/printerSettings17.bin"/><Relationship Id="rId5" Type="http://schemas.openxmlformats.org/officeDocument/2006/relationships/ctrlProp" Target="../ctrlProps/ctrlProp280.xml"/><Relationship Id="rId4" Type="http://schemas.openxmlformats.org/officeDocument/2006/relationships/ctrlProp" Target="../ctrlProps/ctrlProp279.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0.xml"/><Relationship Id="rId1" Type="http://schemas.openxmlformats.org/officeDocument/2006/relationships/printerSettings" Target="../printerSettings/printerSettings18.bin"/><Relationship Id="rId5" Type="http://schemas.openxmlformats.org/officeDocument/2006/relationships/ctrlProp" Target="../ctrlProps/ctrlProp282.xml"/><Relationship Id="rId4" Type="http://schemas.openxmlformats.org/officeDocument/2006/relationships/ctrlProp" Target="../ctrlProps/ctrlProp281.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1.xml"/><Relationship Id="rId1" Type="http://schemas.openxmlformats.org/officeDocument/2006/relationships/printerSettings" Target="../printerSettings/printerSettings19.bin"/><Relationship Id="rId5" Type="http://schemas.openxmlformats.org/officeDocument/2006/relationships/ctrlProp" Target="../ctrlProps/ctrlProp284.xml"/><Relationship Id="rId4" Type="http://schemas.openxmlformats.org/officeDocument/2006/relationships/ctrlProp" Target="../ctrlProps/ctrlProp283.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2.xml"/><Relationship Id="rId1" Type="http://schemas.openxmlformats.org/officeDocument/2006/relationships/printerSettings" Target="../printerSettings/printerSettings20.bin"/><Relationship Id="rId5" Type="http://schemas.openxmlformats.org/officeDocument/2006/relationships/ctrlProp" Target="../ctrlProps/ctrlProp286.xml"/><Relationship Id="rId4" Type="http://schemas.openxmlformats.org/officeDocument/2006/relationships/ctrlProp" Target="../ctrlProps/ctrlProp285.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3.xml"/><Relationship Id="rId1" Type="http://schemas.openxmlformats.org/officeDocument/2006/relationships/printerSettings" Target="../printerSettings/printerSettings21.bin"/><Relationship Id="rId5" Type="http://schemas.openxmlformats.org/officeDocument/2006/relationships/ctrlProp" Target="../ctrlProps/ctrlProp288.xml"/><Relationship Id="rId4" Type="http://schemas.openxmlformats.org/officeDocument/2006/relationships/ctrlProp" Target="../ctrlProps/ctrlProp287.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4.xml"/><Relationship Id="rId1" Type="http://schemas.openxmlformats.org/officeDocument/2006/relationships/printerSettings" Target="../printerSettings/printerSettings22.bin"/><Relationship Id="rId5" Type="http://schemas.openxmlformats.org/officeDocument/2006/relationships/ctrlProp" Target="../ctrlProps/ctrlProp290.xml"/><Relationship Id="rId4" Type="http://schemas.openxmlformats.org/officeDocument/2006/relationships/ctrlProp" Target="../ctrlProps/ctrlProp28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5.xml"/><Relationship Id="rId1" Type="http://schemas.openxmlformats.org/officeDocument/2006/relationships/printerSettings" Target="../printerSettings/printerSettings23.bin"/><Relationship Id="rId5" Type="http://schemas.openxmlformats.org/officeDocument/2006/relationships/ctrlProp" Target="../ctrlProps/ctrlProp292.xml"/><Relationship Id="rId4" Type="http://schemas.openxmlformats.org/officeDocument/2006/relationships/ctrlProp" Target="../ctrlProps/ctrlProp291.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6.xml"/><Relationship Id="rId1" Type="http://schemas.openxmlformats.org/officeDocument/2006/relationships/printerSettings" Target="../printerSettings/printerSettings24.bin"/><Relationship Id="rId5" Type="http://schemas.openxmlformats.org/officeDocument/2006/relationships/ctrlProp" Target="../ctrlProps/ctrlProp294.xml"/><Relationship Id="rId4" Type="http://schemas.openxmlformats.org/officeDocument/2006/relationships/ctrlProp" Target="../ctrlProps/ctrlProp293.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7.xml"/><Relationship Id="rId1" Type="http://schemas.openxmlformats.org/officeDocument/2006/relationships/printerSettings" Target="../printerSettings/printerSettings25.bin"/><Relationship Id="rId5" Type="http://schemas.openxmlformats.org/officeDocument/2006/relationships/ctrlProp" Target="../ctrlProps/ctrlProp296.xml"/><Relationship Id="rId4" Type="http://schemas.openxmlformats.org/officeDocument/2006/relationships/ctrlProp" Target="../ctrlProps/ctrlProp295.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8.xml"/><Relationship Id="rId1" Type="http://schemas.openxmlformats.org/officeDocument/2006/relationships/printerSettings" Target="../printerSettings/printerSettings26.bin"/><Relationship Id="rId5" Type="http://schemas.openxmlformats.org/officeDocument/2006/relationships/ctrlProp" Target="../ctrlProps/ctrlProp298.xml"/><Relationship Id="rId4" Type="http://schemas.openxmlformats.org/officeDocument/2006/relationships/ctrlProp" Target="../ctrlProps/ctrlProp297.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9.xml"/><Relationship Id="rId1" Type="http://schemas.openxmlformats.org/officeDocument/2006/relationships/printerSettings" Target="../printerSettings/printerSettings27.bin"/><Relationship Id="rId5" Type="http://schemas.openxmlformats.org/officeDocument/2006/relationships/ctrlProp" Target="../ctrlProps/ctrlProp300.xml"/><Relationship Id="rId4" Type="http://schemas.openxmlformats.org/officeDocument/2006/relationships/ctrlProp" Target="../ctrlProps/ctrlProp299.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30.xml"/><Relationship Id="rId1" Type="http://schemas.openxmlformats.org/officeDocument/2006/relationships/printerSettings" Target="../printerSettings/printerSettings28.bin"/><Relationship Id="rId5" Type="http://schemas.openxmlformats.org/officeDocument/2006/relationships/ctrlProp" Target="../ctrlProps/ctrlProp302.xml"/><Relationship Id="rId4" Type="http://schemas.openxmlformats.org/officeDocument/2006/relationships/ctrlProp" Target="../ctrlProps/ctrlProp301.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1.xml"/><Relationship Id="rId1" Type="http://schemas.openxmlformats.org/officeDocument/2006/relationships/printerSettings" Target="../printerSettings/printerSettings29.bin"/><Relationship Id="rId5" Type="http://schemas.openxmlformats.org/officeDocument/2006/relationships/ctrlProp" Target="../ctrlProps/ctrlProp304.xml"/><Relationship Id="rId4" Type="http://schemas.openxmlformats.org/officeDocument/2006/relationships/ctrlProp" Target="../ctrlProps/ctrlProp303.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2.xml"/><Relationship Id="rId1" Type="http://schemas.openxmlformats.org/officeDocument/2006/relationships/printerSettings" Target="../printerSettings/printerSettings30.bin"/><Relationship Id="rId5" Type="http://schemas.openxmlformats.org/officeDocument/2006/relationships/ctrlProp" Target="../ctrlProps/ctrlProp306.xml"/><Relationship Id="rId4" Type="http://schemas.openxmlformats.org/officeDocument/2006/relationships/ctrlProp" Target="../ctrlProps/ctrlProp305.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3.xml"/><Relationship Id="rId1" Type="http://schemas.openxmlformats.org/officeDocument/2006/relationships/printerSettings" Target="../printerSettings/printerSettings31.bin"/><Relationship Id="rId5" Type="http://schemas.openxmlformats.org/officeDocument/2006/relationships/ctrlProp" Target="../ctrlProps/ctrlProp308.xml"/><Relationship Id="rId4" Type="http://schemas.openxmlformats.org/officeDocument/2006/relationships/ctrlProp" Target="../ctrlProps/ctrlProp307.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4.xml"/><Relationship Id="rId1" Type="http://schemas.openxmlformats.org/officeDocument/2006/relationships/printerSettings" Target="../printerSettings/printerSettings32.bin"/><Relationship Id="rId5" Type="http://schemas.openxmlformats.org/officeDocument/2006/relationships/ctrlProp" Target="../ctrlProps/ctrlProp310.xml"/><Relationship Id="rId4" Type="http://schemas.openxmlformats.org/officeDocument/2006/relationships/ctrlProp" Target="../ctrlProps/ctrlProp309.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5.xml"/><Relationship Id="rId1" Type="http://schemas.openxmlformats.org/officeDocument/2006/relationships/printerSettings" Target="../printerSettings/printerSettings33.bin"/><Relationship Id="rId5" Type="http://schemas.openxmlformats.org/officeDocument/2006/relationships/ctrlProp" Target="../ctrlProps/ctrlProp312.xml"/><Relationship Id="rId4" Type="http://schemas.openxmlformats.org/officeDocument/2006/relationships/ctrlProp" Target="../ctrlProps/ctrlProp311.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6.xml"/><Relationship Id="rId1" Type="http://schemas.openxmlformats.org/officeDocument/2006/relationships/printerSettings" Target="../printerSettings/printerSettings34.bin"/><Relationship Id="rId5" Type="http://schemas.openxmlformats.org/officeDocument/2006/relationships/ctrlProp" Target="../ctrlProps/ctrlProp314.xml"/><Relationship Id="rId4" Type="http://schemas.openxmlformats.org/officeDocument/2006/relationships/ctrlProp" Target="../ctrlProps/ctrlProp313.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7.xml"/><Relationship Id="rId1" Type="http://schemas.openxmlformats.org/officeDocument/2006/relationships/printerSettings" Target="../printerSettings/printerSettings35.bin"/><Relationship Id="rId5" Type="http://schemas.openxmlformats.org/officeDocument/2006/relationships/ctrlProp" Target="../ctrlProps/ctrlProp316.xml"/><Relationship Id="rId4" Type="http://schemas.openxmlformats.org/officeDocument/2006/relationships/ctrlProp" Target="../ctrlProps/ctrlProp315.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38.xml"/><Relationship Id="rId1" Type="http://schemas.openxmlformats.org/officeDocument/2006/relationships/printerSettings" Target="../printerSettings/printerSettings36.bin"/><Relationship Id="rId5" Type="http://schemas.openxmlformats.org/officeDocument/2006/relationships/ctrlProp" Target="../ctrlProps/ctrlProp318.xml"/><Relationship Id="rId4" Type="http://schemas.openxmlformats.org/officeDocument/2006/relationships/ctrlProp" Target="../ctrlProps/ctrlProp317.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39.xml"/><Relationship Id="rId1" Type="http://schemas.openxmlformats.org/officeDocument/2006/relationships/printerSettings" Target="../printerSettings/printerSettings37.bin"/><Relationship Id="rId5" Type="http://schemas.openxmlformats.org/officeDocument/2006/relationships/ctrlProp" Target="../ctrlProps/ctrlProp320.xml"/><Relationship Id="rId4" Type="http://schemas.openxmlformats.org/officeDocument/2006/relationships/ctrlProp" Target="../ctrlProps/ctrlProp319.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40.xml"/><Relationship Id="rId1" Type="http://schemas.openxmlformats.org/officeDocument/2006/relationships/printerSettings" Target="../printerSettings/printerSettings38.bin"/><Relationship Id="rId5" Type="http://schemas.openxmlformats.org/officeDocument/2006/relationships/ctrlProp" Target="../ctrlProps/ctrlProp322.xml"/><Relationship Id="rId4" Type="http://schemas.openxmlformats.org/officeDocument/2006/relationships/ctrlProp" Target="../ctrlProps/ctrlProp321.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41.xml"/><Relationship Id="rId1" Type="http://schemas.openxmlformats.org/officeDocument/2006/relationships/printerSettings" Target="../printerSettings/printerSettings39.bin"/><Relationship Id="rId5" Type="http://schemas.openxmlformats.org/officeDocument/2006/relationships/ctrlProp" Target="../ctrlProps/ctrlProp324.xml"/><Relationship Id="rId4" Type="http://schemas.openxmlformats.org/officeDocument/2006/relationships/ctrlProp" Target="../ctrlProps/ctrlProp323.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42.xml"/><Relationship Id="rId1" Type="http://schemas.openxmlformats.org/officeDocument/2006/relationships/printerSettings" Target="../printerSettings/printerSettings40.bin"/><Relationship Id="rId5" Type="http://schemas.openxmlformats.org/officeDocument/2006/relationships/ctrlProp" Target="../ctrlProps/ctrlProp326.xml"/><Relationship Id="rId4" Type="http://schemas.openxmlformats.org/officeDocument/2006/relationships/ctrlProp" Target="../ctrlProps/ctrlProp325.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43.xml"/><Relationship Id="rId1" Type="http://schemas.openxmlformats.org/officeDocument/2006/relationships/printerSettings" Target="../printerSettings/printerSettings41.bin"/><Relationship Id="rId5" Type="http://schemas.openxmlformats.org/officeDocument/2006/relationships/ctrlProp" Target="../ctrlProps/ctrlProp328.xml"/><Relationship Id="rId4" Type="http://schemas.openxmlformats.org/officeDocument/2006/relationships/ctrlProp" Target="../ctrlProps/ctrlProp327.xm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44.xml"/><Relationship Id="rId1" Type="http://schemas.openxmlformats.org/officeDocument/2006/relationships/printerSettings" Target="../printerSettings/printerSettings42.bin"/><Relationship Id="rId5" Type="http://schemas.openxmlformats.org/officeDocument/2006/relationships/ctrlProp" Target="../ctrlProps/ctrlProp330.xml"/><Relationship Id="rId4" Type="http://schemas.openxmlformats.org/officeDocument/2006/relationships/ctrlProp" Target="../ctrlProps/ctrlProp329.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45.xml"/><Relationship Id="rId1" Type="http://schemas.openxmlformats.org/officeDocument/2006/relationships/printerSettings" Target="../printerSettings/printerSettings43.bin"/><Relationship Id="rId5" Type="http://schemas.openxmlformats.org/officeDocument/2006/relationships/ctrlProp" Target="../ctrlProps/ctrlProp332.xml"/><Relationship Id="rId4" Type="http://schemas.openxmlformats.org/officeDocument/2006/relationships/ctrlProp" Target="../ctrlProps/ctrlProp331.xm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46.xml"/><Relationship Id="rId1" Type="http://schemas.openxmlformats.org/officeDocument/2006/relationships/printerSettings" Target="../printerSettings/printerSettings44.bin"/><Relationship Id="rId5" Type="http://schemas.openxmlformats.org/officeDocument/2006/relationships/ctrlProp" Target="../ctrlProps/ctrlProp334.xml"/><Relationship Id="rId4" Type="http://schemas.openxmlformats.org/officeDocument/2006/relationships/ctrlProp" Target="../ctrlProps/ctrlProp333.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47.xml"/><Relationship Id="rId1" Type="http://schemas.openxmlformats.org/officeDocument/2006/relationships/printerSettings" Target="../printerSettings/printerSettings45.bin"/><Relationship Id="rId5" Type="http://schemas.openxmlformats.org/officeDocument/2006/relationships/ctrlProp" Target="../ctrlProps/ctrlProp336.xml"/><Relationship Id="rId4" Type="http://schemas.openxmlformats.org/officeDocument/2006/relationships/ctrlProp" Target="../ctrlProps/ctrlProp335.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48.xml"/><Relationship Id="rId1" Type="http://schemas.openxmlformats.org/officeDocument/2006/relationships/printerSettings" Target="../printerSettings/printerSettings46.bin"/><Relationship Id="rId5" Type="http://schemas.openxmlformats.org/officeDocument/2006/relationships/ctrlProp" Target="../ctrlProps/ctrlProp338.xml"/><Relationship Id="rId4" Type="http://schemas.openxmlformats.org/officeDocument/2006/relationships/ctrlProp" Target="../ctrlProps/ctrlProp337.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49.xml"/><Relationship Id="rId1" Type="http://schemas.openxmlformats.org/officeDocument/2006/relationships/printerSettings" Target="../printerSettings/printerSettings47.bin"/><Relationship Id="rId5" Type="http://schemas.openxmlformats.org/officeDocument/2006/relationships/ctrlProp" Target="../ctrlProps/ctrlProp340.xml"/><Relationship Id="rId4" Type="http://schemas.openxmlformats.org/officeDocument/2006/relationships/ctrlProp" Target="../ctrlProps/ctrlProp339.x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49.vml"/><Relationship Id="rId2" Type="http://schemas.openxmlformats.org/officeDocument/2006/relationships/drawing" Target="../drawings/drawing50.xml"/><Relationship Id="rId1" Type="http://schemas.openxmlformats.org/officeDocument/2006/relationships/printerSettings" Target="../printerSettings/printerSettings48.bin"/><Relationship Id="rId5" Type="http://schemas.openxmlformats.org/officeDocument/2006/relationships/ctrlProp" Target="../ctrlProps/ctrlProp342.xml"/><Relationship Id="rId4" Type="http://schemas.openxmlformats.org/officeDocument/2006/relationships/ctrlProp" Target="../ctrlProps/ctrlProp341.xm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50.vml"/><Relationship Id="rId2" Type="http://schemas.openxmlformats.org/officeDocument/2006/relationships/drawing" Target="../drawings/drawing51.xml"/><Relationship Id="rId1" Type="http://schemas.openxmlformats.org/officeDocument/2006/relationships/printerSettings" Target="../printerSettings/printerSettings49.bin"/><Relationship Id="rId5" Type="http://schemas.openxmlformats.org/officeDocument/2006/relationships/ctrlProp" Target="../ctrlProps/ctrlProp344.xml"/><Relationship Id="rId4" Type="http://schemas.openxmlformats.org/officeDocument/2006/relationships/ctrlProp" Target="../ctrlProps/ctrlProp343.xm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51.vml"/><Relationship Id="rId2" Type="http://schemas.openxmlformats.org/officeDocument/2006/relationships/drawing" Target="../drawings/drawing52.xml"/><Relationship Id="rId1" Type="http://schemas.openxmlformats.org/officeDocument/2006/relationships/printerSettings" Target="../printerSettings/printerSettings50.bin"/><Relationship Id="rId5" Type="http://schemas.openxmlformats.org/officeDocument/2006/relationships/ctrlProp" Target="../ctrlProps/ctrlProp346.xml"/><Relationship Id="rId4" Type="http://schemas.openxmlformats.org/officeDocument/2006/relationships/ctrlProp" Target="../ctrlProps/ctrlProp345.xm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52.vml"/><Relationship Id="rId2" Type="http://schemas.openxmlformats.org/officeDocument/2006/relationships/drawing" Target="../drawings/drawing53.xml"/><Relationship Id="rId1" Type="http://schemas.openxmlformats.org/officeDocument/2006/relationships/printerSettings" Target="../printerSettings/printerSettings51.bin"/><Relationship Id="rId5" Type="http://schemas.openxmlformats.org/officeDocument/2006/relationships/ctrlProp" Target="../ctrlProps/ctrlProp348.xml"/><Relationship Id="rId4" Type="http://schemas.openxmlformats.org/officeDocument/2006/relationships/ctrlProp" Target="../ctrlProps/ctrlProp347.xml"/></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662CD-7FEB-4062-B067-A1C5C17A4D35}">
  <sheetPr codeName="Sheet1">
    <pageSetUpPr fitToPage="1"/>
  </sheetPr>
  <dimension ref="A1:A14"/>
  <sheetViews>
    <sheetView showGridLines="0" workbookViewId="0"/>
  </sheetViews>
  <sheetFormatPr defaultRowHeight="17.399999999999999"/>
  <cols>
    <col min="1" max="2" width="11.69921875" customWidth="1"/>
    <col min="3" max="3" width="2.69921875" customWidth="1"/>
    <col min="4" max="5" width="11.69921875" customWidth="1"/>
    <col min="6" max="6" width="2.69921875" customWidth="1"/>
    <col min="7" max="8" width="11.69921875" customWidth="1"/>
  </cols>
  <sheetData>
    <row r="1" ht="31.05" customHeight="1"/>
    <row r="2" ht="31.05" customHeight="1"/>
    <row r="3" ht="28.05" customHeight="1"/>
    <row r="5" ht="25.05" customHeight="1"/>
    <row r="6" ht="25.05" customHeight="1"/>
    <row r="7" ht="25.05" customHeight="1"/>
    <row r="8" ht="25.05" customHeight="1"/>
    <row r="11" ht="28.05" customHeight="1"/>
    <row r="12" ht="28.05" customHeight="1"/>
    <row r="14" ht="17.399999999999999" customHeight="1"/>
  </sheetData>
  <phoneticPr fontId="6"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36DA6F-BF0E-4F95-A7DD-7F80175315CA}">
  <sheetPr codeName="Sheet2"/>
  <dimension ref="A1:X82"/>
  <sheetViews>
    <sheetView tabSelected="1" workbookViewId="0">
      <selection sqref="A1:F1"/>
    </sheetView>
  </sheetViews>
  <sheetFormatPr defaultRowHeight="17.399999999999999"/>
  <cols>
    <col min="1" max="1" width="6.69921875" customWidth="1"/>
    <col min="2" max="3" width="20.69921875" customWidth="1"/>
    <col min="4" max="4" width="14.69921875" customWidth="1"/>
    <col min="5" max="6" width="16.69921875" customWidth="1"/>
    <col min="14" max="15" width="16.69921875" customWidth="1"/>
    <col min="16" max="16" width="15.69921875" customWidth="1"/>
    <col min="17" max="17" width="17.69921875" customWidth="1"/>
    <col min="18" max="18" width="13.69921875" customWidth="1"/>
    <col min="19" max="19" width="16.69921875" customWidth="1"/>
    <col min="20" max="20" width="8.69921875" customWidth="1"/>
    <col min="21" max="21" width="10.69921875" customWidth="1"/>
    <col min="22" max="22" width="30.69921875" customWidth="1"/>
    <col min="23" max="23" width="9.69921875" customWidth="1"/>
    <col min="24" max="24" width="14.69921875" customWidth="1"/>
  </cols>
  <sheetData>
    <row r="1" spans="1:23" ht="20.399999999999999">
      <c r="A1" s="78" t="s">
        <v>0</v>
      </c>
      <c r="B1" s="79"/>
      <c r="C1" s="79"/>
      <c r="D1" s="79"/>
      <c r="E1" s="79"/>
      <c r="F1" s="79"/>
      <c r="G1" s="4" t="s">
        <v>3290</v>
      </c>
      <c r="T1" s="82" t="s">
        <v>80</v>
      </c>
      <c r="U1" s="82"/>
      <c r="V1" s="82"/>
      <c r="W1" s="82"/>
    </row>
    <row r="2" spans="1:23">
      <c r="H2" s="3" t="s">
        <v>1</v>
      </c>
      <c r="I2" s="79"/>
      <c r="J2" s="79"/>
      <c r="K2" s="79"/>
      <c r="L2" s="79"/>
    </row>
    <row r="3" spans="1:23">
      <c r="B3" s="3" t="s">
        <v>2</v>
      </c>
    </row>
    <row r="4" spans="1:23">
      <c r="A4" s="5" t="s">
        <v>4</v>
      </c>
      <c r="B4" t="s">
        <v>3</v>
      </c>
      <c r="C4" s="7"/>
      <c r="E4" s="3" t="s">
        <v>3246</v>
      </c>
      <c r="F4" s="83" t="str">
        <f>IFERROR(INDEX(학교정보!$F$2:$F$791,MATCH($C$4,학교정보!$E$2:$E$791,0)),"")</f>
        <v/>
      </c>
      <c r="G4" s="83"/>
      <c r="H4" s="83"/>
      <c r="T4" s="17" t="s">
        <v>81</v>
      </c>
      <c r="U4" s="17" t="s">
        <v>82</v>
      </c>
      <c r="V4" s="17" t="s">
        <v>83</v>
      </c>
      <c r="W4" s="17" t="s">
        <v>84</v>
      </c>
    </row>
    <row r="5" spans="1:23">
      <c r="A5" s="5" t="s">
        <v>6</v>
      </c>
      <c r="B5" t="s">
        <v>5</v>
      </c>
      <c r="C5" s="11"/>
      <c r="E5" s="3" t="s">
        <v>3247</v>
      </c>
      <c r="F5" s="83" t="str">
        <f>IFERROR(INDEX(학교정보!$G$2:$G$791,MATCH($C$4,학교정보!$E$2:$E$791,0)),"")</f>
        <v/>
      </c>
      <c r="G5" s="83"/>
      <c r="H5" s="83"/>
      <c r="T5" s="1"/>
      <c r="U5" s="1" t="str">
        <f>서식선택_출력!B5</f>
        <v>F-001</v>
      </c>
      <c r="V5" s="1" t="str">
        <f>서식선택_출력!C5</f>
        <v>교복선정위원회 구성 기안</v>
      </c>
      <c r="W5" s="1"/>
    </row>
    <row r="6" spans="1:23">
      <c r="A6" s="5" t="s">
        <v>8</v>
      </c>
      <c r="B6" t="s">
        <v>7</v>
      </c>
      <c r="C6" s="7"/>
      <c r="T6" s="1"/>
      <c r="U6" s="1" t="str">
        <f>서식선택_출력!B6</f>
        <v>F-002</v>
      </c>
      <c r="V6" s="1" t="str">
        <f>서식선택_출력!C6</f>
        <v>위원 수락 및 확인서</v>
      </c>
      <c r="W6" s="1"/>
    </row>
    <row r="7" spans="1:23">
      <c r="A7" s="5" t="s">
        <v>10</v>
      </c>
      <c r="B7" t="s">
        <v>9</v>
      </c>
      <c r="C7" s="7"/>
      <c r="T7" s="1"/>
      <c r="U7" s="1" t="str">
        <f>서식선택_출력!B7</f>
        <v>F-003</v>
      </c>
      <c r="V7" s="1" t="str">
        <f>서식선택_출력!C7</f>
        <v>위원 청렴 및 보안 서약서</v>
      </c>
      <c r="W7" s="1"/>
    </row>
    <row r="8" spans="1:23">
      <c r="A8" s="5" t="s">
        <v>12</v>
      </c>
      <c r="B8" t="s">
        <v>11</v>
      </c>
      <c r="C8" s="14"/>
      <c r="T8" s="1"/>
      <c r="U8" s="1" t="str">
        <f>서식선택_출력!B8</f>
        <v>F-004</v>
      </c>
      <c r="V8" s="1" t="str">
        <f>서식선택_출력!C8</f>
        <v>구매 추진 계획 수립</v>
      </c>
      <c r="W8" s="1"/>
    </row>
    <row r="9" spans="1:23">
      <c r="A9" s="5" t="s">
        <v>14</v>
      </c>
      <c r="B9" t="s">
        <v>13</v>
      </c>
      <c r="C9" s="7"/>
      <c r="T9" s="1"/>
      <c r="U9" s="1" t="str">
        <f>서식선택_출력!B9</f>
        <v>F-005</v>
      </c>
      <c r="V9" s="1" t="str">
        <f>서식선택_출력!C9</f>
        <v>구매 추진 계획안</v>
      </c>
      <c r="W9" s="1"/>
    </row>
    <row r="10" spans="1:23">
      <c r="A10" s="5" t="s">
        <v>15</v>
      </c>
      <c r="B10" t="s">
        <v>16</v>
      </c>
      <c r="C10" s="7"/>
      <c r="D10" s="5" t="s">
        <v>17</v>
      </c>
      <c r="E10" t="s">
        <v>18</v>
      </c>
      <c r="F10" s="7"/>
      <c r="T10" s="1"/>
      <c r="U10" s="1" t="str">
        <f>서식선택_출력!B10</f>
        <v>F-006</v>
      </c>
      <c r="V10" s="1" t="str">
        <f>서식선택_출력!C10</f>
        <v>학교운영위원회 심의(안)</v>
      </c>
      <c r="W10" s="1"/>
    </row>
    <row r="11" spans="1:23">
      <c r="B11" s="3" t="s">
        <v>19</v>
      </c>
      <c r="T11" s="1"/>
      <c r="U11" s="1" t="str">
        <f>서식선택_출력!B11</f>
        <v>F-007</v>
      </c>
      <c r="V11" s="1" t="str">
        <f>서식선택_출력!C11</f>
        <v>교복구매 구매 요청</v>
      </c>
      <c r="W11" s="1"/>
    </row>
    <row r="12" spans="1:23">
      <c r="A12" s="5" t="s">
        <v>21</v>
      </c>
      <c r="B12" t="s">
        <v>20</v>
      </c>
      <c r="C12" s="7"/>
      <c r="T12" s="1"/>
      <c r="U12" s="1" t="str">
        <f>서식선택_출력!B12</f>
        <v>F-008</v>
      </c>
      <c r="V12" s="1" t="str">
        <f>서식선택_출력!C12</f>
        <v>교복 사양서</v>
      </c>
      <c r="W12" s="1"/>
    </row>
    <row r="13" spans="1:23">
      <c r="A13" s="5" t="s">
        <v>23</v>
      </c>
      <c r="B13" t="s">
        <v>22</v>
      </c>
      <c r="C13" s="7"/>
      <c r="T13" s="1"/>
      <c r="U13" s="1" t="str">
        <f>서식선택_출력!B13</f>
        <v>F-009</v>
      </c>
      <c r="V13" s="1" t="str">
        <f>서식선택_출력!C13</f>
        <v>기초금액 및 계약방법 결정</v>
      </c>
      <c r="W13" s="1"/>
    </row>
    <row r="14" spans="1:23">
      <c r="A14" s="5" t="s">
        <v>25</v>
      </c>
      <c r="B14" t="s">
        <v>24</v>
      </c>
      <c r="C14" s="7"/>
      <c r="T14" s="1"/>
      <c r="U14" s="1" t="str">
        <f>서식선택_출력!B14</f>
        <v>F-010</v>
      </c>
      <c r="V14" s="1" t="str">
        <f>서식선택_출력!C14</f>
        <v>사전규격공개 기안문</v>
      </c>
      <c r="W14" s="1"/>
    </row>
    <row r="15" spans="1:23">
      <c r="A15" s="5" t="s">
        <v>27</v>
      </c>
      <c r="B15" t="s">
        <v>26</v>
      </c>
      <c r="C15" s="15"/>
      <c r="T15" s="1"/>
      <c r="U15" s="1" t="str">
        <f>서식선택_출력!B15</f>
        <v>F-011</v>
      </c>
      <c r="V15" s="1" t="str">
        <f>서식선택_출력!C15</f>
        <v>교복 학교주관구매 입찰 공고</v>
      </c>
      <c r="W15" s="1"/>
    </row>
    <row r="16" spans="1:23">
      <c r="A16" s="5" t="s">
        <v>29</v>
      </c>
      <c r="B16" t="s">
        <v>28</v>
      </c>
      <c r="C16" s="11"/>
      <c r="T16" s="1"/>
      <c r="U16" s="1" t="str">
        <f>서식선택_출력!B16</f>
        <v>F-012</v>
      </c>
      <c r="V16" s="1" t="str">
        <f>서식선택_출력!C16</f>
        <v>계약 특수조건</v>
      </c>
      <c r="W16" s="1"/>
    </row>
    <row r="17" spans="1:23">
      <c r="A17" s="5" t="s">
        <v>31</v>
      </c>
      <c r="B17" t="s">
        <v>30</v>
      </c>
      <c r="C17" s="14"/>
      <c r="T17" s="1"/>
      <c r="U17" s="1" t="str">
        <f>서식선택_출력!B17</f>
        <v>F-013</v>
      </c>
      <c r="V17" s="1" t="str">
        <f>서식선택_출력!C17</f>
        <v>교복 디자인 및 규격서</v>
      </c>
      <c r="W17" s="1"/>
    </row>
    <row r="18" spans="1:23">
      <c r="A18" s="5" t="s">
        <v>33</v>
      </c>
      <c r="B18" t="s">
        <v>32</v>
      </c>
      <c r="C18" s="16"/>
      <c r="T18" s="1"/>
      <c r="U18" s="1" t="str">
        <f>서식선택_출력!B18</f>
        <v>F-014</v>
      </c>
      <c r="V18" s="1" t="str">
        <f>서식선택_출력!C18</f>
        <v>제안서 평가항목 및 배점기준</v>
      </c>
      <c r="W18" s="1"/>
    </row>
    <row r="19" spans="1:23">
      <c r="T19" s="1"/>
      <c r="U19" s="1" t="str">
        <f>서식선택_출력!B19</f>
        <v>F-015</v>
      </c>
      <c r="V19" s="1" t="str">
        <f>서식선택_출력!C19</f>
        <v>정량적 평가</v>
      </c>
      <c r="W19" s="1"/>
    </row>
    <row r="20" spans="1:23">
      <c r="B20" s="3" t="s">
        <v>34</v>
      </c>
      <c r="T20" s="1"/>
      <c r="U20" s="1" t="str">
        <f>서식선택_출력!B20</f>
        <v>F-016</v>
      </c>
      <c r="V20" s="1" t="str">
        <f>서식선택_출력!C20</f>
        <v>정성적 평가</v>
      </c>
      <c r="W20" s="1"/>
    </row>
    <row r="21" spans="1:23">
      <c r="A21" s="5" t="s">
        <v>36</v>
      </c>
      <c r="B21" t="s">
        <v>35</v>
      </c>
      <c r="C21" s="7"/>
      <c r="T21" s="1"/>
      <c r="U21" s="1" t="str">
        <f>서식선택_출력!B21</f>
        <v>F-017</v>
      </c>
      <c r="V21" s="1" t="str">
        <f>서식선택_출력!C21</f>
        <v>제출서류 자기확인서</v>
      </c>
      <c r="W21" s="1"/>
    </row>
    <row r="22" spans="1:23">
      <c r="A22" s="5" t="s">
        <v>38</v>
      </c>
      <c r="B22" t="s">
        <v>37</v>
      </c>
      <c r="C22" s="7"/>
      <c r="T22" s="1"/>
      <c r="U22" s="1" t="str">
        <f>서식선택_출력!B22</f>
        <v>F-018</v>
      </c>
      <c r="V22" s="1" t="str">
        <f>서식선택_출력!C22</f>
        <v>정량적 평가 자기 평점표</v>
      </c>
      <c r="W22" s="1"/>
    </row>
    <row r="23" spans="1:23">
      <c r="A23" s="5" t="s">
        <v>40</v>
      </c>
      <c r="B23" t="s">
        <v>39</v>
      </c>
      <c r="C23" s="7"/>
      <c r="T23" s="1"/>
      <c r="U23" s="1" t="str">
        <f>서식선택_출력!B23</f>
        <v>F-019</v>
      </c>
      <c r="V23" s="1" t="str">
        <f>서식선택_출력!C23</f>
        <v>입찰참가신청서</v>
      </c>
      <c r="W23" s="1"/>
    </row>
    <row r="24" spans="1:23">
      <c r="A24" s="5" t="s">
        <v>42</v>
      </c>
      <c r="B24" t="s">
        <v>41</v>
      </c>
      <c r="C24" s="7"/>
      <c r="T24" s="1"/>
      <c r="U24" s="1" t="str">
        <f>서식선택_출력!B24</f>
        <v>F-020</v>
      </c>
      <c r="V24" s="1" t="str">
        <f>서식선택_출력!C24</f>
        <v>입찰 참가 신고서</v>
      </c>
      <c r="W24" s="1"/>
    </row>
    <row r="25" spans="1:23" ht="60" customHeight="1">
      <c r="A25" s="5" t="s">
        <v>44</v>
      </c>
      <c r="B25" t="s">
        <v>43</v>
      </c>
      <c r="C25" s="80"/>
      <c r="D25" s="81"/>
      <c r="E25" s="81"/>
      <c r="F25" s="81"/>
      <c r="T25" s="1"/>
      <c r="U25" s="1" t="str">
        <f>서식선택_출력!B25</f>
        <v>F-021</v>
      </c>
      <c r="V25" s="1" t="str">
        <f>서식선택_출력!C25</f>
        <v>교복 납품 제안서</v>
      </c>
      <c r="W25" s="1"/>
    </row>
    <row r="26" spans="1:23">
      <c r="T26" s="1"/>
      <c r="U26" s="1" t="str">
        <f>서식선택_출력!B26</f>
        <v>F-022</v>
      </c>
      <c r="V26" s="1" t="str">
        <f>서식선택_출력!C26</f>
        <v>교복 납품 실적표</v>
      </c>
      <c r="W26" s="1"/>
    </row>
    <row r="27" spans="1:23">
      <c r="B27" s="3" t="s">
        <v>45</v>
      </c>
      <c r="T27" s="1"/>
      <c r="U27" s="1" t="str">
        <f>서식선택_출력!B27</f>
        <v>F-023</v>
      </c>
      <c r="V27" s="1" t="str">
        <f>서식선택_출력!C27</f>
        <v>교복 제조 사양서</v>
      </c>
      <c r="W27" s="1"/>
    </row>
    <row r="28" spans="1:23">
      <c r="B28" s="3" t="s">
        <v>46</v>
      </c>
      <c r="C28" s="3" t="s">
        <v>47</v>
      </c>
      <c r="D28" s="3" t="s">
        <v>48</v>
      </c>
      <c r="E28" s="3" t="s">
        <v>49</v>
      </c>
      <c r="T28" s="1"/>
      <c r="U28" s="1" t="str">
        <f>서식선택_출력!B28</f>
        <v>F-024</v>
      </c>
      <c r="V28" s="1" t="str">
        <f>서식선택_출력!C28</f>
        <v>품목별 단가 비율표</v>
      </c>
      <c r="W28" s="1"/>
    </row>
    <row r="29" spans="1:23">
      <c r="B29" s="7"/>
      <c r="C29" s="7"/>
      <c r="D29" s="15"/>
      <c r="E29" s="8" t="str">
        <f t="shared" ref="E29:E38" si="0">IF(AND(B29&lt;&gt;"",C29&lt;&gt;"",D29&lt;&gt;""),C29*D29,"")</f>
        <v/>
      </c>
      <c r="T29" s="1"/>
      <c r="U29" s="1" t="str">
        <f>서식선택_출력!B29</f>
        <v>F-025</v>
      </c>
      <c r="V29" s="1" t="str">
        <f>서식선택_출력!C29</f>
        <v>교복 A/S 계획서</v>
      </c>
      <c r="W29" s="1"/>
    </row>
    <row r="30" spans="1:23">
      <c r="B30" s="7"/>
      <c r="C30" s="7"/>
      <c r="D30" s="15"/>
      <c r="E30" s="8" t="str">
        <f t="shared" si="0"/>
        <v/>
      </c>
      <c r="T30" s="1"/>
      <c r="U30" s="1" t="str">
        <f>서식선택_출력!B30</f>
        <v>F-026</v>
      </c>
      <c r="V30" s="1" t="str">
        <f>서식선택_출력!C30</f>
        <v>소비자 불만 처리 계획</v>
      </c>
      <c r="W30" s="1"/>
    </row>
    <row r="31" spans="1:23">
      <c r="B31" s="7"/>
      <c r="C31" s="7"/>
      <c r="D31" s="15"/>
      <c r="E31" s="8" t="str">
        <f t="shared" si="0"/>
        <v/>
      </c>
      <c r="T31" s="1"/>
      <c r="U31" s="1" t="str">
        <f>서식선택_출력!B31</f>
        <v>F-027</v>
      </c>
      <c r="V31" s="1" t="str">
        <f>서식선택_출력!C31</f>
        <v>위임장</v>
      </c>
      <c r="W31" s="1"/>
    </row>
    <row r="32" spans="1:23">
      <c r="B32" s="7"/>
      <c r="C32" s="7"/>
      <c r="D32" s="15"/>
      <c r="E32" s="8" t="str">
        <f t="shared" si="0"/>
        <v/>
      </c>
      <c r="T32" s="1"/>
      <c r="U32" s="1" t="str">
        <f>서식선택_출력!B32</f>
        <v>F-028</v>
      </c>
      <c r="V32" s="1" t="str">
        <f>서식선택_출력!C32</f>
        <v>서약서</v>
      </c>
      <c r="W32" s="1"/>
    </row>
    <row r="33" spans="2:24">
      <c r="B33" s="7"/>
      <c r="C33" s="7"/>
      <c r="D33" s="15"/>
      <c r="E33" s="8" t="str">
        <f t="shared" si="0"/>
        <v/>
      </c>
      <c r="T33" s="1"/>
      <c r="U33" s="1" t="str">
        <f>서식선택_출력!B33</f>
        <v>F-029</v>
      </c>
      <c r="V33" s="1" t="str">
        <f>서식선택_출력!C33</f>
        <v>개인정보제공 동의서</v>
      </c>
      <c r="W33" s="1"/>
    </row>
    <row r="34" spans="2:24">
      <c r="B34" s="7"/>
      <c r="C34" s="7"/>
      <c r="D34" s="15"/>
      <c r="E34" s="8" t="str">
        <f t="shared" si="0"/>
        <v/>
      </c>
      <c r="T34" s="1"/>
      <c r="U34" s="1" t="str">
        <f>서식선택_출력!B34</f>
        <v>F-030</v>
      </c>
      <c r="V34" s="1" t="str">
        <f>서식선택_출력!C34</f>
        <v>청렴계약 이행서약서</v>
      </c>
      <c r="W34" s="1"/>
    </row>
    <row r="35" spans="2:24">
      <c r="B35" s="7"/>
      <c r="C35" s="7"/>
      <c r="D35" s="15"/>
      <c r="E35" s="8" t="str">
        <f t="shared" si="0"/>
        <v/>
      </c>
      <c r="T35" s="1"/>
      <c r="U35" s="1" t="str">
        <f>서식선택_출력!B35</f>
        <v>F-031</v>
      </c>
      <c r="V35" s="1" t="str">
        <f>서식선택_출력!C35</f>
        <v>교복 품목별 금액표</v>
      </c>
      <c r="W35" s="1"/>
    </row>
    <row r="36" spans="2:24">
      <c r="B36" s="7"/>
      <c r="C36" s="7"/>
      <c r="D36" s="15"/>
      <c r="E36" s="8" t="str">
        <f t="shared" si="0"/>
        <v/>
      </c>
      <c r="T36" s="1"/>
      <c r="U36" s="1" t="str">
        <f>서식선택_출력!B36</f>
        <v>F-032</v>
      </c>
      <c r="V36" s="1" t="str">
        <f>서식선택_출력!C36</f>
        <v>제안서 접수 결과</v>
      </c>
      <c r="W36" s="1"/>
    </row>
    <row r="37" spans="2:24">
      <c r="B37" s="7"/>
      <c r="C37" s="7"/>
      <c r="D37" s="15"/>
      <c r="E37" s="8" t="str">
        <f t="shared" si="0"/>
        <v/>
      </c>
      <c r="T37" s="1"/>
      <c r="U37" s="1" t="str">
        <f>서식선택_출력!B37</f>
        <v>F-033</v>
      </c>
      <c r="V37" s="1" t="str">
        <f>서식선택_출력!C37</f>
        <v>제안서 접수대장</v>
      </c>
      <c r="W37" s="1"/>
    </row>
    <row r="38" spans="2:24">
      <c r="B38" s="7"/>
      <c r="C38" s="7"/>
      <c r="D38" s="15"/>
      <c r="E38" s="8" t="str">
        <f t="shared" si="0"/>
        <v/>
      </c>
      <c r="T38" s="1"/>
      <c r="U38" s="1" t="str">
        <f>서식선택_출력!B38</f>
        <v>F-034</v>
      </c>
      <c r="V38" s="1" t="str">
        <f>서식선택_출력!C38</f>
        <v>제안서 평가위원회 개최</v>
      </c>
      <c r="W38" s="1"/>
    </row>
    <row r="39" spans="2:24">
      <c r="B39" s="3" t="s">
        <v>50</v>
      </c>
      <c r="E39" s="9">
        <f>SUM(E29:E38)</f>
        <v>0</v>
      </c>
      <c r="T39" s="1"/>
      <c r="U39" s="1" t="str">
        <f>서식선택_출력!B39</f>
        <v>F-035</v>
      </c>
      <c r="V39" s="1" t="str">
        <f>서식선택_출력!C39</f>
        <v>제안서 정량평가 결과</v>
      </c>
      <c r="W39" s="1"/>
    </row>
    <row r="40" spans="2:24">
      <c r="T40" s="1"/>
      <c r="U40" s="1" t="str">
        <f>서식선택_출력!B40</f>
        <v>F-036</v>
      </c>
      <c r="V40" s="1" t="str">
        <f>서식선택_출력!C40</f>
        <v>제안서 평가 결과</v>
      </c>
      <c r="W40" s="1"/>
    </row>
    <row r="41" spans="2:24">
      <c r="T41" s="1"/>
      <c r="U41" s="1" t="str">
        <f>서식선택_출력!B41</f>
        <v>F-037</v>
      </c>
      <c r="V41" s="1" t="str">
        <f>서식선택_출력!C41</f>
        <v>평가위원회 참석 등록부</v>
      </c>
      <c r="W41" s="1"/>
    </row>
    <row r="42" spans="2:24">
      <c r="B42" s="3" t="s">
        <v>51</v>
      </c>
      <c r="T42" s="1"/>
      <c r="U42" s="1" t="str">
        <f>서식선택_출력!B42</f>
        <v>F-038</v>
      </c>
      <c r="V42" s="1" t="str">
        <f>서식선택_출력!C42</f>
        <v>업체 참가 등록부</v>
      </c>
      <c r="W42" s="1"/>
    </row>
    <row r="43" spans="2:24">
      <c r="B43" s="3" t="s">
        <v>52</v>
      </c>
      <c r="C43" s="3" t="s">
        <v>53</v>
      </c>
      <c r="D43" s="3" t="s">
        <v>54</v>
      </c>
      <c r="E43" s="3" t="s">
        <v>55</v>
      </c>
      <c r="F43" s="3" t="s">
        <v>56</v>
      </c>
      <c r="G43" s="3" t="s">
        <v>57</v>
      </c>
      <c r="H43" s="3" t="s">
        <v>58</v>
      </c>
      <c r="I43" s="3" t="s">
        <v>59</v>
      </c>
      <c r="J43" s="3" t="s">
        <v>60</v>
      </c>
      <c r="K43" s="3" t="s">
        <v>61</v>
      </c>
      <c r="L43" s="3" t="s">
        <v>62</v>
      </c>
      <c r="M43" s="3" t="s">
        <v>63</v>
      </c>
      <c r="N43" s="3" t="s">
        <v>64</v>
      </c>
      <c r="O43" s="3" t="s">
        <v>65</v>
      </c>
      <c r="P43" s="3" t="s">
        <v>66</v>
      </c>
      <c r="Q43" s="3" t="s">
        <v>67</v>
      </c>
      <c r="R43" s="3" t="s">
        <v>68</v>
      </c>
      <c r="S43" s="3" t="s">
        <v>69</v>
      </c>
      <c r="T43" s="1"/>
      <c r="U43" s="1" t="str">
        <f>서식선택_출력!B43</f>
        <v>F-039</v>
      </c>
      <c r="V43" s="1" t="str">
        <f>서식선택_출력!C43</f>
        <v>업체별 제안서 평가표</v>
      </c>
      <c r="W43" s="1"/>
      <c r="X43" s="3" t="s">
        <v>70</v>
      </c>
    </row>
    <row r="44" spans="2:24">
      <c r="B44" s="7"/>
      <c r="C44" s="6"/>
      <c r="G44" t="str">
        <f t="shared" ref="G44:G53" si="1">IF(B44="","",IF(AND(ISNUMBER(C44),ISNUMBER(D44),ISNUMBER(E44),ISNUMBER(F44),C44&gt;=0,C44&lt;=10,D44&gt;=0,D44&lt;=10,E44&gt;=0,E44&lt;=15,F44&gt;=0,F44&lt;=15),"정상","점수 확인"))</f>
        <v/>
      </c>
      <c r="H44" s="10"/>
      <c r="L44" s="6"/>
      <c r="M44" t="str">
        <f t="shared" ref="M44:M53" si="2">IF(B44="","",IF(AND(OR(H44="탁월",H44="우수",H44="보통",H44="미흡",H44="불량"),OR(I44="탁월",I44="우수",I44="보통",I44="미흡",I44="불량"),OR(J44="탁월",J44="우수",J44="보통",J44="미흡",J44="불량"),OR(K44="탁월",K44="우수",K44="보통",K44="미흡",K44="불량"),ISNUMBER(L44),L44&gt;=-15,L44&lt;=5),"정상","등급/가감점 확인"))</f>
        <v/>
      </c>
      <c r="N44" s="11"/>
      <c r="R44" t="str">
        <f t="shared" ref="R44:R53" si="3">IF(B44="","",IF(AND(ISNUMBER(N44),ISNUMBER(O44),ISNUMBER(P44),ISNUMBER(Q44),N44&gt;=0,N44&lt;=10,O44&gt;=0,O44&lt;=10,P44&gt;=0,P44&lt;=15,Q44&gt;=0,Q44&lt;=15),"정상","점수 확인"))</f>
        <v/>
      </c>
      <c r="S44" s="7"/>
      <c r="T44" s="1"/>
      <c r="U44" s="1" t="str">
        <f>서식선택_출력!B44</f>
        <v>F-040</v>
      </c>
      <c r="V44" s="1" t="str">
        <f>서식선택_출력!C44</f>
        <v>위원 청렴 및 보안 서약서</v>
      </c>
      <c r="W44" s="1"/>
      <c r="X44" s="7"/>
    </row>
    <row r="45" spans="2:24">
      <c r="B45" s="7"/>
      <c r="C45" s="6"/>
      <c r="G45" t="str">
        <f t="shared" si="1"/>
        <v/>
      </c>
      <c r="H45" s="10"/>
      <c r="L45" s="6"/>
      <c r="M45" t="str">
        <f t="shared" si="2"/>
        <v/>
      </c>
      <c r="N45" s="11"/>
      <c r="R45" t="str">
        <f t="shared" si="3"/>
        <v/>
      </c>
      <c r="S45" s="7"/>
      <c r="T45" s="1"/>
      <c r="U45" s="1" t="str">
        <f>서식선택_출력!B45</f>
        <v>F-041</v>
      </c>
      <c r="V45" s="1" t="str">
        <f>서식선택_출력!C45</f>
        <v>낙찰자 결정</v>
      </c>
      <c r="W45" s="1"/>
      <c r="X45" s="7"/>
    </row>
    <row r="46" spans="2:24">
      <c r="B46" s="7"/>
      <c r="C46" s="6"/>
      <c r="G46" t="str">
        <f t="shared" si="1"/>
        <v/>
      </c>
      <c r="H46" s="10"/>
      <c r="L46" s="6"/>
      <c r="M46" t="str">
        <f t="shared" si="2"/>
        <v/>
      </c>
      <c r="N46" s="11"/>
      <c r="R46" t="str">
        <f t="shared" si="3"/>
        <v/>
      </c>
      <c r="S46" s="7"/>
      <c r="T46" s="1"/>
      <c r="U46" s="1" t="str">
        <f>서식선택_출력!B46</f>
        <v>F-042</v>
      </c>
      <c r="V46" s="1" t="str">
        <f>서식선택_출력!C46</f>
        <v>낙찰자 결정 통보</v>
      </c>
      <c r="W46" s="1"/>
      <c r="X46" s="7"/>
    </row>
    <row r="47" spans="2:24">
      <c r="B47" s="7"/>
      <c r="C47" s="6"/>
      <c r="G47" t="str">
        <f t="shared" si="1"/>
        <v/>
      </c>
      <c r="H47" s="10"/>
      <c r="L47" s="6"/>
      <c r="M47" t="str">
        <f t="shared" si="2"/>
        <v/>
      </c>
      <c r="N47" s="11"/>
      <c r="R47" t="str">
        <f t="shared" si="3"/>
        <v/>
      </c>
      <c r="S47" s="7"/>
      <c r="T47" s="1"/>
      <c r="U47" s="1" t="str">
        <f>서식선택_출력!B47</f>
        <v>F-043</v>
      </c>
      <c r="V47" s="1" t="str">
        <f>서식선택_출력!C47</f>
        <v>계약체결</v>
      </c>
      <c r="W47" s="1"/>
      <c r="X47" s="7"/>
    </row>
    <row r="48" spans="2:24">
      <c r="B48" s="7"/>
      <c r="C48" s="6"/>
      <c r="G48" t="str">
        <f t="shared" si="1"/>
        <v/>
      </c>
      <c r="H48" s="10"/>
      <c r="L48" s="6"/>
      <c r="M48" t="str">
        <f t="shared" si="2"/>
        <v/>
      </c>
      <c r="N48" s="11"/>
      <c r="R48" t="str">
        <f t="shared" si="3"/>
        <v/>
      </c>
      <c r="S48" s="7"/>
      <c r="T48" s="1"/>
      <c r="U48" s="1" t="str">
        <f>서식선택_출력!B48</f>
        <v>F-044</v>
      </c>
      <c r="V48" s="1" t="str">
        <f>서식선택_출력!C48</f>
        <v>사전 안내 가정통신문 안내</v>
      </c>
      <c r="W48" s="1"/>
      <c r="X48" s="7"/>
    </row>
    <row r="49" spans="2:24">
      <c r="B49" s="7"/>
      <c r="C49" s="6"/>
      <c r="G49" t="str">
        <f t="shared" si="1"/>
        <v/>
      </c>
      <c r="H49" s="10"/>
      <c r="L49" s="6"/>
      <c r="M49" t="str">
        <f t="shared" si="2"/>
        <v/>
      </c>
      <c r="N49" s="11"/>
      <c r="R49" t="str">
        <f t="shared" si="3"/>
        <v/>
      </c>
      <c r="S49" s="7"/>
      <c r="T49" s="1"/>
      <c r="U49" s="1" t="str">
        <f>서식선택_출력!B49</f>
        <v>F-045</v>
      </c>
      <c r="V49" s="1" t="str">
        <f>서식선택_출력!C49</f>
        <v>교복구매 사전 안내 가정통신문</v>
      </c>
      <c r="W49" s="1"/>
      <c r="X49" s="7"/>
    </row>
    <row r="50" spans="2:24">
      <c r="B50" s="7"/>
      <c r="C50" s="6"/>
      <c r="G50" t="str">
        <f t="shared" si="1"/>
        <v/>
      </c>
      <c r="H50" s="10"/>
      <c r="L50" s="6"/>
      <c r="M50" t="str">
        <f t="shared" si="2"/>
        <v/>
      </c>
      <c r="N50" s="11"/>
      <c r="R50" t="str">
        <f t="shared" si="3"/>
        <v/>
      </c>
      <c r="S50" s="7"/>
      <c r="T50" s="1"/>
      <c r="U50" s="1" t="str">
        <f>서식선택_출력!B50</f>
        <v>F-046</v>
      </c>
      <c r="V50" s="1" t="str">
        <f>서식선택_출력!C50</f>
        <v>수요조사 가정통신문 안내</v>
      </c>
      <c r="W50" s="1"/>
      <c r="X50" s="7"/>
    </row>
    <row r="51" spans="2:24">
      <c r="B51" s="7"/>
      <c r="C51" s="6"/>
      <c r="G51" t="str">
        <f t="shared" si="1"/>
        <v/>
      </c>
      <c r="H51" s="10"/>
      <c r="L51" s="6"/>
      <c r="M51" t="str">
        <f t="shared" si="2"/>
        <v/>
      </c>
      <c r="N51" s="11"/>
      <c r="R51" t="str">
        <f t="shared" si="3"/>
        <v/>
      </c>
      <c r="S51" s="7"/>
      <c r="T51" s="1"/>
      <c r="U51" s="1" t="str">
        <f>서식선택_출력!B51</f>
        <v>F-047</v>
      </c>
      <c r="V51" s="1" t="str">
        <f>서식선택_출력!C51</f>
        <v>교복구매 수요조사 가정통신문</v>
      </c>
      <c r="W51" s="1"/>
      <c r="X51" s="7"/>
    </row>
    <row r="52" spans="2:24">
      <c r="B52" s="7"/>
      <c r="C52" s="6"/>
      <c r="G52" t="str">
        <f t="shared" si="1"/>
        <v/>
      </c>
      <c r="H52" s="10"/>
      <c r="L52" s="6"/>
      <c r="M52" t="str">
        <f t="shared" si="2"/>
        <v/>
      </c>
      <c r="N52" s="11"/>
      <c r="R52" t="str">
        <f t="shared" si="3"/>
        <v/>
      </c>
      <c r="S52" s="7"/>
      <c r="T52" s="1"/>
      <c r="U52" s="1" t="str">
        <f>서식선택_출력!B52</f>
        <v>F-048</v>
      </c>
      <c r="V52" s="1" t="str">
        <f>서식선택_출력!C52</f>
        <v>교복 구매 안내(신청 수량 파악)</v>
      </c>
      <c r="W52" s="1"/>
      <c r="X52" s="7"/>
    </row>
    <row r="53" spans="2:24">
      <c r="B53" s="7"/>
      <c r="C53" s="6"/>
      <c r="G53" t="str">
        <f t="shared" si="1"/>
        <v/>
      </c>
      <c r="H53" s="10"/>
      <c r="L53" s="6"/>
      <c r="M53" t="str">
        <f t="shared" si="2"/>
        <v/>
      </c>
      <c r="N53" s="11"/>
      <c r="R53" t="str">
        <f t="shared" si="3"/>
        <v/>
      </c>
      <c r="S53" s="7"/>
      <c r="T53" s="1"/>
      <c r="U53" s="1" t="str">
        <f>서식선택_출력!B53</f>
        <v>F-049</v>
      </c>
      <c r="V53" s="1" t="str">
        <f>서식선택_출력!C53</f>
        <v>만족도 설문조사 실시</v>
      </c>
      <c r="W53" s="1"/>
      <c r="X53" s="7"/>
    </row>
    <row r="54" spans="2:24">
      <c r="T54" s="1"/>
      <c r="U54" s="1" t="str">
        <f>서식선택_출력!B54</f>
        <v>F-050</v>
      </c>
      <c r="V54" s="1" t="str">
        <f>서식선택_출력!C54</f>
        <v>만족도 조사 설문지</v>
      </c>
      <c r="W54" s="1"/>
    </row>
    <row r="55" spans="2:24">
      <c r="T55" s="1"/>
      <c r="U55" s="1" t="str">
        <f>서식선택_출력!B55</f>
        <v>F-051</v>
      </c>
      <c r="V55" s="1" t="str">
        <f>서식선택_출력!C55</f>
        <v>만족도 설문조사 결과</v>
      </c>
      <c r="W55" s="1"/>
    </row>
    <row r="56" spans="2:24">
      <c r="B56" s="3" t="s">
        <v>71</v>
      </c>
      <c r="T56" s="1"/>
      <c r="U56" s="1" t="str">
        <f>서식선택_출력!B56</f>
        <v>F-052</v>
      </c>
      <c r="V56" s="1" t="str">
        <f>서식선택_출력!C56</f>
        <v>만족도 조사 설문 결과 서식</v>
      </c>
      <c r="W56" s="1"/>
    </row>
    <row r="57" spans="2:24">
      <c r="B57" s="3" t="s">
        <v>72</v>
      </c>
      <c r="C57" s="3" t="s">
        <v>73</v>
      </c>
    </row>
    <row r="58" spans="2:24">
      <c r="B58" s="7"/>
    </row>
    <row r="59" spans="2:24">
      <c r="B59" s="7"/>
    </row>
    <row r="60" spans="2:24">
      <c r="B60" s="7"/>
    </row>
    <row r="61" spans="2:24">
      <c r="B61" s="7"/>
    </row>
    <row r="62" spans="2:24">
      <c r="B62" s="7"/>
    </row>
    <row r="63" spans="2:24">
      <c r="B63" s="7"/>
    </row>
    <row r="64" spans="2:24">
      <c r="B64" s="7"/>
    </row>
    <row r="65" spans="2:5">
      <c r="B65" s="7"/>
    </row>
    <row r="66" spans="2:5">
      <c r="B66" s="7"/>
    </row>
    <row r="67" spans="2:5">
      <c r="B67" s="7"/>
    </row>
    <row r="70" spans="2:5">
      <c r="B70" s="3" t="s">
        <v>74</v>
      </c>
    </row>
    <row r="71" spans="2:5">
      <c r="B71" s="3" t="s">
        <v>75</v>
      </c>
      <c r="C71" s="3" t="s">
        <v>76</v>
      </c>
      <c r="D71" s="3" t="s">
        <v>77</v>
      </c>
      <c r="E71" s="3" t="s">
        <v>78</v>
      </c>
    </row>
    <row r="72" spans="2:5">
      <c r="B72" s="7"/>
      <c r="C72" s="12"/>
      <c r="E72" t="str">
        <f t="shared" ref="E72:E81" si="4">IF(AND(B72&lt;&gt;"",C72&lt;&gt;"",D72&lt;&gt;""),IF(AND(ISNUMBER(C72),ISNUMBER(D72),C72&gt;=0,D72&gt;=0,D72&lt;=C72),"정상","점수/배점 확인"),"")</f>
        <v/>
      </c>
    </row>
    <row r="73" spans="2:5">
      <c r="B73" s="7"/>
      <c r="C73" s="12"/>
      <c r="E73" t="str">
        <f t="shared" si="4"/>
        <v/>
      </c>
    </row>
    <row r="74" spans="2:5">
      <c r="B74" s="7"/>
      <c r="C74" s="12"/>
      <c r="E74" t="str">
        <f t="shared" si="4"/>
        <v/>
      </c>
    </row>
    <row r="75" spans="2:5">
      <c r="B75" s="7"/>
      <c r="C75" s="12"/>
      <c r="E75" t="str">
        <f t="shared" si="4"/>
        <v/>
      </c>
    </row>
    <row r="76" spans="2:5">
      <c r="B76" s="7"/>
      <c r="C76" s="12"/>
      <c r="E76" t="str">
        <f t="shared" si="4"/>
        <v/>
      </c>
    </row>
    <row r="77" spans="2:5">
      <c r="B77" s="7"/>
      <c r="C77" s="12"/>
      <c r="E77" t="str">
        <f t="shared" si="4"/>
        <v/>
      </c>
    </row>
    <row r="78" spans="2:5">
      <c r="B78" s="7"/>
      <c r="C78" s="12"/>
      <c r="E78" t="str">
        <f t="shared" si="4"/>
        <v/>
      </c>
    </row>
    <row r="79" spans="2:5">
      <c r="B79" s="7"/>
      <c r="C79" s="12"/>
      <c r="E79" t="str">
        <f t="shared" si="4"/>
        <v/>
      </c>
    </row>
    <row r="80" spans="2:5">
      <c r="B80" s="7"/>
      <c r="C80" s="12"/>
      <c r="E80" t="str">
        <f t="shared" si="4"/>
        <v/>
      </c>
    </row>
    <row r="81" spans="2:5">
      <c r="B81" s="7"/>
      <c r="C81" s="12"/>
      <c r="E81" t="str">
        <f t="shared" si="4"/>
        <v/>
      </c>
    </row>
    <row r="82" spans="2:5">
      <c r="B82" s="3" t="s">
        <v>79</v>
      </c>
      <c r="D82" s="13">
        <f>SUM(D72:D81)</f>
        <v>0</v>
      </c>
    </row>
  </sheetData>
  <mergeCells count="6">
    <mergeCell ref="A1:F1"/>
    <mergeCell ref="I2:L2"/>
    <mergeCell ref="C25:F25"/>
    <mergeCell ref="T1:W1"/>
    <mergeCell ref="F4:H4"/>
    <mergeCell ref="F5:H5"/>
  </mergeCells>
  <phoneticPr fontId="6" type="noConversion"/>
  <dataValidations count="2">
    <dataValidation type="list" allowBlank="1" showInputMessage="1" showErrorMessage="1" errorTitle="정성평가 등급 확인" error="재질·완성도·A/S·하자보상은 탁월, 우수, 보통, 미흡, 불량 중에서 선택하세요." sqref="H44:K53" xr:uid="{68D6F832-78F4-421A-8DF0-2498E9992F82}">
      <formula1>"탁월,우수,보통,미흡,불량"</formula1>
    </dataValidation>
    <dataValidation type="list" allowBlank="1" showInputMessage="1" showErrorMessage="1" sqref="C4" xr:uid="{DE8F4D90-6FD2-4DD2-BE46-1EA828874690}">
      <formula1>학교명목록</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tn초기화">
              <controlPr defaultSize="0" print="0" autoFill="0" autoPict="0" macro="초기화">
                <anchor moveWithCells="1" sizeWithCells="1">
                  <from>
                    <xdr:col>5</xdr:col>
                    <xdr:colOff>541020</xdr:colOff>
                    <xdr:row>0</xdr:row>
                    <xdr:rowOff>121920</xdr:rowOff>
                  </from>
                  <to>
                    <xdr:col>6</xdr:col>
                    <xdr:colOff>289560</xdr:colOff>
                    <xdr:row>1</xdr:row>
                    <xdr:rowOff>167640</xdr:rowOff>
                  </to>
                </anchor>
              </controlPr>
            </control>
          </mc:Choice>
        </mc:AlternateContent>
        <mc:AlternateContent xmlns:mc="http://schemas.openxmlformats.org/markup-compatibility/2006">
          <mc:Choice Requires="x14">
            <control shapeId="2050" r:id="rId5" name="btn저장하기">
              <controlPr defaultSize="0" print="0" autoFill="0" autoPict="0" macro="저장하기">
                <anchor moveWithCells="1" sizeWithCells="1">
                  <from>
                    <xdr:col>6</xdr:col>
                    <xdr:colOff>411480</xdr:colOff>
                    <xdr:row>0</xdr:row>
                    <xdr:rowOff>121920</xdr:rowOff>
                  </from>
                  <to>
                    <xdr:col>8</xdr:col>
                    <xdr:colOff>91440</xdr:colOff>
                    <xdr:row>1</xdr:row>
                    <xdr:rowOff>167640</xdr:rowOff>
                  </to>
                </anchor>
              </controlPr>
            </control>
          </mc:Choice>
        </mc:AlternateContent>
        <mc:AlternateContent xmlns:mc="http://schemas.openxmlformats.org/markup-compatibility/2006">
          <mc:Choice Requires="x14">
            <control shapeId="2051" r:id="rId6" name="btn수정하기">
              <controlPr defaultSize="0" print="0" autoFill="0" autoPict="0" macro="수정하기">
                <anchor moveWithCells="1" sizeWithCells="1">
                  <from>
                    <xdr:col>8</xdr:col>
                    <xdr:colOff>213360</xdr:colOff>
                    <xdr:row>0</xdr:row>
                    <xdr:rowOff>121920</xdr:rowOff>
                  </from>
                  <to>
                    <xdr:col>9</xdr:col>
                    <xdr:colOff>563880</xdr:colOff>
                    <xdr:row>1</xdr:row>
                    <xdr:rowOff>167640</xdr:rowOff>
                  </to>
                </anchor>
              </controlPr>
            </control>
          </mc:Choice>
        </mc:AlternateContent>
        <mc:AlternateContent xmlns:mc="http://schemas.openxmlformats.org/markup-compatibility/2006">
          <mc:Choice Requires="x14">
            <control shapeId="2052" r:id="rId7" name="btn불러오기">
              <controlPr defaultSize="0" print="0" autoFill="0" autoPict="0" macro="불러오기">
                <anchor moveWithCells="1" sizeWithCells="1">
                  <from>
                    <xdr:col>10</xdr:col>
                    <xdr:colOff>15240</xdr:colOff>
                    <xdr:row>0</xdr:row>
                    <xdr:rowOff>121920</xdr:rowOff>
                  </from>
                  <to>
                    <xdr:col>11</xdr:col>
                    <xdr:colOff>365760</xdr:colOff>
                    <xdr:row>1</xdr:row>
                    <xdr:rowOff>167640</xdr:rowOff>
                  </to>
                </anchor>
              </controlPr>
            </control>
          </mc:Choice>
        </mc:AlternateContent>
        <mc:AlternateContent xmlns:mc="http://schemas.openxmlformats.org/markup-compatibility/2006">
          <mc:Choice Requires="x14">
            <control shapeId="2053" r:id="rId8" name="btn빠른미리보기">
              <controlPr defaultSize="0" print="0" autoFill="0" autoPict="0" macro="선택서식_인쇄미리보기">
                <anchor moveWithCells="1" sizeWithCells="1">
                  <from>
                    <xdr:col>19</xdr:col>
                    <xdr:colOff>0</xdr:colOff>
                    <xdr:row>1</xdr:row>
                    <xdr:rowOff>0</xdr:rowOff>
                  </from>
                  <to>
                    <xdr:col>21</xdr:col>
                    <xdr:colOff>548640</xdr:colOff>
                    <xdr:row>2</xdr:row>
                    <xdr:rowOff>83820</xdr:rowOff>
                  </to>
                </anchor>
              </controlPr>
            </control>
          </mc:Choice>
        </mc:AlternateContent>
        <mc:AlternateContent xmlns:mc="http://schemas.openxmlformats.org/markup-compatibility/2006">
          <mc:Choice Requires="x14">
            <control shapeId="2054" r:id="rId9" name="btn빠른PDF">
              <controlPr defaultSize="0" print="0" autoFill="0" autoPict="0" macro="선택서식_PDF저장">
                <anchor moveWithCells="1" sizeWithCells="1">
                  <from>
                    <xdr:col>21</xdr:col>
                    <xdr:colOff>678180</xdr:colOff>
                    <xdr:row>1</xdr:row>
                    <xdr:rowOff>0</xdr:rowOff>
                  </from>
                  <to>
                    <xdr:col>22</xdr:col>
                    <xdr:colOff>373380</xdr:colOff>
                    <xdr:row>2</xdr:row>
                    <xdr:rowOff>83820</xdr:rowOff>
                  </to>
                </anchor>
              </controlPr>
            </control>
          </mc:Choice>
        </mc:AlternateContent>
        <mc:AlternateContent xmlns:mc="http://schemas.openxmlformats.org/markup-compatibility/2006">
          <mc:Choice Requires="x14">
            <control shapeId="2055" r:id="rId10" name="btn빠른HWPX">
              <controlPr defaultSize="0" print="0" autoFill="0" autoPict="0" macro="선택서식_HWPX작성">
                <anchor moveWithCells="1" sizeWithCells="1">
                  <from>
                    <xdr:col>22</xdr:col>
                    <xdr:colOff>495300</xdr:colOff>
                    <xdr:row>1</xdr:row>
                    <xdr:rowOff>0</xdr:rowOff>
                  </from>
                  <to>
                    <xdr:col>24</xdr:col>
                    <xdr:colOff>541020</xdr:colOff>
                    <xdr:row>2</xdr:row>
                    <xdr:rowOff>83820</xdr:rowOff>
                  </to>
                </anchor>
              </controlPr>
            </control>
          </mc:Choice>
        </mc:AlternateContent>
        <mc:AlternateContent xmlns:mc="http://schemas.openxmlformats.org/markup-compatibility/2006">
          <mc:Choice Requires="x14">
            <control shapeId="2056" r:id="rId11" name="btn이동_계약방법안내">
              <controlPr defaultSize="0" print="0" autoFill="0" autoPict="0" macro="이동_계약방법안내">
                <anchor moveWithCells="1" sizeWithCells="1">
                  <from>
                    <xdr:col>25</xdr:col>
                    <xdr:colOff>0</xdr:colOff>
                    <xdr:row>1</xdr:row>
                    <xdr:rowOff>0</xdr:rowOff>
                  </from>
                  <to>
                    <xdr:col>27</xdr:col>
                    <xdr:colOff>563880</xdr:colOff>
                    <xdr:row>2</xdr:row>
                    <xdr:rowOff>83820</xdr:rowOff>
                  </to>
                </anchor>
              </controlPr>
            </control>
          </mc:Choice>
        </mc:AlternateContent>
        <mc:AlternateContent xmlns:mc="http://schemas.openxmlformats.org/markup-compatibility/2006">
          <mc:Choice Requires="x14">
            <control shapeId="2057" r:id="rId12" name="btn이동_DB열기">
              <controlPr defaultSize="0" print="0" autoFill="0" autoPict="0" macro="DB시트열기">
                <anchor moveWithCells="1" sizeWithCells="1">
                  <from>
                    <xdr:col>28</xdr:col>
                    <xdr:colOff>22860</xdr:colOff>
                    <xdr:row>1</xdr:row>
                    <xdr:rowOff>0</xdr:rowOff>
                  </from>
                  <to>
                    <xdr:col>30</xdr:col>
                    <xdr:colOff>586740</xdr:colOff>
                    <xdr:row>2</xdr:row>
                    <xdr:rowOff>83820</xdr:rowOff>
                  </to>
                </anchor>
              </controlPr>
            </control>
          </mc:Choice>
        </mc:AlternateContent>
        <mc:AlternateContent xmlns:mc="http://schemas.openxmlformats.org/markup-compatibility/2006">
          <mc:Choice Requires="x14">
            <control shapeId="2058" r:id="rId13" name="chkQuick_F-001">
              <controlPr defaultSize="0" autoFill="0" autoLine="0" autoPict="0">
                <anchor moveWithCells="1">
                  <from>
                    <xdr:col>19</xdr:col>
                    <xdr:colOff>22860</xdr:colOff>
                    <xdr:row>4</xdr:row>
                    <xdr:rowOff>7620</xdr:rowOff>
                  </from>
                  <to>
                    <xdr:col>19</xdr:col>
                    <xdr:colOff>259080</xdr:colOff>
                    <xdr:row>5</xdr:row>
                    <xdr:rowOff>38100</xdr:rowOff>
                  </to>
                </anchor>
              </controlPr>
            </control>
          </mc:Choice>
        </mc:AlternateContent>
        <mc:AlternateContent xmlns:mc="http://schemas.openxmlformats.org/markup-compatibility/2006">
          <mc:Choice Requires="x14">
            <control shapeId="2059" r:id="rId14" name="btnQuickView_F-001">
              <controlPr defaultSize="0" print="0" autoFill="0" autoPict="0" macro="기초자료_보기_실행">
                <anchor moveWithCells="1" sizeWithCells="1">
                  <from>
                    <xdr:col>22</xdr:col>
                    <xdr:colOff>7620</xdr:colOff>
                    <xdr:row>4</xdr:row>
                    <xdr:rowOff>15240</xdr:rowOff>
                  </from>
                  <to>
                    <xdr:col>23</xdr:col>
                    <xdr:colOff>60960</xdr:colOff>
                    <xdr:row>4</xdr:row>
                    <xdr:rowOff>205740</xdr:rowOff>
                  </to>
                </anchor>
              </controlPr>
            </control>
          </mc:Choice>
        </mc:AlternateContent>
        <mc:AlternateContent xmlns:mc="http://schemas.openxmlformats.org/markup-compatibility/2006">
          <mc:Choice Requires="x14">
            <control shapeId="2060" r:id="rId15" name="chkQuick_F-002">
              <controlPr defaultSize="0" autoFill="0" autoLine="0" autoPict="0">
                <anchor moveWithCells="1">
                  <from>
                    <xdr:col>19</xdr:col>
                    <xdr:colOff>22860</xdr:colOff>
                    <xdr:row>5</xdr:row>
                    <xdr:rowOff>7620</xdr:rowOff>
                  </from>
                  <to>
                    <xdr:col>19</xdr:col>
                    <xdr:colOff>259080</xdr:colOff>
                    <xdr:row>6</xdr:row>
                    <xdr:rowOff>38100</xdr:rowOff>
                  </to>
                </anchor>
              </controlPr>
            </control>
          </mc:Choice>
        </mc:AlternateContent>
        <mc:AlternateContent xmlns:mc="http://schemas.openxmlformats.org/markup-compatibility/2006">
          <mc:Choice Requires="x14">
            <control shapeId="2061" r:id="rId16" name="btnQuickView_F-002">
              <controlPr defaultSize="0" print="0" autoFill="0" autoPict="0" macro="기초자료_보기_실행">
                <anchor moveWithCells="1" sizeWithCells="1">
                  <from>
                    <xdr:col>22</xdr:col>
                    <xdr:colOff>7620</xdr:colOff>
                    <xdr:row>5</xdr:row>
                    <xdr:rowOff>15240</xdr:rowOff>
                  </from>
                  <to>
                    <xdr:col>23</xdr:col>
                    <xdr:colOff>60960</xdr:colOff>
                    <xdr:row>5</xdr:row>
                    <xdr:rowOff>205740</xdr:rowOff>
                  </to>
                </anchor>
              </controlPr>
            </control>
          </mc:Choice>
        </mc:AlternateContent>
        <mc:AlternateContent xmlns:mc="http://schemas.openxmlformats.org/markup-compatibility/2006">
          <mc:Choice Requires="x14">
            <control shapeId="2062" r:id="rId17" name="chkQuick_F-003">
              <controlPr defaultSize="0" autoFill="0" autoLine="0" autoPict="0">
                <anchor moveWithCells="1">
                  <from>
                    <xdr:col>19</xdr:col>
                    <xdr:colOff>22860</xdr:colOff>
                    <xdr:row>6</xdr:row>
                    <xdr:rowOff>7620</xdr:rowOff>
                  </from>
                  <to>
                    <xdr:col>19</xdr:col>
                    <xdr:colOff>259080</xdr:colOff>
                    <xdr:row>7</xdr:row>
                    <xdr:rowOff>38100</xdr:rowOff>
                  </to>
                </anchor>
              </controlPr>
            </control>
          </mc:Choice>
        </mc:AlternateContent>
        <mc:AlternateContent xmlns:mc="http://schemas.openxmlformats.org/markup-compatibility/2006">
          <mc:Choice Requires="x14">
            <control shapeId="2063" r:id="rId18" name="btnQuickView_F-003">
              <controlPr defaultSize="0" print="0" autoFill="0" autoPict="0" macro="기초자료_보기_실행">
                <anchor moveWithCells="1" sizeWithCells="1">
                  <from>
                    <xdr:col>22</xdr:col>
                    <xdr:colOff>7620</xdr:colOff>
                    <xdr:row>6</xdr:row>
                    <xdr:rowOff>15240</xdr:rowOff>
                  </from>
                  <to>
                    <xdr:col>23</xdr:col>
                    <xdr:colOff>60960</xdr:colOff>
                    <xdr:row>6</xdr:row>
                    <xdr:rowOff>205740</xdr:rowOff>
                  </to>
                </anchor>
              </controlPr>
            </control>
          </mc:Choice>
        </mc:AlternateContent>
        <mc:AlternateContent xmlns:mc="http://schemas.openxmlformats.org/markup-compatibility/2006">
          <mc:Choice Requires="x14">
            <control shapeId="2064" r:id="rId19" name="chkQuick_F-004">
              <controlPr defaultSize="0" autoFill="0" autoLine="0" autoPict="0">
                <anchor moveWithCells="1">
                  <from>
                    <xdr:col>19</xdr:col>
                    <xdr:colOff>22860</xdr:colOff>
                    <xdr:row>7</xdr:row>
                    <xdr:rowOff>7620</xdr:rowOff>
                  </from>
                  <to>
                    <xdr:col>19</xdr:col>
                    <xdr:colOff>259080</xdr:colOff>
                    <xdr:row>8</xdr:row>
                    <xdr:rowOff>38100</xdr:rowOff>
                  </to>
                </anchor>
              </controlPr>
            </control>
          </mc:Choice>
        </mc:AlternateContent>
        <mc:AlternateContent xmlns:mc="http://schemas.openxmlformats.org/markup-compatibility/2006">
          <mc:Choice Requires="x14">
            <control shapeId="2065" r:id="rId20" name="btnQuickView_F-004">
              <controlPr defaultSize="0" print="0" autoFill="0" autoPict="0" macro="기초자료_보기_실행">
                <anchor moveWithCells="1" sizeWithCells="1">
                  <from>
                    <xdr:col>22</xdr:col>
                    <xdr:colOff>7620</xdr:colOff>
                    <xdr:row>7</xdr:row>
                    <xdr:rowOff>15240</xdr:rowOff>
                  </from>
                  <to>
                    <xdr:col>23</xdr:col>
                    <xdr:colOff>60960</xdr:colOff>
                    <xdr:row>7</xdr:row>
                    <xdr:rowOff>205740</xdr:rowOff>
                  </to>
                </anchor>
              </controlPr>
            </control>
          </mc:Choice>
        </mc:AlternateContent>
        <mc:AlternateContent xmlns:mc="http://schemas.openxmlformats.org/markup-compatibility/2006">
          <mc:Choice Requires="x14">
            <control shapeId="2066" r:id="rId21" name="chkQuick_F-005">
              <controlPr defaultSize="0" autoFill="0" autoLine="0" autoPict="0">
                <anchor moveWithCells="1">
                  <from>
                    <xdr:col>19</xdr:col>
                    <xdr:colOff>22860</xdr:colOff>
                    <xdr:row>8</xdr:row>
                    <xdr:rowOff>7620</xdr:rowOff>
                  </from>
                  <to>
                    <xdr:col>19</xdr:col>
                    <xdr:colOff>259080</xdr:colOff>
                    <xdr:row>9</xdr:row>
                    <xdr:rowOff>38100</xdr:rowOff>
                  </to>
                </anchor>
              </controlPr>
            </control>
          </mc:Choice>
        </mc:AlternateContent>
        <mc:AlternateContent xmlns:mc="http://schemas.openxmlformats.org/markup-compatibility/2006">
          <mc:Choice Requires="x14">
            <control shapeId="2067" r:id="rId22" name="btnQuickView_F-005">
              <controlPr defaultSize="0" print="0" autoFill="0" autoPict="0" macro="기초자료_보기_실행">
                <anchor moveWithCells="1" sizeWithCells="1">
                  <from>
                    <xdr:col>22</xdr:col>
                    <xdr:colOff>7620</xdr:colOff>
                    <xdr:row>8</xdr:row>
                    <xdr:rowOff>15240</xdr:rowOff>
                  </from>
                  <to>
                    <xdr:col>23</xdr:col>
                    <xdr:colOff>60960</xdr:colOff>
                    <xdr:row>8</xdr:row>
                    <xdr:rowOff>205740</xdr:rowOff>
                  </to>
                </anchor>
              </controlPr>
            </control>
          </mc:Choice>
        </mc:AlternateContent>
        <mc:AlternateContent xmlns:mc="http://schemas.openxmlformats.org/markup-compatibility/2006">
          <mc:Choice Requires="x14">
            <control shapeId="2068" r:id="rId23" name="chkQuick_F-006">
              <controlPr defaultSize="0" autoFill="0" autoLine="0" autoPict="0">
                <anchor moveWithCells="1">
                  <from>
                    <xdr:col>19</xdr:col>
                    <xdr:colOff>22860</xdr:colOff>
                    <xdr:row>9</xdr:row>
                    <xdr:rowOff>7620</xdr:rowOff>
                  </from>
                  <to>
                    <xdr:col>19</xdr:col>
                    <xdr:colOff>259080</xdr:colOff>
                    <xdr:row>10</xdr:row>
                    <xdr:rowOff>38100</xdr:rowOff>
                  </to>
                </anchor>
              </controlPr>
            </control>
          </mc:Choice>
        </mc:AlternateContent>
        <mc:AlternateContent xmlns:mc="http://schemas.openxmlformats.org/markup-compatibility/2006">
          <mc:Choice Requires="x14">
            <control shapeId="2069" r:id="rId24" name="btnQuickView_F-006">
              <controlPr defaultSize="0" print="0" autoFill="0" autoPict="0" macro="기초자료_보기_실행">
                <anchor moveWithCells="1" sizeWithCells="1">
                  <from>
                    <xdr:col>22</xdr:col>
                    <xdr:colOff>7620</xdr:colOff>
                    <xdr:row>9</xdr:row>
                    <xdr:rowOff>15240</xdr:rowOff>
                  </from>
                  <to>
                    <xdr:col>23</xdr:col>
                    <xdr:colOff>60960</xdr:colOff>
                    <xdr:row>9</xdr:row>
                    <xdr:rowOff>205740</xdr:rowOff>
                  </to>
                </anchor>
              </controlPr>
            </control>
          </mc:Choice>
        </mc:AlternateContent>
        <mc:AlternateContent xmlns:mc="http://schemas.openxmlformats.org/markup-compatibility/2006">
          <mc:Choice Requires="x14">
            <control shapeId="2070" r:id="rId25" name="chkQuick_F-007">
              <controlPr defaultSize="0" autoFill="0" autoLine="0" autoPict="0">
                <anchor moveWithCells="1">
                  <from>
                    <xdr:col>19</xdr:col>
                    <xdr:colOff>22860</xdr:colOff>
                    <xdr:row>10</xdr:row>
                    <xdr:rowOff>7620</xdr:rowOff>
                  </from>
                  <to>
                    <xdr:col>19</xdr:col>
                    <xdr:colOff>259080</xdr:colOff>
                    <xdr:row>11</xdr:row>
                    <xdr:rowOff>38100</xdr:rowOff>
                  </to>
                </anchor>
              </controlPr>
            </control>
          </mc:Choice>
        </mc:AlternateContent>
        <mc:AlternateContent xmlns:mc="http://schemas.openxmlformats.org/markup-compatibility/2006">
          <mc:Choice Requires="x14">
            <control shapeId="2071" r:id="rId26" name="btnQuickView_F-007">
              <controlPr defaultSize="0" print="0" autoFill="0" autoPict="0" macro="기초자료_보기_실행">
                <anchor moveWithCells="1" sizeWithCells="1">
                  <from>
                    <xdr:col>22</xdr:col>
                    <xdr:colOff>7620</xdr:colOff>
                    <xdr:row>10</xdr:row>
                    <xdr:rowOff>15240</xdr:rowOff>
                  </from>
                  <to>
                    <xdr:col>23</xdr:col>
                    <xdr:colOff>60960</xdr:colOff>
                    <xdr:row>10</xdr:row>
                    <xdr:rowOff>205740</xdr:rowOff>
                  </to>
                </anchor>
              </controlPr>
            </control>
          </mc:Choice>
        </mc:AlternateContent>
        <mc:AlternateContent xmlns:mc="http://schemas.openxmlformats.org/markup-compatibility/2006">
          <mc:Choice Requires="x14">
            <control shapeId="2072" r:id="rId27" name="chkQuick_F-008">
              <controlPr defaultSize="0" autoFill="0" autoLine="0" autoPict="0">
                <anchor moveWithCells="1">
                  <from>
                    <xdr:col>19</xdr:col>
                    <xdr:colOff>22860</xdr:colOff>
                    <xdr:row>11</xdr:row>
                    <xdr:rowOff>7620</xdr:rowOff>
                  </from>
                  <to>
                    <xdr:col>19</xdr:col>
                    <xdr:colOff>259080</xdr:colOff>
                    <xdr:row>12</xdr:row>
                    <xdr:rowOff>38100</xdr:rowOff>
                  </to>
                </anchor>
              </controlPr>
            </control>
          </mc:Choice>
        </mc:AlternateContent>
        <mc:AlternateContent xmlns:mc="http://schemas.openxmlformats.org/markup-compatibility/2006">
          <mc:Choice Requires="x14">
            <control shapeId="2073" r:id="rId28" name="btnQuickView_F-008">
              <controlPr defaultSize="0" print="0" autoFill="0" autoPict="0" macro="기초자료_보기_실행">
                <anchor moveWithCells="1" sizeWithCells="1">
                  <from>
                    <xdr:col>22</xdr:col>
                    <xdr:colOff>7620</xdr:colOff>
                    <xdr:row>11</xdr:row>
                    <xdr:rowOff>15240</xdr:rowOff>
                  </from>
                  <to>
                    <xdr:col>23</xdr:col>
                    <xdr:colOff>60960</xdr:colOff>
                    <xdr:row>11</xdr:row>
                    <xdr:rowOff>205740</xdr:rowOff>
                  </to>
                </anchor>
              </controlPr>
            </control>
          </mc:Choice>
        </mc:AlternateContent>
        <mc:AlternateContent xmlns:mc="http://schemas.openxmlformats.org/markup-compatibility/2006">
          <mc:Choice Requires="x14">
            <control shapeId="2074" r:id="rId29" name="chkQuick_F-009">
              <controlPr defaultSize="0" autoFill="0" autoLine="0" autoPict="0">
                <anchor moveWithCells="1">
                  <from>
                    <xdr:col>19</xdr:col>
                    <xdr:colOff>22860</xdr:colOff>
                    <xdr:row>12</xdr:row>
                    <xdr:rowOff>7620</xdr:rowOff>
                  </from>
                  <to>
                    <xdr:col>19</xdr:col>
                    <xdr:colOff>259080</xdr:colOff>
                    <xdr:row>13</xdr:row>
                    <xdr:rowOff>38100</xdr:rowOff>
                  </to>
                </anchor>
              </controlPr>
            </control>
          </mc:Choice>
        </mc:AlternateContent>
        <mc:AlternateContent xmlns:mc="http://schemas.openxmlformats.org/markup-compatibility/2006">
          <mc:Choice Requires="x14">
            <control shapeId="2075" r:id="rId30" name="btnQuickView_F-009">
              <controlPr defaultSize="0" print="0" autoFill="0" autoPict="0" macro="기초자료_보기_실행">
                <anchor moveWithCells="1" sizeWithCells="1">
                  <from>
                    <xdr:col>22</xdr:col>
                    <xdr:colOff>7620</xdr:colOff>
                    <xdr:row>12</xdr:row>
                    <xdr:rowOff>15240</xdr:rowOff>
                  </from>
                  <to>
                    <xdr:col>23</xdr:col>
                    <xdr:colOff>60960</xdr:colOff>
                    <xdr:row>12</xdr:row>
                    <xdr:rowOff>205740</xdr:rowOff>
                  </to>
                </anchor>
              </controlPr>
            </control>
          </mc:Choice>
        </mc:AlternateContent>
        <mc:AlternateContent xmlns:mc="http://schemas.openxmlformats.org/markup-compatibility/2006">
          <mc:Choice Requires="x14">
            <control shapeId="2076" r:id="rId31" name="chkQuick_F-010">
              <controlPr defaultSize="0" autoFill="0" autoLine="0" autoPict="0">
                <anchor moveWithCells="1">
                  <from>
                    <xdr:col>19</xdr:col>
                    <xdr:colOff>22860</xdr:colOff>
                    <xdr:row>13</xdr:row>
                    <xdr:rowOff>7620</xdr:rowOff>
                  </from>
                  <to>
                    <xdr:col>19</xdr:col>
                    <xdr:colOff>259080</xdr:colOff>
                    <xdr:row>14</xdr:row>
                    <xdr:rowOff>38100</xdr:rowOff>
                  </to>
                </anchor>
              </controlPr>
            </control>
          </mc:Choice>
        </mc:AlternateContent>
        <mc:AlternateContent xmlns:mc="http://schemas.openxmlformats.org/markup-compatibility/2006">
          <mc:Choice Requires="x14">
            <control shapeId="2077" r:id="rId32" name="btnQuickView_F-010">
              <controlPr defaultSize="0" print="0" autoFill="0" autoPict="0" macro="기초자료_보기_실행">
                <anchor moveWithCells="1" sizeWithCells="1">
                  <from>
                    <xdr:col>22</xdr:col>
                    <xdr:colOff>7620</xdr:colOff>
                    <xdr:row>13</xdr:row>
                    <xdr:rowOff>15240</xdr:rowOff>
                  </from>
                  <to>
                    <xdr:col>23</xdr:col>
                    <xdr:colOff>60960</xdr:colOff>
                    <xdr:row>13</xdr:row>
                    <xdr:rowOff>205740</xdr:rowOff>
                  </to>
                </anchor>
              </controlPr>
            </control>
          </mc:Choice>
        </mc:AlternateContent>
        <mc:AlternateContent xmlns:mc="http://schemas.openxmlformats.org/markup-compatibility/2006">
          <mc:Choice Requires="x14">
            <control shapeId="2078" r:id="rId33" name="chkQuick_F-011">
              <controlPr defaultSize="0" autoFill="0" autoLine="0" autoPict="0">
                <anchor moveWithCells="1">
                  <from>
                    <xdr:col>19</xdr:col>
                    <xdr:colOff>22860</xdr:colOff>
                    <xdr:row>14</xdr:row>
                    <xdr:rowOff>7620</xdr:rowOff>
                  </from>
                  <to>
                    <xdr:col>19</xdr:col>
                    <xdr:colOff>259080</xdr:colOff>
                    <xdr:row>15</xdr:row>
                    <xdr:rowOff>38100</xdr:rowOff>
                  </to>
                </anchor>
              </controlPr>
            </control>
          </mc:Choice>
        </mc:AlternateContent>
        <mc:AlternateContent xmlns:mc="http://schemas.openxmlformats.org/markup-compatibility/2006">
          <mc:Choice Requires="x14">
            <control shapeId="2079" r:id="rId34" name="btnQuickView_F-011">
              <controlPr defaultSize="0" print="0" autoFill="0" autoPict="0" macro="기초자료_보기_실행">
                <anchor moveWithCells="1" sizeWithCells="1">
                  <from>
                    <xdr:col>22</xdr:col>
                    <xdr:colOff>7620</xdr:colOff>
                    <xdr:row>14</xdr:row>
                    <xdr:rowOff>15240</xdr:rowOff>
                  </from>
                  <to>
                    <xdr:col>23</xdr:col>
                    <xdr:colOff>60960</xdr:colOff>
                    <xdr:row>14</xdr:row>
                    <xdr:rowOff>205740</xdr:rowOff>
                  </to>
                </anchor>
              </controlPr>
            </control>
          </mc:Choice>
        </mc:AlternateContent>
        <mc:AlternateContent xmlns:mc="http://schemas.openxmlformats.org/markup-compatibility/2006">
          <mc:Choice Requires="x14">
            <control shapeId="2080" r:id="rId35" name="chkQuick_F-012">
              <controlPr defaultSize="0" autoFill="0" autoLine="0" autoPict="0">
                <anchor moveWithCells="1">
                  <from>
                    <xdr:col>19</xdr:col>
                    <xdr:colOff>22860</xdr:colOff>
                    <xdr:row>15</xdr:row>
                    <xdr:rowOff>7620</xdr:rowOff>
                  </from>
                  <to>
                    <xdr:col>19</xdr:col>
                    <xdr:colOff>259080</xdr:colOff>
                    <xdr:row>16</xdr:row>
                    <xdr:rowOff>38100</xdr:rowOff>
                  </to>
                </anchor>
              </controlPr>
            </control>
          </mc:Choice>
        </mc:AlternateContent>
        <mc:AlternateContent xmlns:mc="http://schemas.openxmlformats.org/markup-compatibility/2006">
          <mc:Choice Requires="x14">
            <control shapeId="2081" r:id="rId36" name="btnQuickView_F-012">
              <controlPr defaultSize="0" print="0" autoFill="0" autoPict="0" macro="기초자료_보기_실행">
                <anchor moveWithCells="1" sizeWithCells="1">
                  <from>
                    <xdr:col>22</xdr:col>
                    <xdr:colOff>7620</xdr:colOff>
                    <xdr:row>15</xdr:row>
                    <xdr:rowOff>15240</xdr:rowOff>
                  </from>
                  <to>
                    <xdr:col>23</xdr:col>
                    <xdr:colOff>60960</xdr:colOff>
                    <xdr:row>15</xdr:row>
                    <xdr:rowOff>205740</xdr:rowOff>
                  </to>
                </anchor>
              </controlPr>
            </control>
          </mc:Choice>
        </mc:AlternateContent>
        <mc:AlternateContent xmlns:mc="http://schemas.openxmlformats.org/markup-compatibility/2006">
          <mc:Choice Requires="x14">
            <control shapeId="2082" r:id="rId37" name="chkQuick_F-013">
              <controlPr defaultSize="0" autoFill="0" autoLine="0" autoPict="0">
                <anchor moveWithCells="1">
                  <from>
                    <xdr:col>19</xdr:col>
                    <xdr:colOff>22860</xdr:colOff>
                    <xdr:row>16</xdr:row>
                    <xdr:rowOff>7620</xdr:rowOff>
                  </from>
                  <to>
                    <xdr:col>19</xdr:col>
                    <xdr:colOff>259080</xdr:colOff>
                    <xdr:row>17</xdr:row>
                    <xdr:rowOff>38100</xdr:rowOff>
                  </to>
                </anchor>
              </controlPr>
            </control>
          </mc:Choice>
        </mc:AlternateContent>
        <mc:AlternateContent xmlns:mc="http://schemas.openxmlformats.org/markup-compatibility/2006">
          <mc:Choice Requires="x14">
            <control shapeId="2083" r:id="rId38" name="chkQuick_F-014">
              <controlPr defaultSize="0" autoFill="0" autoLine="0" autoPict="0">
                <anchor moveWithCells="1">
                  <from>
                    <xdr:col>19</xdr:col>
                    <xdr:colOff>22860</xdr:colOff>
                    <xdr:row>17</xdr:row>
                    <xdr:rowOff>7620</xdr:rowOff>
                  </from>
                  <to>
                    <xdr:col>19</xdr:col>
                    <xdr:colOff>259080</xdr:colOff>
                    <xdr:row>18</xdr:row>
                    <xdr:rowOff>38100</xdr:rowOff>
                  </to>
                </anchor>
              </controlPr>
            </control>
          </mc:Choice>
        </mc:AlternateContent>
        <mc:AlternateContent xmlns:mc="http://schemas.openxmlformats.org/markup-compatibility/2006">
          <mc:Choice Requires="x14">
            <control shapeId="2084" r:id="rId39" name="btnQuickView_F-014">
              <controlPr defaultSize="0" print="0" autoFill="0" autoPict="0" macro="기초자료_보기_실행">
                <anchor moveWithCells="1" sizeWithCells="1">
                  <from>
                    <xdr:col>22</xdr:col>
                    <xdr:colOff>7620</xdr:colOff>
                    <xdr:row>17</xdr:row>
                    <xdr:rowOff>15240</xdr:rowOff>
                  </from>
                  <to>
                    <xdr:col>23</xdr:col>
                    <xdr:colOff>60960</xdr:colOff>
                    <xdr:row>17</xdr:row>
                    <xdr:rowOff>205740</xdr:rowOff>
                  </to>
                </anchor>
              </controlPr>
            </control>
          </mc:Choice>
        </mc:AlternateContent>
        <mc:AlternateContent xmlns:mc="http://schemas.openxmlformats.org/markup-compatibility/2006">
          <mc:Choice Requires="x14">
            <control shapeId="2085" r:id="rId40" name="chkQuick_F-015">
              <controlPr defaultSize="0" autoFill="0" autoLine="0" autoPict="0">
                <anchor moveWithCells="1">
                  <from>
                    <xdr:col>19</xdr:col>
                    <xdr:colOff>22860</xdr:colOff>
                    <xdr:row>18</xdr:row>
                    <xdr:rowOff>7620</xdr:rowOff>
                  </from>
                  <to>
                    <xdr:col>19</xdr:col>
                    <xdr:colOff>259080</xdr:colOff>
                    <xdr:row>19</xdr:row>
                    <xdr:rowOff>38100</xdr:rowOff>
                  </to>
                </anchor>
              </controlPr>
            </control>
          </mc:Choice>
        </mc:AlternateContent>
        <mc:AlternateContent xmlns:mc="http://schemas.openxmlformats.org/markup-compatibility/2006">
          <mc:Choice Requires="x14">
            <control shapeId="2086" r:id="rId41" name="btnQuickView_F-015">
              <controlPr defaultSize="0" print="0" autoFill="0" autoPict="0" macro="기초자료_보기_실행">
                <anchor moveWithCells="1" sizeWithCells="1">
                  <from>
                    <xdr:col>22</xdr:col>
                    <xdr:colOff>7620</xdr:colOff>
                    <xdr:row>18</xdr:row>
                    <xdr:rowOff>15240</xdr:rowOff>
                  </from>
                  <to>
                    <xdr:col>23</xdr:col>
                    <xdr:colOff>60960</xdr:colOff>
                    <xdr:row>18</xdr:row>
                    <xdr:rowOff>205740</xdr:rowOff>
                  </to>
                </anchor>
              </controlPr>
            </control>
          </mc:Choice>
        </mc:AlternateContent>
        <mc:AlternateContent xmlns:mc="http://schemas.openxmlformats.org/markup-compatibility/2006">
          <mc:Choice Requires="x14">
            <control shapeId="2087" r:id="rId42" name="chkQuick_F-016">
              <controlPr defaultSize="0" autoFill="0" autoLine="0" autoPict="0">
                <anchor moveWithCells="1">
                  <from>
                    <xdr:col>19</xdr:col>
                    <xdr:colOff>22860</xdr:colOff>
                    <xdr:row>19</xdr:row>
                    <xdr:rowOff>7620</xdr:rowOff>
                  </from>
                  <to>
                    <xdr:col>19</xdr:col>
                    <xdr:colOff>259080</xdr:colOff>
                    <xdr:row>20</xdr:row>
                    <xdr:rowOff>38100</xdr:rowOff>
                  </to>
                </anchor>
              </controlPr>
            </control>
          </mc:Choice>
        </mc:AlternateContent>
        <mc:AlternateContent xmlns:mc="http://schemas.openxmlformats.org/markup-compatibility/2006">
          <mc:Choice Requires="x14">
            <control shapeId="2088" r:id="rId43" name="btnQuickView_F-016">
              <controlPr defaultSize="0" print="0" autoFill="0" autoPict="0" macro="기초자료_보기_실행">
                <anchor moveWithCells="1" sizeWithCells="1">
                  <from>
                    <xdr:col>22</xdr:col>
                    <xdr:colOff>7620</xdr:colOff>
                    <xdr:row>19</xdr:row>
                    <xdr:rowOff>15240</xdr:rowOff>
                  </from>
                  <to>
                    <xdr:col>23</xdr:col>
                    <xdr:colOff>60960</xdr:colOff>
                    <xdr:row>19</xdr:row>
                    <xdr:rowOff>205740</xdr:rowOff>
                  </to>
                </anchor>
              </controlPr>
            </control>
          </mc:Choice>
        </mc:AlternateContent>
        <mc:AlternateContent xmlns:mc="http://schemas.openxmlformats.org/markup-compatibility/2006">
          <mc:Choice Requires="x14">
            <control shapeId="2089" r:id="rId44" name="chkQuick_F-017">
              <controlPr defaultSize="0" autoFill="0" autoLine="0" autoPict="0">
                <anchor moveWithCells="1">
                  <from>
                    <xdr:col>19</xdr:col>
                    <xdr:colOff>22860</xdr:colOff>
                    <xdr:row>20</xdr:row>
                    <xdr:rowOff>7620</xdr:rowOff>
                  </from>
                  <to>
                    <xdr:col>19</xdr:col>
                    <xdr:colOff>259080</xdr:colOff>
                    <xdr:row>21</xdr:row>
                    <xdr:rowOff>38100</xdr:rowOff>
                  </to>
                </anchor>
              </controlPr>
            </control>
          </mc:Choice>
        </mc:AlternateContent>
        <mc:AlternateContent xmlns:mc="http://schemas.openxmlformats.org/markup-compatibility/2006">
          <mc:Choice Requires="x14">
            <control shapeId="2090" r:id="rId45" name="btnQuickView_F-017">
              <controlPr defaultSize="0" print="0" autoFill="0" autoPict="0" macro="기초자료_보기_실행">
                <anchor moveWithCells="1" sizeWithCells="1">
                  <from>
                    <xdr:col>22</xdr:col>
                    <xdr:colOff>7620</xdr:colOff>
                    <xdr:row>20</xdr:row>
                    <xdr:rowOff>15240</xdr:rowOff>
                  </from>
                  <to>
                    <xdr:col>23</xdr:col>
                    <xdr:colOff>60960</xdr:colOff>
                    <xdr:row>20</xdr:row>
                    <xdr:rowOff>205740</xdr:rowOff>
                  </to>
                </anchor>
              </controlPr>
            </control>
          </mc:Choice>
        </mc:AlternateContent>
        <mc:AlternateContent xmlns:mc="http://schemas.openxmlformats.org/markup-compatibility/2006">
          <mc:Choice Requires="x14">
            <control shapeId="2091" r:id="rId46" name="chkQuick_F-018">
              <controlPr defaultSize="0" autoFill="0" autoLine="0" autoPict="0">
                <anchor moveWithCells="1">
                  <from>
                    <xdr:col>19</xdr:col>
                    <xdr:colOff>22860</xdr:colOff>
                    <xdr:row>21</xdr:row>
                    <xdr:rowOff>7620</xdr:rowOff>
                  </from>
                  <to>
                    <xdr:col>19</xdr:col>
                    <xdr:colOff>259080</xdr:colOff>
                    <xdr:row>22</xdr:row>
                    <xdr:rowOff>38100</xdr:rowOff>
                  </to>
                </anchor>
              </controlPr>
            </control>
          </mc:Choice>
        </mc:AlternateContent>
        <mc:AlternateContent xmlns:mc="http://schemas.openxmlformats.org/markup-compatibility/2006">
          <mc:Choice Requires="x14">
            <control shapeId="2092" r:id="rId47" name="btnQuickView_F-018">
              <controlPr defaultSize="0" print="0" autoFill="0" autoPict="0" macro="기초자료_보기_실행">
                <anchor moveWithCells="1" sizeWithCells="1">
                  <from>
                    <xdr:col>22</xdr:col>
                    <xdr:colOff>7620</xdr:colOff>
                    <xdr:row>21</xdr:row>
                    <xdr:rowOff>15240</xdr:rowOff>
                  </from>
                  <to>
                    <xdr:col>23</xdr:col>
                    <xdr:colOff>60960</xdr:colOff>
                    <xdr:row>21</xdr:row>
                    <xdr:rowOff>205740</xdr:rowOff>
                  </to>
                </anchor>
              </controlPr>
            </control>
          </mc:Choice>
        </mc:AlternateContent>
        <mc:AlternateContent xmlns:mc="http://schemas.openxmlformats.org/markup-compatibility/2006">
          <mc:Choice Requires="x14">
            <control shapeId="2093" r:id="rId48" name="chkQuick_F-019">
              <controlPr defaultSize="0" autoFill="0" autoLine="0" autoPict="0">
                <anchor moveWithCells="1">
                  <from>
                    <xdr:col>19</xdr:col>
                    <xdr:colOff>22860</xdr:colOff>
                    <xdr:row>22</xdr:row>
                    <xdr:rowOff>7620</xdr:rowOff>
                  </from>
                  <to>
                    <xdr:col>19</xdr:col>
                    <xdr:colOff>259080</xdr:colOff>
                    <xdr:row>23</xdr:row>
                    <xdr:rowOff>38100</xdr:rowOff>
                  </to>
                </anchor>
              </controlPr>
            </control>
          </mc:Choice>
        </mc:AlternateContent>
        <mc:AlternateContent xmlns:mc="http://schemas.openxmlformats.org/markup-compatibility/2006">
          <mc:Choice Requires="x14">
            <control shapeId="2094" r:id="rId49" name="btnQuickView_F-019">
              <controlPr defaultSize="0" print="0" autoFill="0" autoPict="0" macro="기초자료_보기_실행">
                <anchor moveWithCells="1" sizeWithCells="1">
                  <from>
                    <xdr:col>22</xdr:col>
                    <xdr:colOff>7620</xdr:colOff>
                    <xdr:row>22</xdr:row>
                    <xdr:rowOff>15240</xdr:rowOff>
                  </from>
                  <to>
                    <xdr:col>23</xdr:col>
                    <xdr:colOff>60960</xdr:colOff>
                    <xdr:row>22</xdr:row>
                    <xdr:rowOff>205740</xdr:rowOff>
                  </to>
                </anchor>
              </controlPr>
            </control>
          </mc:Choice>
        </mc:AlternateContent>
        <mc:AlternateContent xmlns:mc="http://schemas.openxmlformats.org/markup-compatibility/2006">
          <mc:Choice Requires="x14">
            <control shapeId="2095" r:id="rId50" name="chkQuick_F-020">
              <controlPr defaultSize="0" autoFill="0" autoLine="0" autoPict="0">
                <anchor moveWithCells="1">
                  <from>
                    <xdr:col>19</xdr:col>
                    <xdr:colOff>22860</xdr:colOff>
                    <xdr:row>23</xdr:row>
                    <xdr:rowOff>7620</xdr:rowOff>
                  </from>
                  <to>
                    <xdr:col>19</xdr:col>
                    <xdr:colOff>259080</xdr:colOff>
                    <xdr:row>24</xdr:row>
                    <xdr:rowOff>38100</xdr:rowOff>
                  </to>
                </anchor>
              </controlPr>
            </control>
          </mc:Choice>
        </mc:AlternateContent>
        <mc:AlternateContent xmlns:mc="http://schemas.openxmlformats.org/markup-compatibility/2006">
          <mc:Choice Requires="x14">
            <control shapeId="2096" r:id="rId51" name="btnQuickView_F-020">
              <controlPr defaultSize="0" print="0" autoFill="0" autoPict="0" macro="기초자료_보기_실행">
                <anchor moveWithCells="1" sizeWithCells="1">
                  <from>
                    <xdr:col>22</xdr:col>
                    <xdr:colOff>7620</xdr:colOff>
                    <xdr:row>23</xdr:row>
                    <xdr:rowOff>15240</xdr:rowOff>
                  </from>
                  <to>
                    <xdr:col>23</xdr:col>
                    <xdr:colOff>60960</xdr:colOff>
                    <xdr:row>23</xdr:row>
                    <xdr:rowOff>205740</xdr:rowOff>
                  </to>
                </anchor>
              </controlPr>
            </control>
          </mc:Choice>
        </mc:AlternateContent>
        <mc:AlternateContent xmlns:mc="http://schemas.openxmlformats.org/markup-compatibility/2006">
          <mc:Choice Requires="x14">
            <control shapeId="2097" r:id="rId52" name="chkQuick_F-021">
              <controlPr defaultSize="0" autoFill="0" autoLine="0" autoPict="0">
                <anchor moveWithCells="1">
                  <from>
                    <xdr:col>19</xdr:col>
                    <xdr:colOff>22860</xdr:colOff>
                    <xdr:row>24</xdr:row>
                    <xdr:rowOff>7620</xdr:rowOff>
                  </from>
                  <to>
                    <xdr:col>19</xdr:col>
                    <xdr:colOff>259080</xdr:colOff>
                    <xdr:row>24</xdr:row>
                    <xdr:rowOff>259080</xdr:rowOff>
                  </to>
                </anchor>
              </controlPr>
            </control>
          </mc:Choice>
        </mc:AlternateContent>
        <mc:AlternateContent xmlns:mc="http://schemas.openxmlformats.org/markup-compatibility/2006">
          <mc:Choice Requires="x14">
            <control shapeId="2098" r:id="rId53" name="btnQuickView_F-021">
              <controlPr defaultSize="0" print="0" autoFill="0" autoPict="0" macro="기초자료_보기_실행">
                <anchor moveWithCells="1" sizeWithCells="1">
                  <from>
                    <xdr:col>22</xdr:col>
                    <xdr:colOff>7620</xdr:colOff>
                    <xdr:row>24</xdr:row>
                    <xdr:rowOff>281940</xdr:rowOff>
                  </from>
                  <to>
                    <xdr:col>23</xdr:col>
                    <xdr:colOff>60960</xdr:colOff>
                    <xdr:row>24</xdr:row>
                    <xdr:rowOff>472440</xdr:rowOff>
                  </to>
                </anchor>
              </controlPr>
            </control>
          </mc:Choice>
        </mc:AlternateContent>
        <mc:AlternateContent xmlns:mc="http://schemas.openxmlformats.org/markup-compatibility/2006">
          <mc:Choice Requires="x14">
            <control shapeId="2099" r:id="rId54" name="chkQuick_F-022">
              <controlPr defaultSize="0" autoFill="0" autoLine="0" autoPict="0">
                <anchor moveWithCells="1">
                  <from>
                    <xdr:col>19</xdr:col>
                    <xdr:colOff>22860</xdr:colOff>
                    <xdr:row>25</xdr:row>
                    <xdr:rowOff>7620</xdr:rowOff>
                  </from>
                  <to>
                    <xdr:col>19</xdr:col>
                    <xdr:colOff>259080</xdr:colOff>
                    <xdr:row>26</xdr:row>
                    <xdr:rowOff>38100</xdr:rowOff>
                  </to>
                </anchor>
              </controlPr>
            </control>
          </mc:Choice>
        </mc:AlternateContent>
        <mc:AlternateContent xmlns:mc="http://schemas.openxmlformats.org/markup-compatibility/2006">
          <mc:Choice Requires="x14">
            <control shapeId="2100" r:id="rId55" name="btnQuickView_F-022">
              <controlPr defaultSize="0" print="0" autoFill="0" autoPict="0" macro="기초자료_보기_실행">
                <anchor moveWithCells="1" sizeWithCells="1">
                  <from>
                    <xdr:col>22</xdr:col>
                    <xdr:colOff>7620</xdr:colOff>
                    <xdr:row>25</xdr:row>
                    <xdr:rowOff>15240</xdr:rowOff>
                  </from>
                  <to>
                    <xdr:col>23</xdr:col>
                    <xdr:colOff>60960</xdr:colOff>
                    <xdr:row>25</xdr:row>
                    <xdr:rowOff>205740</xdr:rowOff>
                  </to>
                </anchor>
              </controlPr>
            </control>
          </mc:Choice>
        </mc:AlternateContent>
        <mc:AlternateContent xmlns:mc="http://schemas.openxmlformats.org/markup-compatibility/2006">
          <mc:Choice Requires="x14">
            <control shapeId="2101" r:id="rId56" name="chkQuick_F-023">
              <controlPr defaultSize="0" autoFill="0" autoLine="0" autoPict="0">
                <anchor moveWithCells="1">
                  <from>
                    <xdr:col>19</xdr:col>
                    <xdr:colOff>22860</xdr:colOff>
                    <xdr:row>26</xdr:row>
                    <xdr:rowOff>7620</xdr:rowOff>
                  </from>
                  <to>
                    <xdr:col>19</xdr:col>
                    <xdr:colOff>259080</xdr:colOff>
                    <xdr:row>27</xdr:row>
                    <xdr:rowOff>38100</xdr:rowOff>
                  </to>
                </anchor>
              </controlPr>
            </control>
          </mc:Choice>
        </mc:AlternateContent>
        <mc:AlternateContent xmlns:mc="http://schemas.openxmlformats.org/markup-compatibility/2006">
          <mc:Choice Requires="x14">
            <control shapeId="2102" r:id="rId57" name="btnQuickView_F-023">
              <controlPr defaultSize="0" print="0" autoFill="0" autoPict="0" macro="기초자료_보기_실행">
                <anchor moveWithCells="1" sizeWithCells="1">
                  <from>
                    <xdr:col>22</xdr:col>
                    <xdr:colOff>7620</xdr:colOff>
                    <xdr:row>26</xdr:row>
                    <xdr:rowOff>15240</xdr:rowOff>
                  </from>
                  <to>
                    <xdr:col>23</xdr:col>
                    <xdr:colOff>60960</xdr:colOff>
                    <xdr:row>26</xdr:row>
                    <xdr:rowOff>205740</xdr:rowOff>
                  </to>
                </anchor>
              </controlPr>
            </control>
          </mc:Choice>
        </mc:AlternateContent>
        <mc:AlternateContent xmlns:mc="http://schemas.openxmlformats.org/markup-compatibility/2006">
          <mc:Choice Requires="x14">
            <control shapeId="2103" r:id="rId58" name="chkQuick_F-024">
              <controlPr defaultSize="0" autoFill="0" autoLine="0" autoPict="0">
                <anchor moveWithCells="1">
                  <from>
                    <xdr:col>19</xdr:col>
                    <xdr:colOff>22860</xdr:colOff>
                    <xdr:row>27</xdr:row>
                    <xdr:rowOff>7620</xdr:rowOff>
                  </from>
                  <to>
                    <xdr:col>19</xdr:col>
                    <xdr:colOff>259080</xdr:colOff>
                    <xdr:row>28</xdr:row>
                    <xdr:rowOff>38100</xdr:rowOff>
                  </to>
                </anchor>
              </controlPr>
            </control>
          </mc:Choice>
        </mc:AlternateContent>
        <mc:AlternateContent xmlns:mc="http://schemas.openxmlformats.org/markup-compatibility/2006">
          <mc:Choice Requires="x14">
            <control shapeId="2104" r:id="rId59" name="btnQuickView_F-024">
              <controlPr defaultSize="0" print="0" autoFill="0" autoPict="0" macro="기초자료_보기_실행">
                <anchor moveWithCells="1" sizeWithCells="1">
                  <from>
                    <xdr:col>22</xdr:col>
                    <xdr:colOff>7620</xdr:colOff>
                    <xdr:row>27</xdr:row>
                    <xdr:rowOff>15240</xdr:rowOff>
                  </from>
                  <to>
                    <xdr:col>23</xdr:col>
                    <xdr:colOff>60960</xdr:colOff>
                    <xdr:row>27</xdr:row>
                    <xdr:rowOff>205740</xdr:rowOff>
                  </to>
                </anchor>
              </controlPr>
            </control>
          </mc:Choice>
        </mc:AlternateContent>
        <mc:AlternateContent xmlns:mc="http://schemas.openxmlformats.org/markup-compatibility/2006">
          <mc:Choice Requires="x14">
            <control shapeId="2105" r:id="rId60" name="chkQuick_F-025">
              <controlPr defaultSize="0" autoFill="0" autoLine="0" autoPict="0">
                <anchor moveWithCells="1">
                  <from>
                    <xdr:col>19</xdr:col>
                    <xdr:colOff>22860</xdr:colOff>
                    <xdr:row>28</xdr:row>
                    <xdr:rowOff>7620</xdr:rowOff>
                  </from>
                  <to>
                    <xdr:col>19</xdr:col>
                    <xdr:colOff>259080</xdr:colOff>
                    <xdr:row>29</xdr:row>
                    <xdr:rowOff>38100</xdr:rowOff>
                  </to>
                </anchor>
              </controlPr>
            </control>
          </mc:Choice>
        </mc:AlternateContent>
        <mc:AlternateContent xmlns:mc="http://schemas.openxmlformats.org/markup-compatibility/2006">
          <mc:Choice Requires="x14">
            <control shapeId="2106" r:id="rId61" name="btnQuickView_F-025">
              <controlPr defaultSize="0" print="0" autoFill="0" autoPict="0" macro="기초자료_보기_실행">
                <anchor moveWithCells="1" sizeWithCells="1">
                  <from>
                    <xdr:col>22</xdr:col>
                    <xdr:colOff>7620</xdr:colOff>
                    <xdr:row>28</xdr:row>
                    <xdr:rowOff>15240</xdr:rowOff>
                  </from>
                  <to>
                    <xdr:col>23</xdr:col>
                    <xdr:colOff>60960</xdr:colOff>
                    <xdr:row>28</xdr:row>
                    <xdr:rowOff>205740</xdr:rowOff>
                  </to>
                </anchor>
              </controlPr>
            </control>
          </mc:Choice>
        </mc:AlternateContent>
        <mc:AlternateContent xmlns:mc="http://schemas.openxmlformats.org/markup-compatibility/2006">
          <mc:Choice Requires="x14">
            <control shapeId="2107" r:id="rId62" name="chkQuick_F-026">
              <controlPr defaultSize="0" autoFill="0" autoLine="0" autoPict="0">
                <anchor moveWithCells="1">
                  <from>
                    <xdr:col>19</xdr:col>
                    <xdr:colOff>22860</xdr:colOff>
                    <xdr:row>29</xdr:row>
                    <xdr:rowOff>7620</xdr:rowOff>
                  </from>
                  <to>
                    <xdr:col>19</xdr:col>
                    <xdr:colOff>259080</xdr:colOff>
                    <xdr:row>30</xdr:row>
                    <xdr:rowOff>38100</xdr:rowOff>
                  </to>
                </anchor>
              </controlPr>
            </control>
          </mc:Choice>
        </mc:AlternateContent>
        <mc:AlternateContent xmlns:mc="http://schemas.openxmlformats.org/markup-compatibility/2006">
          <mc:Choice Requires="x14">
            <control shapeId="2108" r:id="rId63" name="chkQuick_F-027">
              <controlPr defaultSize="0" autoFill="0" autoLine="0" autoPict="0">
                <anchor moveWithCells="1">
                  <from>
                    <xdr:col>19</xdr:col>
                    <xdr:colOff>22860</xdr:colOff>
                    <xdr:row>30</xdr:row>
                    <xdr:rowOff>7620</xdr:rowOff>
                  </from>
                  <to>
                    <xdr:col>19</xdr:col>
                    <xdr:colOff>259080</xdr:colOff>
                    <xdr:row>31</xdr:row>
                    <xdr:rowOff>38100</xdr:rowOff>
                  </to>
                </anchor>
              </controlPr>
            </control>
          </mc:Choice>
        </mc:AlternateContent>
        <mc:AlternateContent xmlns:mc="http://schemas.openxmlformats.org/markup-compatibility/2006">
          <mc:Choice Requires="x14">
            <control shapeId="2109" r:id="rId64" name="btnQuickView_F-027">
              <controlPr defaultSize="0" print="0" autoFill="0" autoPict="0" macro="기초자료_보기_실행">
                <anchor moveWithCells="1" sizeWithCells="1">
                  <from>
                    <xdr:col>22</xdr:col>
                    <xdr:colOff>7620</xdr:colOff>
                    <xdr:row>30</xdr:row>
                    <xdr:rowOff>15240</xdr:rowOff>
                  </from>
                  <to>
                    <xdr:col>23</xdr:col>
                    <xdr:colOff>60960</xdr:colOff>
                    <xdr:row>30</xdr:row>
                    <xdr:rowOff>205740</xdr:rowOff>
                  </to>
                </anchor>
              </controlPr>
            </control>
          </mc:Choice>
        </mc:AlternateContent>
        <mc:AlternateContent xmlns:mc="http://schemas.openxmlformats.org/markup-compatibility/2006">
          <mc:Choice Requires="x14">
            <control shapeId="2110" r:id="rId65" name="chkQuick_F-028">
              <controlPr defaultSize="0" autoFill="0" autoLine="0" autoPict="0">
                <anchor moveWithCells="1">
                  <from>
                    <xdr:col>19</xdr:col>
                    <xdr:colOff>22860</xdr:colOff>
                    <xdr:row>31</xdr:row>
                    <xdr:rowOff>7620</xdr:rowOff>
                  </from>
                  <to>
                    <xdr:col>19</xdr:col>
                    <xdr:colOff>259080</xdr:colOff>
                    <xdr:row>32</xdr:row>
                    <xdr:rowOff>38100</xdr:rowOff>
                  </to>
                </anchor>
              </controlPr>
            </control>
          </mc:Choice>
        </mc:AlternateContent>
        <mc:AlternateContent xmlns:mc="http://schemas.openxmlformats.org/markup-compatibility/2006">
          <mc:Choice Requires="x14">
            <control shapeId="2111" r:id="rId66" name="chkQuick_F-029">
              <controlPr defaultSize="0" autoFill="0" autoLine="0" autoPict="0">
                <anchor moveWithCells="1">
                  <from>
                    <xdr:col>19</xdr:col>
                    <xdr:colOff>22860</xdr:colOff>
                    <xdr:row>32</xdr:row>
                    <xdr:rowOff>7620</xdr:rowOff>
                  </from>
                  <to>
                    <xdr:col>19</xdr:col>
                    <xdr:colOff>259080</xdr:colOff>
                    <xdr:row>33</xdr:row>
                    <xdr:rowOff>38100</xdr:rowOff>
                  </to>
                </anchor>
              </controlPr>
            </control>
          </mc:Choice>
        </mc:AlternateContent>
        <mc:AlternateContent xmlns:mc="http://schemas.openxmlformats.org/markup-compatibility/2006">
          <mc:Choice Requires="x14">
            <control shapeId="2112" r:id="rId67" name="btnQuickView_F-029">
              <controlPr defaultSize="0" print="0" autoFill="0" autoPict="0" macro="기초자료_보기_실행">
                <anchor moveWithCells="1" sizeWithCells="1">
                  <from>
                    <xdr:col>22</xdr:col>
                    <xdr:colOff>7620</xdr:colOff>
                    <xdr:row>32</xdr:row>
                    <xdr:rowOff>15240</xdr:rowOff>
                  </from>
                  <to>
                    <xdr:col>23</xdr:col>
                    <xdr:colOff>60960</xdr:colOff>
                    <xdr:row>32</xdr:row>
                    <xdr:rowOff>205740</xdr:rowOff>
                  </to>
                </anchor>
              </controlPr>
            </control>
          </mc:Choice>
        </mc:AlternateContent>
        <mc:AlternateContent xmlns:mc="http://schemas.openxmlformats.org/markup-compatibility/2006">
          <mc:Choice Requires="x14">
            <control shapeId="2113" r:id="rId68" name="chkQuick_F-030">
              <controlPr defaultSize="0" autoFill="0" autoLine="0" autoPict="0">
                <anchor moveWithCells="1">
                  <from>
                    <xdr:col>19</xdr:col>
                    <xdr:colOff>22860</xdr:colOff>
                    <xdr:row>33</xdr:row>
                    <xdr:rowOff>7620</xdr:rowOff>
                  </from>
                  <to>
                    <xdr:col>19</xdr:col>
                    <xdr:colOff>259080</xdr:colOff>
                    <xdr:row>34</xdr:row>
                    <xdr:rowOff>38100</xdr:rowOff>
                  </to>
                </anchor>
              </controlPr>
            </control>
          </mc:Choice>
        </mc:AlternateContent>
        <mc:AlternateContent xmlns:mc="http://schemas.openxmlformats.org/markup-compatibility/2006">
          <mc:Choice Requires="x14">
            <control shapeId="2114" r:id="rId69" name="btnQuickView_F-030">
              <controlPr defaultSize="0" print="0" autoFill="0" autoPict="0" macro="기초자료_보기_실행">
                <anchor moveWithCells="1" sizeWithCells="1">
                  <from>
                    <xdr:col>22</xdr:col>
                    <xdr:colOff>7620</xdr:colOff>
                    <xdr:row>33</xdr:row>
                    <xdr:rowOff>15240</xdr:rowOff>
                  </from>
                  <to>
                    <xdr:col>23</xdr:col>
                    <xdr:colOff>60960</xdr:colOff>
                    <xdr:row>33</xdr:row>
                    <xdr:rowOff>205740</xdr:rowOff>
                  </to>
                </anchor>
              </controlPr>
            </control>
          </mc:Choice>
        </mc:AlternateContent>
        <mc:AlternateContent xmlns:mc="http://schemas.openxmlformats.org/markup-compatibility/2006">
          <mc:Choice Requires="x14">
            <control shapeId="2115" r:id="rId70" name="chkQuick_F-031">
              <controlPr defaultSize="0" autoFill="0" autoLine="0" autoPict="0">
                <anchor moveWithCells="1">
                  <from>
                    <xdr:col>19</xdr:col>
                    <xdr:colOff>22860</xdr:colOff>
                    <xdr:row>34</xdr:row>
                    <xdr:rowOff>7620</xdr:rowOff>
                  </from>
                  <to>
                    <xdr:col>19</xdr:col>
                    <xdr:colOff>259080</xdr:colOff>
                    <xdr:row>35</xdr:row>
                    <xdr:rowOff>38100</xdr:rowOff>
                  </to>
                </anchor>
              </controlPr>
            </control>
          </mc:Choice>
        </mc:AlternateContent>
        <mc:AlternateContent xmlns:mc="http://schemas.openxmlformats.org/markup-compatibility/2006">
          <mc:Choice Requires="x14">
            <control shapeId="2116" r:id="rId71" name="btnQuickView_F-031">
              <controlPr defaultSize="0" print="0" autoFill="0" autoPict="0" macro="기초자료_보기_실행">
                <anchor moveWithCells="1" sizeWithCells="1">
                  <from>
                    <xdr:col>22</xdr:col>
                    <xdr:colOff>7620</xdr:colOff>
                    <xdr:row>34</xdr:row>
                    <xdr:rowOff>15240</xdr:rowOff>
                  </from>
                  <to>
                    <xdr:col>23</xdr:col>
                    <xdr:colOff>60960</xdr:colOff>
                    <xdr:row>34</xdr:row>
                    <xdr:rowOff>205740</xdr:rowOff>
                  </to>
                </anchor>
              </controlPr>
            </control>
          </mc:Choice>
        </mc:AlternateContent>
        <mc:AlternateContent xmlns:mc="http://schemas.openxmlformats.org/markup-compatibility/2006">
          <mc:Choice Requires="x14">
            <control shapeId="2117" r:id="rId72" name="chkQuick_F-032">
              <controlPr defaultSize="0" autoFill="0" autoLine="0" autoPict="0">
                <anchor moveWithCells="1">
                  <from>
                    <xdr:col>19</xdr:col>
                    <xdr:colOff>22860</xdr:colOff>
                    <xdr:row>35</xdr:row>
                    <xdr:rowOff>7620</xdr:rowOff>
                  </from>
                  <to>
                    <xdr:col>19</xdr:col>
                    <xdr:colOff>259080</xdr:colOff>
                    <xdr:row>36</xdr:row>
                    <xdr:rowOff>38100</xdr:rowOff>
                  </to>
                </anchor>
              </controlPr>
            </control>
          </mc:Choice>
        </mc:AlternateContent>
        <mc:AlternateContent xmlns:mc="http://schemas.openxmlformats.org/markup-compatibility/2006">
          <mc:Choice Requires="x14">
            <control shapeId="2118" r:id="rId73" name="btnQuickView_F-032">
              <controlPr defaultSize="0" print="0" autoFill="0" autoPict="0" macro="기초자료_보기_실행">
                <anchor moveWithCells="1" sizeWithCells="1">
                  <from>
                    <xdr:col>22</xdr:col>
                    <xdr:colOff>7620</xdr:colOff>
                    <xdr:row>35</xdr:row>
                    <xdr:rowOff>15240</xdr:rowOff>
                  </from>
                  <to>
                    <xdr:col>23</xdr:col>
                    <xdr:colOff>60960</xdr:colOff>
                    <xdr:row>35</xdr:row>
                    <xdr:rowOff>205740</xdr:rowOff>
                  </to>
                </anchor>
              </controlPr>
            </control>
          </mc:Choice>
        </mc:AlternateContent>
        <mc:AlternateContent xmlns:mc="http://schemas.openxmlformats.org/markup-compatibility/2006">
          <mc:Choice Requires="x14">
            <control shapeId="2119" r:id="rId74" name="chkQuick_F-033">
              <controlPr defaultSize="0" autoFill="0" autoLine="0" autoPict="0">
                <anchor moveWithCells="1">
                  <from>
                    <xdr:col>19</xdr:col>
                    <xdr:colOff>22860</xdr:colOff>
                    <xdr:row>36</xdr:row>
                    <xdr:rowOff>7620</xdr:rowOff>
                  </from>
                  <to>
                    <xdr:col>19</xdr:col>
                    <xdr:colOff>259080</xdr:colOff>
                    <xdr:row>37</xdr:row>
                    <xdr:rowOff>38100</xdr:rowOff>
                  </to>
                </anchor>
              </controlPr>
            </control>
          </mc:Choice>
        </mc:AlternateContent>
        <mc:AlternateContent xmlns:mc="http://schemas.openxmlformats.org/markup-compatibility/2006">
          <mc:Choice Requires="x14">
            <control shapeId="2120" r:id="rId75" name="btnQuickView_F-033">
              <controlPr defaultSize="0" print="0" autoFill="0" autoPict="0" macro="기초자료_보기_실행">
                <anchor moveWithCells="1" sizeWithCells="1">
                  <from>
                    <xdr:col>22</xdr:col>
                    <xdr:colOff>7620</xdr:colOff>
                    <xdr:row>36</xdr:row>
                    <xdr:rowOff>15240</xdr:rowOff>
                  </from>
                  <to>
                    <xdr:col>23</xdr:col>
                    <xdr:colOff>60960</xdr:colOff>
                    <xdr:row>36</xdr:row>
                    <xdr:rowOff>205740</xdr:rowOff>
                  </to>
                </anchor>
              </controlPr>
            </control>
          </mc:Choice>
        </mc:AlternateContent>
        <mc:AlternateContent xmlns:mc="http://schemas.openxmlformats.org/markup-compatibility/2006">
          <mc:Choice Requires="x14">
            <control shapeId="2121" r:id="rId76" name="chkQuick_F-034">
              <controlPr defaultSize="0" autoFill="0" autoLine="0" autoPict="0">
                <anchor moveWithCells="1">
                  <from>
                    <xdr:col>19</xdr:col>
                    <xdr:colOff>22860</xdr:colOff>
                    <xdr:row>37</xdr:row>
                    <xdr:rowOff>7620</xdr:rowOff>
                  </from>
                  <to>
                    <xdr:col>19</xdr:col>
                    <xdr:colOff>259080</xdr:colOff>
                    <xdr:row>38</xdr:row>
                    <xdr:rowOff>38100</xdr:rowOff>
                  </to>
                </anchor>
              </controlPr>
            </control>
          </mc:Choice>
        </mc:AlternateContent>
        <mc:AlternateContent xmlns:mc="http://schemas.openxmlformats.org/markup-compatibility/2006">
          <mc:Choice Requires="x14">
            <control shapeId="2122" r:id="rId77" name="btnQuickView_F-034">
              <controlPr defaultSize="0" print="0" autoFill="0" autoPict="0" macro="기초자료_보기_실행">
                <anchor moveWithCells="1" sizeWithCells="1">
                  <from>
                    <xdr:col>22</xdr:col>
                    <xdr:colOff>7620</xdr:colOff>
                    <xdr:row>37</xdr:row>
                    <xdr:rowOff>15240</xdr:rowOff>
                  </from>
                  <to>
                    <xdr:col>23</xdr:col>
                    <xdr:colOff>60960</xdr:colOff>
                    <xdr:row>37</xdr:row>
                    <xdr:rowOff>205740</xdr:rowOff>
                  </to>
                </anchor>
              </controlPr>
            </control>
          </mc:Choice>
        </mc:AlternateContent>
        <mc:AlternateContent xmlns:mc="http://schemas.openxmlformats.org/markup-compatibility/2006">
          <mc:Choice Requires="x14">
            <control shapeId="2123" r:id="rId78" name="chkQuick_F-035">
              <controlPr defaultSize="0" autoFill="0" autoLine="0" autoPict="0">
                <anchor moveWithCells="1">
                  <from>
                    <xdr:col>19</xdr:col>
                    <xdr:colOff>22860</xdr:colOff>
                    <xdr:row>38</xdr:row>
                    <xdr:rowOff>7620</xdr:rowOff>
                  </from>
                  <to>
                    <xdr:col>19</xdr:col>
                    <xdr:colOff>259080</xdr:colOff>
                    <xdr:row>39</xdr:row>
                    <xdr:rowOff>38100</xdr:rowOff>
                  </to>
                </anchor>
              </controlPr>
            </control>
          </mc:Choice>
        </mc:AlternateContent>
        <mc:AlternateContent xmlns:mc="http://schemas.openxmlformats.org/markup-compatibility/2006">
          <mc:Choice Requires="x14">
            <control shapeId="2124" r:id="rId79" name="btnQuickView_F-035">
              <controlPr defaultSize="0" print="0" autoFill="0" autoPict="0" macro="기초자료_보기_실행">
                <anchor moveWithCells="1" sizeWithCells="1">
                  <from>
                    <xdr:col>22</xdr:col>
                    <xdr:colOff>7620</xdr:colOff>
                    <xdr:row>38</xdr:row>
                    <xdr:rowOff>15240</xdr:rowOff>
                  </from>
                  <to>
                    <xdr:col>23</xdr:col>
                    <xdr:colOff>60960</xdr:colOff>
                    <xdr:row>38</xdr:row>
                    <xdr:rowOff>205740</xdr:rowOff>
                  </to>
                </anchor>
              </controlPr>
            </control>
          </mc:Choice>
        </mc:AlternateContent>
        <mc:AlternateContent xmlns:mc="http://schemas.openxmlformats.org/markup-compatibility/2006">
          <mc:Choice Requires="x14">
            <control shapeId="2125" r:id="rId80" name="chkQuick_F-036">
              <controlPr defaultSize="0" autoFill="0" autoLine="0" autoPict="0">
                <anchor moveWithCells="1">
                  <from>
                    <xdr:col>19</xdr:col>
                    <xdr:colOff>22860</xdr:colOff>
                    <xdr:row>39</xdr:row>
                    <xdr:rowOff>7620</xdr:rowOff>
                  </from>
                  <to>
                    <xdr:col>19</xdr:col>
                    <xdr:colOff>259080</xdr:colOff>
                    <xdr:row>40</xdr:row>
                    <xdr:rowOff>38100</xdr:rowOff>
                  </to>
                </anchor>
              </controlPr>
            </control>
          </mc:Choice>
        </mc:AlternateContent>
        <mc:AlternateContent xmlns:mc="http://schemas.openxmlformats.org/markup-compatibility/2006">
          <mc:Choice Requires="x14">
            <control shapeId="2126" r:id="rId81" name="btnQuickView_F-036">
              <controlPr defaultSize="0" print="0" autoFill="0" autoPict="0" macro="기초자료_보기_실행">
                <anchor moveWithCells="1" sizeWithCells="1">
                  <from>
                    <xdr:col>22</xdr:col>
                    <xdr:colOff>7620</xdr:colOff>
                    <xdr:row>39</xdr:row>
                    <xdr:rowOff>15240</xdr:rowOff>
                  </from>
                  <to>
                    <xdr:col>23</xdr:col>
                    <xdr:colOff>60960</xdr:colOff>
                    <xdr:row>39</xdr:row>
                    <xdr:rowOff>205740</xdr:rowOff>
                  </to>
                </anchor>
              </controlPr>
            </control>
          </mc:Choice>
        </mc:AlternateContent>
        <mc:AlternateContent xmlns:mc="http://schemas.openxmlformats.org/markup-compatibility/2006">
          <mc:Choice Requires="x14">
            <control shapeId="2127" r:id="rId82" name="chkQuick_F-037">
              <controlPr defaultSize="0" autoFill="0" autoLine="0" autoPict="0">
                <anchor moveWithCells="1">
                  <from>
                    <xdr:col>19</xdr:col>
                    <xdr:colOff>22860</xdr:colOff>
                    <xdr:row>40</xdr:row>
                    <xdr:rowOff>7620</xdr:rowOff>
                  </from>
                  <to>
                    <xdr:col>19</xdr:col>
                    <xdr:colOff>259080</xdr:colOff>
                    <xdr:row>41</xdr:row>
                    <xdr:rowOff>38100</xdr:rowOff>
                  </to>
                </anchor>
              </controlPr>
            </control>
          </mc:Choice>
        </mc:AlternateContent>
        <mc:AlternateContent xmlns:mc="http://schemas.openxmlformats.org/markup-compatibility/2006">
          <mc:Choice Requires="x14">
            <control shapeId="2128" r:id="rId83" name="btnQuickView_F-037">
              <controlPr defaultSize="0" print="0" autoFill="0" autoPict="0" macro="기초자료_보기_실행">
                <anchor moveWithCells="1" sizeWithCells="1">
                  <from>
                    <xdr:col>22</xdr:col>
                    <xdr:colOff>7620</xdr:colOff>
                    <xdr:row>40</xdr:row>
                    <xdr:rowOff>15240</xdr:rowOff>
                  </from>
                  <to>
                    <xdr:col>23</xdr:col>
                    <xdr:colOff>60960</xdr:colOff>
                    <xdr:row>40</xdr:row>
                    <xdr:rowOff>205740</xdr:rowOff>
                  </to>
                </anchor>
              </controlPr>
            </control>
          </mc:Choice>
        </mc:AlternateContent>
        <mc:AlternateContent xmlns:mc="http://schemas.openxmlformats.org/markup-compatibility/2006">
          <mc:Choice Requires="x14">
            <control shapeId="2129" r:id="rId84" name="chkQuick_F-038">
              <controlPr defaultSize="0" autoFill="0" autoLine="0" autoPict="0">
                <anchor moveWithCells="1">
                  <from>
                    <xdr:col>19</xdr:col>
                    <xdr:colOff>22860</xdr:colOff>
                    <xdr:row>41</xdr:row>
                    <xdr:rowOff>7620</xdr:rowOff>
                  </from>
                  <to>
                    <xdr:col>19</xdr:col>
                    <xdr:colOff>259080</xdr:colOff>
                    <xdr:row>42</xdr:row>
                    <xdr:rowOff>38100</xdr:rowOff>
                  </to>
                </anchor>
              </controlPr>
            </control>
          </mc:Choice>
        </mc:AlternateContent>
        <mc:AlternateContent xmlns:mc="http://schemas.openxmlformats.org/markup-compatibility/2006">
          <mc:Choice Requires="x14">
            <control shapeId="2130" r:id="rId85" name="btnQuickView_F-038">
              <controlPr defaultSize="0" print="0" autoFill="0" autoPict="0" macro="기초자료_보기_실행">
                <anchor moveWithCells="1" sizeWithCells="1">
                  <from>
                    <xdr:col>22</xdr:col>
                    <xdr:colOff>7620</xdr:colOff>
                    <xdr:row>41</xdr:row>
                    <xdr:rowOff>15240</xdr:rowOff>
                  </from>
                  <to>
                    <xdr:col>23</xdr:col>
                    <xdr:colOff>60960</xdr:colOff>
                    <xdr:row>41</xdr:row>
                    <xdr:rowOff>205740</xdr:rowOff>
                  </to>
                </anchor>
              </controlPr>
            </control>
          </mc:Choice>
        </mc:AlternateContent>
        <mc:AlternateContent xmlns:mc="http://schemas.openxmlformats.org/markup-compatibility/2006">
          <mc:Choice Requires="x14">
            <control shapeId="2131" r:id="rId86" name="chkQuick_F-039">
              <controlPr defaultSize="0" autoFill="0" autoLine="0" autoPict="0">
                <anchor moveWithCells="1">
                  <from>
                    <xdr:col>19</xdr:col>
                    <xdr:colOff>22860</xdr:colOff>
                    <xdr:row>42</xdr:row>
                    <xdr:rowOff>7620</xdr:rowOff>
                  </from>
                  <to>
                    <xdr:col>19</xdr:col>
                    <xdr:colOff>259080</xdr:colOff>
                    <xdr:row>43</xdr:row>
                    <xdr:rowOff>38100</xdr:rowOff>
                  </to>
                </anchor>
              </controlPr>
            </control>
          </mc:Choice>
        </mc:AlternateContent>
        <mc:AlternateContent xmlns:mc="http://schemas.openxmlformats.org/markup-compatibility/2006">
          <mc:Choice Requires="x14">
            <control shapeId="2132" r:id="rId87" name="btnQuickView_F-039">
              <controlPr defaultSize="0" print="0" autoFill="0" autoPict="0" macro="기초자료_보기_실행">
                <anchor moveWithCells="1" sizeWithCells="1">
                  <from>
                    <xdr:col>22</xdr:col>
                    <xdr:colOff>7620</xdr:colOff>
                    <xdr:row>42</xdr:row>
                    <xdr:rowOff>15240</xdr:rowOff>
                  </from>
                  <to>
                    <xdr:col>23</xdr:col>
                    <xdr:colOff>60960</xdr:colOff>
                    <xdr:row>42</xdr:row>
                    <xdr:rowOff>205740</xdr:rowOff>
                  </to>
                </anchor>
              </controlPr>
            </control>
          </mc:Choice>
        </mc:AlternateContent>
        <mc:AlternateContent xmlns:mc="http://schemas.openxmlformats.org/markup-compatibility/2006">
          <mc:Choice Requires="x14">
            <control shapeId="2133" r:id="rId88" name="chkQuick_F-040">
              <controlPr defaultSize="0" autoFill="0" autoLine="0" autoPict="0">
                <anchor moveWithCells="1">
                  <from>
                    <xdr:col>19</xdr:col>
                    <xdr:colOff>22860</xdr:colOff>
                    <xdr:row>43</xdr:row>
                    <xdr:rowOff>7620</xdr:rowOff>
                  </from>
                  <to>
                    <xdr:col>19</xdr:col>
                    <xdr:colOff>259080</xdr:colOff>
                    <xdr:row>44</xdr:row>
                    <xdr:rowOff>38100</xdr:rowOff>
                  </to>
                </anchor>
              </controlPr>
            </control>
          </mc:Choice>
        </mc:AlternateContent>
        <mc:AlternateContent xmlns:mc="http://schemas.openxmlformats.org/markup-compatibility/2006">
          <mc:Choice Requires="x14">
            <control shapeId="2134" r:id="rId89" name="btnQuickView_F-040">
              <controlPr defaultSize="0" print="0" autoFill="0" autoPict="0" macro="기초자료_보기_실행">
                <anchor moveWithCells="1" sizeWithCells="1">
                  <from>
                    <xdr:col>22</xdr:col>
                    <xdr:colOff>7620</xdr:colOff>
                    <xdr:row>43</xdr:row>
                    <xdr:rowOff>15240</xdr:rowOff>
                  </from>
                  <to>
                    <xdr:col>23</xdr:col>
                    <xdr:colOff>60960</xdr:colOff>
                    <xdr:row>43</xdr:row>
                    <xdr:rowOff>205740</xdr:rowOff>
                  </to>
                </anchor>
              </controlPr>
            </control>
          </mc:Choice>
        </mc:AlternateContent>
        <mc:AlternateContent xmlns:mc="http://schemas.openxmlformats.org/markup-compatibility/2006">
          <mc:Choice Requires="x14">
            <control shapeId="2135" r:id="rId90" name="chkQuick_F-041">
              <controlPr defaultSize="0" autoFill="0" autoLine="0" autoPict="0">
                <anchor moveWithCells="1">
                  <from>
                    <xdr:col>19</xdr:col>
                    <xdr:colOff>22860</xdr:colOff>
                    <xdr:row>44</xdr:row>
                    <xdr:rowOff>7620</xdr:rowOff>
                  </from>
                  <to>
                    <xdr:col>19</xdr:col>
                    <xdr:colOff>259080</xdr:colOff>
                    <xdr:row>45</xdr:row>
                    <xdr:rowOff>38100</xdr:rowOff>
                  </to>
                </anchor>
              </controlPr>
            </control>
          </mc:Choice>
        </mc:AlternateContent>
        <mc:AlternateContent xmlns:mc="http://schemas.openxmlformats.org/markup-compatibility/2006">
          <mc:Choice Requires="x14">
            <control shapeId="2136" r:id="rId91" name="btnQuickView_F-041">
              <controlPr defaultSize="0" print="0" autoFill="0" autoPict="0" macro="기초자료_보기_실행">
                <anchor moveWithCells="1" sizeWithCells="1">
                  <from>
                    <xdr:col>22</xdr:col>
                    <xdr:colOff>7620</xdr:colOff>
                    <xdr:row>44</xdr:row>
                    <xdr:rowOff>15240</xdr:rowOff>
                  </from>
                  <to>
                    <xdr:col>23</xdr:col>
                    <xdr:colOff>60960</xdr:colOff>
                    <xdr:row>44</xdr:row>
                    <xdr:rowOff>205740</xdr:rowOff>
                  </to>
                </anchor>
              </controlPr>
            </control>
          </mc:Choice>
        </mc:AlternateContent>
        <mc:AlternateContent xmlns:mc="http://schemas.openxmlformats.org/markup-compatibility/2006">
          <mc:Choice Requires="x14">
            <control shapeId="2137" r:id="rId92" name="chkQuick_F-042">
              <controlPr defaultSize="0" autoFill="0" autoLine="0" autoPict="0">
                <anchor moveWithCells="1">
                  <from>
                    <xdr:col>19</xdr:col>
                    <xdr:colOff>22860</xdr:colOff>
                    <xdr:row>45</xdr:row>
                    <xdr:rowOff>7620</xdr:rowOff>
                  </from>
                  <to>
                    <xdr:col>19</xdr:col>
                    <xdr:colOff>259080</xdr:colOff>
                    <xdr:row>46</xdr:row>
                    <xdr:rowOff>38100</xdr:rowOff>
                  </to>
                </anchor>
              </controlPr>
            </control>
          </mc:Choice>
        </mc:AlternateContent>
        <mc:AlternateContent xmlns:mc="http://schemas.openxmlformats.org/markup-compatibility/2006">
          <mc:Choice Requires="x14">
            <control shapeId="2138" r:id="rId93" name="btnQuickView_F-042">
              <controlPr defaultSize="0" print="0" autoFill="0" autoPict="0" macro="기초자료_보기_실행">
                <anchor moveWithCells="1" sizeWithCells="1">
                  <from>
                    <xdr:col>22</xdr:col>
                    <xdr:colOff>7620</xdr:colOff>
                    <xdr:row>45</xdr:row>
                    <xdr:rowOff>15240</xdr:rowOff>
                  </from>
                  <to>
                    <xdr:col>23</xdr:col>
                    <xdr:colOff>60960</xdr:colOff>
                    <xdr:row>45</xdr:row>
                    <xdr:rowOff>205740</xdr:rowOff>
                  </to>
                </anchor>
              </controlPr>
            </control>
          </mc:Choice>
        </mc:AlternateContent>
        <mc:AlternateContent xmlns:mc="http://schemas.openxmlformats.org/markup-compatibility/2006">
          <mc:Choice Requires="x14">
            <control shapeId="2139" r:id="rId94" name="chkQuick_F-043">
              <controlPr defaultSize="0" autoFill="0" autoLine="0" autoPict="0">
                <anchor moveWithCells="1">
                  <from>
                    <xdr:col>19</xdr:col>
                    <xdr:colOff>22860</xdr:colOff>
                    <xdr:row>46</xdr:row>
                    <xdr:rowOff>7620</xdr:rowOff>
                  </from>
                  <to>
                    <xdr:col>19</xdr:col>
                    <xdr:colOff>259080</xdr:colOff>
                    <xdr:row>47</xdr:row>
                    <xdr:rowOff>38100</xdr:rowOff>
                  </to>
                </anchor>
              </controlPr>
            </control>
          </mc:Choice>
        </mc:AlternateContent>
        <mc:AlternateContent xmlns:mc="http://schemas.openxmlformats.org/markup-compatibility/2006">
          <mc:Choice Requires="x14">
            <control shapeId="2140" r:id="rId95" name="btnQuickView_F-043">
              <controlPr defaultSize="0" print="0" autoFill="0" autoPict="0" macro="기초자료_보기_실행">
                <anchor moveWithCells="1" sizeWithCells="1">
                  <from>
                    <xdr:col>22</xdr:col>
                    <xdr:colOff>7620</xdr:colOff>
                    <xdr:row>46</xdr:row>
                    <xdr:rowOff>15240</xdr:rowOff>
                  </from>
                  <to>
                    <xdr:col>23</xdr:col>
                    <xdr:colOff>60960</xdr:colOff>
                    <xdr:row>46</xdr:row>
                    <xdr:rowOff>205740</xdr:rowOff>
                  </to>
                </anchor>
              </controlPr>
            </control>
          </mc:Choice>
        </mc:AlternateContent>
        <mc:AlternateContent xmlns:mc="http://schemas.openxmlformats.org/markup-compatibility/2006">
          <mc:Choice Requires="x14">
            <control shapeId="2141" r:id="rId96" name="chkQuick_F-044">
              <controlPr defaultSize="0" autoFill="0" autoLine="0" autoPict="0">
                <anchor moveWithCells="1">
                  <from>
                    <xdr:col>19</xdr:col>
                    <xdr:colOff>22860</xdr:colOff>
                    <xdr:row>47</xdr:row>
                    <xdr:rowOff>7620</xdr:rowOff>
                  </from>
                  <to>
                    <xdr:col>19</xdr:col>
                    <xdr:colOff>259080</xdr:colOff>
                    <xdr:row>48</xdr:row>
                    <xdr:rowOff>38100</xdr:rowOff>
                  </to>
                </anchor>
              </controlPr>
            </control>
          </mc:Choice>
        </mc:AlternateContent>
        <mc:AlternateContent xmlns:mc="http://schemas.openxmlformats.org/markup-compatibility/2006">
          <mc:Choice Requires="x14">
            <control shapeId="2142" r:id="rId97" name="btnQuickView_F-044">
              <controlPr defaultSize="0" print="0" autoFill="0" autoPict="0" macro="기초자료_보기_실행">
                <anchor moveWithCells="1" sizeWithCells="1">
                  <from>
                    <xdr:col>22</xdr:col>
                    <xdr:colOff>7620</xdr:colOff>
                    <xdr:row>47</xdr:row>
                    <xdr:rowOff>15240</xdr:rowOff>
                  </from>
                  <to>
                    <xdr:col>23</xdr:col>
                    <xdr:colOff>60960</xdr:colOff>
                    <xdr:row>47</xdr:row>
                    <xdr:rowOff>205740</xdr:rowOff>
                  </to>
                </anchor>
              </controlPr>
            </control>
          </mc:Choice>
        </mc:AlternateContent>
        <mc:AlternateContent xmlns:mc="http://schemas.openxmlformats.org/markup-compatibility/2006">
          <mc:Choice Requires="x14">
            <control shapeId="2143" r:id="rId98" name="chkQuick_F-045">
              <controlPr defaultSize="0" autoFill="0" autoLine="0" autoPict="0">
                <anchor moveWithCells="1">
                  <from>
                    <xdr:col>19</xdr:col>
                    <xdr:colOff>22860</xdr:colOff>
                    <xdr:row>48</xdr:row>
                    <xdr:rowOff>7620</xdr:rowOff>
                  </from>
                  <to>
                    <xdr:col>19</xdr:col>
                    <xdr:colOff>259080</xdr:colOff>
                    <xdr:row>49</xdr:row>
                    <xdr:rowOff>38100</xdr:rowOff>
                  </to>
                </anchor>
              </controlPr>
            </control>
          </mc:Choice>
        </mc:AlternateContent>
        <mc:AlternateContent xmlns:mc="http://schemas.openxmlformats.org/markup-compatibility/2006">
          <mc:Choice Requires="x14">
            <control shapeId="2144" r:id="rId99" name="btnQuickView_F-045">
              <controlPr defaultSize="0" print="0" autoFill="0" autoPict="0" macro="기초자료_보기_실행">
                <anchor moveWithCells="1" sizeWithCells="1">
                  <from>
                    <xdr:col>22</xdr:col>
                    <xdr:colOff>7620</xdr:colOff>
                    <xdr:row>48</xdr:row>
                    <xdr:rowOff>15240</xdr:rowOff>
                  </from>
                  <to>
                    <xdr:col>23</xdr:col>
                    <xdr:colOff>60960</xdr:colOff>
                    <xdr:row>48</xdr:row>
                    <xdr:rowOff>205740</xdr:rowOff>
                  </to>
                </anchor>
              </controlPr>
            </control>
          </mc:Choice>
        </mc:AlternateContent>
        <mc:AlternateContent xmlns:mc="http://schemas.openxmlformats.org/markup-compatibility/2006">
          <mc:Choice Requires="x14">
            <control shapeId="2145" r:id="rId100" name="chkQuick_F-046">
              <controlPr defaultSize="0" autoFill="0" autoLine="0" autoPict="0">
                <anchor moveWithCells="1">
                  <from>
                    <xdr:col>19</xdr:col>
                    <xdr:colOff>22860</xdr:colOff>
                    <xdr:row>49</xdr:row>
                    <xdr:rowOff>7620</xdr:rowOff>
                  </from>
                  <to>
                    <xdr:col>19</xdr:col>
                    <xdr:colOff>259080</xdr:colOff>
                    <xdr:row>50</xdr:row>
                    <xdr:rowOff>38100</xdr:rowOff>
                  </to>
                </anchor>
              </controlPr>
            </control>
          </mc:Choice>
        </mc:AlternateContent>
        <mc:AlternateContent xmlns:mc="http://schemas.openxmlformats.org/markup-compatibility/2006">
          <mc:Choice Requires="x14">
            <control shapeId="2146" r:id="rId101" name="btnQuickView_F-046">
              <controlPr defaultSize="0" print="0" autoFill="0" autoPict="0" macro="기초자료_보기_실행">
                <anchor moveWithCells="1" sizeWithCells="1">
                  <from>
                    <xdr:col>22</xdr:col>
                    <xdr:colOff>7620</xdr:colOff>
                    <xdr:row>49</xdr:row>
                    <xdr:rowOff>15240</xdr:rowOff>
                  </from>
                  <to>
                    <xdr:col>23</xdr:col>
                    <xdr:colOff>60960</xdr:colOff>
                    <xdr:row>49</xdr:row>
                    <xdr:rowOff>205740</xdr:rowOff>
                  </to>
                </anchor>
              </controlPr>
            </control>
          </mc:Choice>
        </mc:AlternateContent>
        <mc:AlternateContent xmlns:mc="http://schemas.openxmlformats.org/markup-compatibility/2006">
          <mc:Choice Requires="x14">
            <control shapeId="2147" r:id="rId102" name="chkQuick_F-047">
              <controlPr defaultSize="0" autoFill="0" autoLine="0" autoPict="0">
                <anchor moveWithCells="1">
                  <from>
                    <xdr:col>19</xdr:col>
                    <xdr:colOff>22860</xdr:colOff>
                    <xdr:row>50</xdr:row>
                    <xdr:rowOff>7620</xdr:rowOff>
                  </from>
                  <to>
                    <xdr:col>19</xdr:col>
                    <xdr:colOff>259080</xdr:colOff>
                    <xdr:row>51</xdr:row>
                    <xdr:rowOff>38100</xdr:rowOff>
                  </to>
                </anchor>
              </controlPr>
            </control>
          </mc:Choice>
        </mc:AlternateContent>
        <mc:AlternateContent xmlns:mc="http://schemas.openxmlformats.org/markup-compatibility/2006">
          <mc:Choice Requires="x14">
            <control shapeId="2148" r:id="rId103" name="btnQuickView_F-047">
              <controlPr defaultSize="0" print="0" autoFill="0" autoPict="0" macro="기초자료_보기_실행">
                <anchor moveWithCells="1" sizeWithCells="1">
                  <from>
                    <xdr:col>22</xdr:col>
                    <xdr:colOff>7620</xdr:colOff>
                    <xdr:row>50</xdr:row>
                    <xdr:rowOff>15240</xdr:rowOff>
                  </from>
                  <to>
                    <xdr:col>23</xdr:col>
                    <xdr:colOff>60960</xdr:colOff>
                    <xdr:row>50</xdr:row>
                    <xdr:rowOff>205740</xdr:rowOff>
                  </to>
                </anchor>
              </controlPr>
            </control>
          </mc:Choice>
        </mc:AlternateContent>
        <mc:AlternateContent xmlns:mc="http://schemas.openxmlformats.org/markup-compatibility/2006">
          <mc:Choice Requires="x14">
            <control shapeId="2149" r:id="rId104" name="chkQuick_F-048">
              <controlPr defaultSize="0" autoFill="0" autoLine="0" autoPict="0">
                <anchor moveWithCells="1">
                  <from>
                    <xdr:col>19</xdr:col>
                    <xdr:colOff>22860</xdr:colOff>
                    <xdr:row>51</xdr:row>
                    <xdr:rowOff>7620</xdr:rowOff>
                  </from>
                  <to>
                    <xdr:col>19</xdr:col>
                    <xdr:colOff>259080</xdr:colOff>
                    <xdr:row>52</xdr:row>
                    <xdr:rowOff>38100</xdr:rowOff>
                  </to>
                </anchor>
              </controlPr>
            </control>
          </mc:Choice>
        </mc:AlternateContent>
        <mc:AlternateContent xmlns:mc="http://schemas.openxmlformats.org/markup-compatibility/2006">
          <mc:Choice Requires="x14">
            <control shapeId="2150" r:id="rId105" name="btnQuickView_F-048">
              <controlPr defaultSize="0" print="0" autoFill="0" autoPict="0" macro="기초자료_보기_실행">
                <anchor moveWithCells="1" sizeWithCells="1">
                  <from>
                    <xdr:col>22</xdr:col>
                    <xdr:colOff>7620</xdr:colOff>
                    <xdr:row>51</xdr:row>
                    <xdr:rowOff>15240</xdr:rowOff>
                  </from>
                  <to>
                    <xdr:col>23</xdr:col>
                    <xdr:colOff>60960</xdr:colOff>
                    <xdr:row>51</xdr:row>
                    <xdr:rowOff>205740</xdr:rowOff>
                  </to>
                </anchor>
              </controlPr>
            </control>
          </mc:Choice>
        </mc:AlternateContent>
        <mc:AlternateContent xmlns:mc="http://schemas.openxmlformats.org/markup-compatibility/2006">
          <mc:Choice Requires="x14">
            <control shapeId="2151" r:id="rId106" name="chkQuick_F-049">
              <controlPr defaultSize="0" autoFill="0" autoLine="0" autoPict="0">
                <anchor moveWithCells="1">
                  <from>
                    <xdr:col>19</xdr:col>
                    <xdr:colOff>22860</xdr:colOff>
                    <xdr:row>52</xdr:row>
                    <xdr:rowOff>7620</xdr:rowOff>
                  </from>
                  <to>
                    <xdr:col>19</xdr:col>
                    <xdr:colOff>259080</xdr:colOff>
                    <xdr:row>53</xdr:row>
                    <xdr:rowOff>38100</xdr:rowOff>
                  </to>
                </anchor>
              </controlPr>
            </control>
          </mc:Choice>
        </mc:AlternateContent>
        <mc:AlternateContent xmlns:mc="http://schemas.openxmlformats.org/markup-compatibility/2006">
          <mc:Choice Requires="x14">
            <control shapeId="2152" r:id="rId107" name="btnQuickView_F-049">
              <controlPr defaultSize="0" print="0" autoFill="0" autoPict="0" macro="기초자료_보기_실행">
                <anchor moveWithCells="1" sizeWithCells="1">
                  <from>
                    <xdr:col>22</xdr:col>
                    <xdr:colOff>7620</xdr:colOff>
                    <xdr:row>52</xdr:row>
                    <xdr:rowOff>15240</xdr:rowOff>
                  </from>
                  <to>
                    <xdr:col>23</xdr:col>
                    <xdr:colOff>60960</xdr:colOff>
                    <xdr:row>52</xdr:row>
                    <xdr:rowOff>205740</xdr:rowOff>
                  </to>
                </anchor>
              </controlPr>
            </control>
          </mc:Choice>
        </mc:AlternateContent>
        <mc:AlternateContent xmlns:mc="http://schemas.openxmlformats.org/markup-compatibility/2006">
          <mc:Choice Requires="x14">
            <control shapeId="2153" r:id="rId108" name="chkQuick_F-050">
              <controlPr defaultSize="0" autoFill="0" autoLine="0" autoPict="0">
                <anchor moveWithCells="1">
                  <from>
                    <xdr:col>19</xdr:col>
                    <xdr:colOff>22860</xdr:colOff>
                    <xdr:row>53</xdr:row>
                    <xdr:rowOff>7620</xdr:rowOff>
                  </from>
                  <to>
                    <xdr:col>19</xdr:col>
                    <xdr:colOff>259080</xdr:colOff>
                    <xdr:row>54</xdr:row>
                    <xdr:rowOff>38100</xdr:rowOff>
                  </to>
                </anchor>
              </controlPr>
            </control>
          </mc:Choice>
        </mc:AlternateContent>
        <mc:AlternateContent xmlns:mc="http://schemas.openxmlformats.org/markup-compatibility/2006">
          <mc:Choice Requires="x14">
            <control shapeId="2154" r:id="rId109" name="btnQuickView_F-050">
              <controlPr defaultSize="0" print="0" autoFill="0" autoPict="0" macro="기초자료_보기_실행">
                <anchor moveWithCells="1" sizeWithCells="1">
                  <from>
                    <xdr:col>22</xdr:col>
                    <xdr:colOff>7620</xdr:colOff>
                    <xdr:row>53</xdr:row>
                    <xdr:rowOff>15240</xdr:rowOff>
                  </from>
                  <to>
                    <xdr:col>23</xdr:col>
                    <xdr:colOff>60960</xdr:colOff>
                    <xdr:row>53</xdr:row>
                    <xdr:rowOff>205740</xdr:rowOff>
                  </to>
                </anchor>
              </controlPr>
            </control>
          </mc:Choice>
        </mc:AlternateContent>
        <mc:AlternateContent xmlns:mc="http://schemas.openxmlformats.org/markup-compatibility/2006">
          <mc:Choice Requires="x14">
            <control shapeId="2155" r:id="rId110" name="chkQuick_F-051">
              <controlPr defaultSize="0" autoFill="0" autoLine="0" autoPict="0">
                <anchor moveWithCells="1">
                  <from>
                    <xdr:col>19</xdr:col>
                    <xdr:colOff>22860</xdr:colOff>
                    <xdr:row>54</xdr:row>
                    <xdr:rowOff>7620</xdr:rowOff>
                  </from>
                  <to>
                    <xdr:col>19</xdr:col>
                    <xdr:colOff>259080</xdr:colOff>
                    <xdr:row>55</xdr:row>
                    <xdr:rowOff>38100</xdr:rowOff>
                  </to>
                </anchor>
              </controlPr>
            </control>
          </mc:Choice>
        </mc:AlternateContent>
        <mc:AlternateContent xmlns:mc="http://schemas.openxmlformats.org/markup-compatibility/2006">
          <mc:Choice Requires="x14">
            <control shapeId="2156" r:id="rId111" name="chkQuick_F-052">
              <controlPr defaultSize="0" autoFill="0" autoLine="0" autoPict="0">
                <anchor moveWithCells="1">
                  <from>
                    <xdr:col>19</xdr:col>
                    <xdr:colOff>22860</xdr:colOff>
                    <xdr:row>55</xdr:row>
                    <xdr:rowOff>7620</xdr:rowOff>
                  </from>
                  <to>
                    <xdr:col>19</xdr:col>
                    <xdr:colOff>259080</xdr:colOff>
                    <xdr:row>56</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2849FA12-8E2F-41DB-8EA1-62D73F3EC2DF}">
          <x14:formula1>
            <xm:f>DB!$U$2:$U$500</xm:f>
          </x14:formula1>
          <xm:sqref>I2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1A6FEC-CEA5-4F1E-B856-DE6B703DF72C}">
  <sheetPr codeName="Sheet3">
    <pageSetUpPr fitToPage="1"/>
  </sheetPr>
  <dimension ref="A1:E10"/>
  <sheetViews>
    <sheetView workbookViewId="0"/>
  </sheetViews>
  <sheetFormatPr defaultRowHeight="17.399999999999999"/>
  <cols>
    <col min="1" max="1" width="32.69921875" customWidth="1"/>
    <col min="2" max="2" width="28.69921875" customWidth="1"/>
    <col min="3" max="3" width="62.69921875" customWidth="1"/>
  </cols>
  <sheetData>
    <row r="1" spans="1:5" ht="280.05" customHeight="1">
      <c r="A1" t="s">
        <v>3281</v>
      </c>
    </row>
    <row r="2" spans="1:5" ht="270" customHeight="1"/>
    <row r="3" spans="1:5" ht="15" hidden="1" customHeight="1">
      <c r="A3" s="84"/>
      <c r="B3" s="85"/>
      <c r="C3" s="85"/>
      <c r="D3" s="85"/>
      <c r="E3" s="85"/>
    </row>
    <row r="4" spans="1:5" hidden="1">
      <c r="A4" s="67" t="s">
        <v>3282</v>
      </c>
      <c r="B4" s="67" t="s">
        <v>3283</v>
      </c>
      <c r="C4" s="67" t="s">
        <v>3284</v>
      </c>
    </row>
    <row r="5" spans="1:5" ht="42" hidden="1" customHeight="1">
      <c r="A5" s="75" t="s">
        <v>3285</v>
      </c>
      <c r="B5" s="77"/>
      <c r="C5" s="76" t="s">
        <v>3289</v>
      </c>
    </row>
    <row r="6" spans="1:5" ht="34.049999999999997" hidden="1" customHeight="1">
      <c r="A6" s="75" t="s">
        <v>3286</v>
      </c>
      <c r="B6" s="75" t="s">
        <v>3288</v>
      </c>
      <c r="C6" s="76" t="str">
        <f>IF(B5="2단계 입찰(규격·가격 동시)","규격·가격 동시입찰: 규격(적격) 심사 후 가격 개찰",IF(OR(B5="1인견적 수의계약",B5="2인견적 수의계약"),"견적서와 수의계약 사유를 확인",IF(B5="일반경쟁입찰","공고·입찰·개찰·계약 절차를 확인","")))</f>
        <v/>
      </c>
    </row>
    <row r="7" spans="1:5" ht="52.2" hidden="1">
      <c r="A7" s="75" t="s">
        <v>3287</v>
      </c>
      <c r="B7" s="75" t="str">
        <f>IF(B5&lt;&gt;"",B5,"")</f>
        <v/>
      </c>
      <c r="C7" s="76" t="str">
        <f>IF(B7&lt;&gt;"","현재 기초자료(B-03): "&amp;B7,"아직 선택하지 않았습니다")</f>
        <v>아직 선택하지 않았습니다</v>
      </c>
    </row>
    <row r="8" spans="1:5" hidden="1"/>
    <row r="9" spans="1:5" hidden="1"/>
    <row r="10" spans="1:5" hidden="1"/>
  </sheetData>
  <mergeCells count="1">
    <mergeCell ref="A3:E3"/>
  </mergeCells>
  <phoneticPr fontId="6" type="noConversion"/>
  <dataValidations count="1">
    <dataValidation type="list" allowBlank="1" showInputMessage="1" showErrorMessage="1" sqref="B5" xr:uid="{333E3FE7-8BAD-4425-81AC-F22174C13E1D}">
      <formula1>"1인견적 수의계약,2인견적 수의계약,2단계 입찰(규격·가격 동시),일반경쟁입찰"</formula1>
    </dataValidation>
  </dataValidations>
  <pageMargins left="0.7" right="0.7" top="0.75" bottom="0.75" header="0.3" footer="0.3"/>
  <pageSetup paperSize="9" scale="9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tn계약방법반영">
              <controlPr defaultSize="0" print="0" autoFill="0" autoPict="0" macro="계약방법안내_기초자료반영">
                <anchor moveWithCells="1" sizeWithCells="1">
                  <from>
                    <xdr:col>2</xdr:col>
                    <xdr:colOff>1920240</xdr:colOff>
                    <xdr:row>10</xdr:row>
                    <xdr:rowOff>38100</xdr:rowOff>
                  </from>
                  <to>
                    <xdr:col>2</xdr:col>
                    <xdr:colOff>4465320</xdr:colOff>
                    <xdr:row>11</xdr:row>
                    <xdr:rowOff>121920</xdr:rowOff>
                  </to>
                </anchor>
              </controlPr>
            </control>
          </mc:Choice>
        </mc:AlternateContent>
        <mc:AlternateContent xmlns:mc="http://schemas.openxmlformats.org/markup-compatibility/2006">
          <mc:Choice Requires="x14">
            <control shapeId="3074" r:id="rId5" name="btn이동_기초자료입력">
              <controlPr defaultSize="0" print="0" autoFill="0" autoPict="0" macro="이동_기초자료입력">
                <anchor moveWithCells="1" sizeWithCells="1">
                  <from>
                    <xdr:col>2</xdr:col>
                    <xdr:colOff>1668780</xdr:colOff>
                    <xdr:row>15</xdr:row>
                    <xdr:rowOff>0</xdr:rowOff>
                  </from>
                  <to>
                    <xdr:col>2</xdr:col>
                    <xdr:colOff>3573780</xdr:colOff>
                    <xdr:row>16</xdr:row>
                    <xdr:rowOff>106680</xdr:rowOff>
                  </to>
                </anchor>
              </controlPr>
            </control>
          </mc:Choice>
        </mc:AlternateContent>
        <mc:AlternateContent xmlns:mc="http://schemas.openxmlformats.org/markup-compatibility/2006">
          <mc:Choice Requires="x14">
            <control shapeId="3075" r:id="rId6" name="btn이동_서식선택출력">
              <controlPr defaultSize="0" print="0" autoFill="0" autoPict="0" macro="이동_서식선택출력">
                <anchor moveWithCells="1" sizeWithCells="1">
                  <from>
                    <xdr:col>2</xdr:col>
                    <xdr:colOff>3703320</xdr:colOff>
                    <xdr:row>15</xdr:row>
                    <xdr:rowOff>0</xdr:rowOff>
                  </from>
                  <to>
                    <xdr:col>4</xdr:col>
                    <xdr:colOff>160020</xdr:colOff>
                    <xdr:row>16</xdr:row>
                    <xdr:rowOff>106680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405EBD-5687-46B3-9AD6-8D2A82C0CDE2}">
  <sheetPr codeName="Sheet4"/>
  <dimension ref="A1:D13"/>
  <sheetViews>
    <sheetView workbookViewId="0"/>
  </sheetViews>
  <sheetFormatPr defaultRowHeight="17.399999999999999"/>
  <cols>
    <col min="1" max="1" width="22.69921875" customWidth="1"/>
    <col min="2" max="2" width="52.69921875" customWidth="1"/>
    <col min="3" max="3" width="30.69921875" customWidth="1"/>
    <col min="4" max="4" width="14.69921875" customWidth="1"/>
  </cols>
  <sheetData>
    <row r="1" spans="1:4" ht="20.399999999999999">
      <c r="A1" s="18" t="s">
        <v>3250</v>
      </c>
    </row>
    <row r="2" spans="1:4">
      <c r="A2" t="s">
        <v>3251</v>
      </c>
    </row>
    <row r="4" spans="1:4">
      <c r="A4" s="17" t="s">
        <v>3252</v>
      </c>
      <c r="B4" s="17" t="s">
        <v>3253</v>
      </c>
      <c r="C4" s="17" t="s">
        <v>3254</v>
      </c>
      <c r="D4" s="17" t="s">
        <v>3255</v>
      </c>
    </row>
    <row r="5" spans="1:4">
      <c r="A5" s="74" t="s">
        <v>3256</v>
      </c>
      <c r="B5" s="76" t="s">
        <v>3257</v>
      </c>
      <c r="C5" s="76" t="s">
        <v>3258</v>
      </c>
      <c r="D5" s="74" t="s">
        <v>130</v>
      </c>
    </row>
    <row r="6" spans="1:4">
      <c r="A6" s="74" t="s">
        <v>3259</v>
      </c>
      <c r="B6" s="76" t="s">
        <v>3260</v>
      </c>
      <c r="C6" s="76" t="s">
        <v>147</v>
      </c>
      <c r="D6" s="74" t="s">
        <v>147</v>
      </c>
    </row>
    <row r="7" spans="1:4">
      <c r="A7" s="74" t="s">
        <v>3261</v>
      </c>
      <c r="B7" s="76" t="s">
        <v>3262</v>
      </c>
      <c r="C7" s="76" t="s">
        <v>3263</v>
      </c>
      <c r="D7" s="74" t="s">
        <v>150</v>
      </c>
    </row>
    <row r="8" spans="1:4">
      <c r="A8" s="74" t="s">
        <v>3264</v>
      </c>
      <c r="B8" s="76" t="s">
        <v>3265</v>
      </c>
      <c r="C8" s="76" t="s">
        <v>3266</v>
      </c>
      <c r="D8" s="74" t="s">
        <v>163</v>
      </c>
    </row>
    <row r="9" spans="1:4">
      <c r="A9" s="74" t="s">
        <v>3267</v>
      </c>
      <c r="B9" s="76" t="s">
        <v>3268</v>
      </c>
      <c r="C9" s="76" t="s">
        <v>3269</v>
      </c>
      <c r="D9" s="74" t="s">
        <v>183</v>
      </c>
    </row>
    <row r="10" spans="1:4">
      <c r="A10" s="74" t="s">
        <v>3270</v>
      </c>
      <c r="B10" s="76" t="s">
        <v>3271</v>
      </c>
      <c r="C10" s="76" t="s">
        <v>3272</v>
      </c>
      <c r="D10" s="74" t="s">
        <v>173</v>
      </c>
    </row>
    <row r="11" spans="1:4">
      <c r="A11" s="74" t="s">
        <v>3273</v>
      </c>
      <c r="B11" s="76" t="s">
        <v>3274</v>
      </c>
      <c r="C11" s="76" t="s">
        <v>3275</v>
      </c>
      <c r="D11" s="74" t="s">
        <v>253</v>
      </c>
    </row>
    <row r="12" spans="1:4">
      <c r="A12" s="74" t="s">
        <v>3276</v>
      </c>
      <c r="B12" s="76" t="s">
        <v>3277</v>
      </c>
      <c r="C12" s="76" t="s">
        <v>260</v>
      </c>
      <c r="D12" s="74" t="s">
        <v>260</v>
      </c>
    </row>
    <row r="13" spans="1:4">
      <c r="A13" s="74" t="s">
        <v>3278</v>
      </c>
      <c r="B13" s="76" t="s">
        <v>3279</v>
      </c>
      <c r="C13" s="76" t="s">
        <v>3280</v>
      </c>
      <c r="D13" s="74" t="s">
        <v>263</v>
      </c>
    </row>
  </sheetData>
  <phoneticPr fontId="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tn관련FormID이동">
              <controlPr defaultSize="0" print="0" autoFill="0" autoPict="0" macro="관련FormID로이동">
                <anchor moveWithCells="1" sizeWithCells="1">
                  <from>
                    <xdr:col>3</xdr:col>
                    <xdr:colOff>167640</xdr:colOff>
                    <xdr:row>1</xdr:row>
                    <xdr:rowOff>182880</xdr:rowOff>
                  </from>
                  <to>
                    <xdr:col>5</xdr:col>
                    <xdr:colOff>281940</xdr:colOff>
                    <xdr:row>3</xdr:row>
                    <xdr:rowOff>45720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2C58A5-3674-4D95-863D-0EE754BD3F76}">
  <sheetPr codeName="Sheet5"/>
  <dimension ref="A1:I56"/>
  <sheetViews>
    <sheetView topLeftCell="B1" workbookViewId="0"/>
  </sheetViews>
  <sheetFormatPr defaultRowHeight="17.399999999999999"/>
  <cols>
    <col min="1" max="1" width="0" hidden="1" customWidth="1"/>
    <col min="2" max="2" width="10.69921875" customWidth="1"/>
    <col min="3" max="3" width="32.69921875" customWidth="1"/>
    <col min="4" max="5" width="10.69921875" customWidth="1"/>
    <col min="6" max="6" width="26.69921875" customWidth="1"/>
    <col min="7" max="9" width="11.69921875" customWidth="1"/>
  </cols>
  <sheetData>
    <row r="1" spans="1:9" ht="20.399999999999999">
      <c r="A1" s="18" t="s">
        <v>122</v>
      </c>
    </row>
    <row r="2" spans="1:9">
      <c r="A2" t="s">
        <v>123</v>
      </c>
    </row>
    <row r="4" spans="1:9">
      <c r="A4" s="17" t="s">
        <v>81</v>
      </c>
      <c r="B4" s="17" t="s">
        <v>82</v>
      </c>
      <c r="C4" s="17" t="s">
        <v>83</v>
      </c>
      <c r="D4" s="17" t="s">
        <v>124</v>
      </c>
      <c r="E4" s="17" t="s">
        <v>125</v>
      </c>
      <c r="F4" s="17" t="s">
        <v>126</v>
      </c>
      <c r="G4" s="17" t="s">
        <v>127</v>
      </c>
      <c r="H4" s="17" t="s">
        <v>128</v>
      </c>
      <c r="I4" s="17" t="s">
        <v>129</v>
      </c>
    </row>
    <row r="5" spans="1:9" ht="18" customHeight="1">
      <c r="A5" s="19" t="b">
        <v>0</v>
      </c>
      <c r="B5" s="1" t="s">
        <v>130</v>
      </c>
      <c r="C5" s="1" t="s">
        <v>131</v>
      </c>
      <c r="D5" s="1" t="s">
        <v>132</v>
      </c>
      <c r="E5" s="1" t="s">
        <v>133</v>
      </c>
      <c r="F5" s="1" t="s">
        <v>134</v>
      </c>
      <c r="G5" s="1"/>
      <c r="H5" s="1"/>
      <c r="I5" s="1"/>
    </row>
    <row r="6" spans="1:9" ht="18" customHeight="1">
      <c r="A6" s="19" t="b">
        <v>0</v>
      </c>
      <c r="B6" s="1" t="s">
        <v>135</v>
      </c>
      <c r="C6" s="1" t="s">
        <v>136</v>
      </c>
      <c r="D6" s="1" t="s">
        <v>132</v>
      </c>
      <c r="E6" s="1" t="s">
        <v>133</v>
      </c>
      <c r="F6" s="1" t="s">
        <v>137</v>
      </c>
      <c r="G6" s="1"/>
      <c r="H6" s="1"/>
      <c r="I6" s="1"/>
    </row>
    <row r="7" spans="1:9" ht="18" customHeight="1">
      <c r="A7" s="19" t="b">
        <v>0</v>
      </c>
      <c r="B7" s="1" t="s">
        <v>138</v>
      </c>
      <c r="C7" s="1" t="s">
        <v>139</v>
      </c>
      <c r="D7" s="1" t="s">
        <v>132</v>
      </c>
      <c r="E7" s="1" t="s">
        <v>133</v>
      </c>
      <c r="F7" s="1" t="s">
        <v>140</v>
      </c>
      <c r="G7" s="1"/>
      <c r="H7" s="1"/>
      <c r="I7" s="1"/>
    </row>
    <row r="8" spans="1:9" ht="18" customHeight="1">
      <c r="A8" s="19" t="b">
        <v>0</v>
      </c>
      <c r="B8" s="1" t="s">
        <v>141</v>
      </c>
      <c r="C8" s="1" t="s">
        <v>142</v>
      </c>
      <c r="D8" s="1" t="s">
        <v>132</v>
      </c>
      <c r="E8" s="1" t="s">
        <v>133</v>
      </c>
      <c r="F8" s="1" t="s">
        <v>143</v>
      </c>
      <c r="G8" s="1"/>
      <c r="H8" s="1"/>
      <c r="I8" s="1"/>
    </row>
    <row r="9" spans="1:9" ht="18" customHeight="1">
      <c r="A9" s="19" t="b">
        <v>0</v>
      </c>
      <c r="B9" s="1" t="s">
        <v>144</v>
      </c>
      <c r="C9" s="1" t="s">
        <v>145</v>
      </c>
      <c r="D9" s="1" t="s">
        <v>132</v>
      </c>
      <c r="E9" s="1" t="s">
        <v>133</v>
      </c>
      <c r="F9" s="1" t="s">
        <v>146</v>
      </c>
      <c r="G9" s="1"/>
      <c r="H9" s="1"/>
      <c r="I9" s="1"/>
    </row>
    <row r="10" spans="1:9" ht="18" customHeight="1">
      <c r="A10" s="19" t="b">
        <v>0</v>
      </c>
      <c r="B10" s="1" t="s">
        <v>147</v>
      </c>
      <c r="C10" s="1" t="s">
        <v>148</v>
      </c>
      <c r="D10" s="1" t="s">
        <v>132</v>
      </c>
      <c r="E10" s="1" t="s">
        <v>133</v>
      </c>
      <c r="F10" s="1" t="s">
        <v>149</v>
      </c>
      <c r="G10" s="1"/>
      <c r="H10" s="1"/>
      <c r="I10" s="1"/>
    </row>
    <row r="11" spans="1:9" ht="18" customHeight="1">
      <c r="A11" s="19" t="b">
        <v>0</v>
      </c>
      <c r="B11" s="1" t="s">
        <v>150</v>
      </c>
      <c r="C11" s="1" t="s">
        <v>151</v>
      </c>
      <c r="D11" s="1" t="s">
        <v>152</v>
      </c>
      <c r="E11" s="1" t="s">
        <v>133</v>
      </c>
      <c r="F11" s="1" t="s">
        <v>153</v>
      </c>
      <c r="G11" s="1"/>
      <c r="H11" s="1"/>
      <c r="I11" s="1"/>
    </row>
    <row r="12" spans="1:9" ht="18" customHeight="1">
      <c r="A12" s="19" t="b">
        <v>0</v>
      </c>
      <c r="B12" s="1" t="s">
        <v>154</v>
      </c>
      <c r="C12" s="1" t="s">
        <v>155</v>
      </c>
      <c r="D12" s="1" t="s">
        <v>152</v>
      </c>
      <c r="E12" s="1" t="s">
        <v>133</v>
      </c>
      <c r="F12" s="1" t="s">
        <v>156</v>
      </c>
      <c r="G12" s="1"/>
      <c r="H12" s="1"/>
      <c r="I12" s="1"/>
    </row>
    <row r="13" spans="1:9" ht="18" customHeight="1">
      <c r="A13" s="19" t="b">
        <v>0</v>
      </c>
      <c r="B13" s="1" t="s">
        <v>157</v>
      </c>
      <c r="C13" s="1" t="s">
        <v>158</v>
      </c>
      <c r="D13" s="1" t="s">
        <v>152</v>
      </c>
      <c r="E13" s="1" t="s">
        <v>133</v>
      </c>
      <c r="F13" s="1" t="s">
        <v>159</v>
      </c>
      <c r="G13" s="1"/>
      <c r="H13" s="1"/>
      <c r="I13" s="1"/>
    </row>
    <row r="14" spans="1:9" ht="18" customHeight="1">
      <c r="A14" s="19" t="b">
        <v>0</v>
      </c>
      <c r="B14" s="1" t="s">
        <v>160</v>
      </c>
      <c r="C14" s="1" t="s">
        <v>161</v>
      </c>
      <c r="D14" s="1" t="s">
        <v>152</v>
      </c>
      <c r="E14" s="1" t="s">
        <v>133</v>
      </c>
      <c r="F14" s="1" t="s">
        <v>162</v>
      </c>
      <c r="G14" s="1"/>
      <c r="H14" s="1"/>
      <c r="I14" s="1"/>
    </row>
    <row r="15" spans="1:9" ht="18" customHeight="1">
      <c r="A15" s="19" t="b">
        <v>0</v>
      </c>
      <c r="B15" s="1" t="s">
        <v>163</v>
      </c>
      <c r="C15" s="1" t="s">
        <v>164</v>
      </c>
      <c r="D15" s="1" t="s">
        <v>152</v>
      </c>
      <c r="E15" s="1" t="s">
        <v>133</v>
      </c>
      <c r="F15" s="1" t="s">
        <v>165</v>
      </c>
      <c r="G15" s="1"/>
      <c r="H15" s="1"/>
      <c r="I15" s="1"/>
    </row>
    <row r="16" spans="1:9" ht="18" customHeight="1">
      <c r="A16" s="19" t="b">
        <v>0</v>
      </c>
      <c r="B16" s="1" t="s">
        <v>166</v>
      </c>
      <c r="C16" s="1" t="s">
        <v>167</v>
      </c>
      <c r="D16" s="1" t="s">
        <v>152</v>
      </c>
      <c r="E16" s="1" t="s">
        <v>133</v>
      </c>
      <c r="F16" s="1" t="s">
        <v>168</v>
      </c>
      <c r="G16" s="1"/>
      <c r="H16" s="1"/>
      <c r="I16" s="1"/>
    </row>
    <row r="17" spans="1:9" ht="18" customHeight="1">
      <c r="A17" s="19" t="b">
        <v>0</v>
      </c>
      <c r="B17" s="1" t="s">
        <v>169</v>
      </c>
      <c r="C17" s="1" t="s">
        <v>170</v>
      </c>
      <c r="D17" s="1" t="s">
        <v>152</v>
      </c>
      <c r="E17" s="1" t="s">
        <v>171</v>
      </c>
      <c r="F17" s="1" t="s">
        <v>172</v>
      </c>
      <c r="G17" s="1"/>
      <c r="H17" s="1"/>
      <c r="I17" s="1"/>
    </row>
    <row r="18" spans="1:9" ht="18" customHeight="1">
      <c r="A18" s="19" t="b">
        <v>0</v>
      </c>
      <c r="B18" s="1" t="s">
        <v>173</v>
      </c>
      <c r="C18" s="1" t="s">
        <v>174</v>
      </c>
      <c r="D18" s="1" t="s">
        <v>175</v>
      </c>
      <c r="E18" s="1" t="s">
        <v>133</v>
      </c>
      <c r="F18" s="1" t="s">
        <v>176</v>
      </c>
      <c r="G18" s="1"/>
      <c r="H18" s="1"/>
      <c r="I18" s="1"/>
    </row>
    <row r="19" spans="1:9" ht="18" customHeight="1">
      <c r="A19" s="19" t="b">
        <v>0</v>
      </c>
      <c r="B19" s="1" t="s">
        <v>177</v>
      </c>
      <c r="C19" s="1" t="s">
        <v>178</v>
      </c>
      <c r="D19" s="1" t="s">
        <v>175</v>
      </c>
      <c r="E19" s="1" t="s">
        <v>133</v>
      </c>
      <c r="F19" s="1" t="s">
        <v>179</v>
      </c>
      <c r="G19" s="1"/>
      <c r="H19" s="1"/>
      <c r="I19" s="1"/>
    </row>
    <row r="20" spans="1:9" ht="18" customHeight="1">
      <c r="A20" s="19" t="b">
        <v>0</v>
      </c>
      <c r="B20" s="1" t="s">
        <v>180</v>
      </c>
      <c r="C20" s="1" t="s">
        <v>181</v>
      </c>
      <c r="D20" s="1" t="s">
        <v>175</v>
      </c>
      <c r="E20" s="1" t="s">
        <v>133</v>
      </c>
      <c r="F20" s="1" t="s">
        <v>182</v>
      </c>
      <c r="G20" s="1"/>
      <c r="H20" s="1"/>
      <c r="I20" s="1"/>
    </row>
    <row r="21" spans="1:9" ht="18" customHeight="1">
      <c r="A21" s="19" t="b">
        <v>0</v>
      </c>
      <c r="B21" s="1" t="s">
        <v>183</v>
      </c>
      <c r="C21" s="1" t="s">
        <v>184</v>
      </c>
      <c r="D21" s="1" t="s">
        <v>152</v>
      </c>
      <c r="E21" s="1" t="s">
        <v>133</v>
      </c>
      <c r="F21" s="1" t="s">
        <v>185</v>
      </c>
      <c r="G21" s="1"/>
      <c r="H21" s="1"/>
      <c r="I21" s="1"/>
    </row>
    <row r="22" spans="1:9" ht="18" customHeight="1">
      <c r="A22" s="19" t="b">
        <v>0</v>
      </c>
      <c r="B22" s="1" t="s">
        <v>186</v>
      </c>
      <c r="C22" s="1" t="s">
        <v>187</v>
      </c>
      <c r="D22" s="1" t="s">
        <v>152</v>
      </c>
      <c r="E22" s="1" t="s">
        <v>133</v>
      </c>
      <c r="F22" s="1" t="s">
        <v>188</v>
      </c>
      <c r="G22" s="1"/>
      <c r="H22" s="1"/>
      <c r="I22" s="1"/>
    </row>
    <row r="23" spans="1:9" ht="18" customHeight="1">
      <c r="A23" s="19" t="b">
        <v>0</v>
      </c>
      <c r="B23" s="1" t="s">
        <v>189</v>
      </c>
      <c r="C23" s="1" t="s">
        <v>190</v>
      </c>
      <c r="D23" s="1" t="s">
        <v>152</v>
      </c>
      <c r="E23" s="1" t="s">
        <v>133</v>
      </c>
      <c r="F23" s="1" t="s">
        <v>191</v>
      </c>
      <c r="G23" s="1"/>
      <c r="H23" s="1"/>
      <c r="I23" s="1"/>
    </row>
    <row r="24" spans="1:9" ht="18" customHeight="1">
      <c r="A24" s="19" t="b">
        <v>0</v>
      </c>
      <c r="B24" s="1" t="s">
        <v>192</v>
      </c>
      <c r="C24" s="1" t="s">
        <v>193</v>
      </c>
      <c r="D24" s="1" t="s">
        <v>152</v>
      </c>
      <c r="E24" s="1" t="s">
        <v>133</v>
      </c>
      <c r="F24" s="1" t="s">
        <v>194</v>
      </c>
      <c r="G24" s="1"/>
      <c r="H24" s="1"/>
      <c r="I24" s="1"/>
    </row>
    <row r="25" spans="1:9" ht="18" customHeight="1">
      <c r="A25" s="19" t="b">
        <v>0</v>
      </c>
      <c r="B25" s="1" t="s">
        <v>195</v>
      </c>
      <c r="C25" s="1" t="s">
        <v>196</v>
      </c>
      <c r="D25" s="1" t="s">
        <v>152</v>
      </c>
      <c r="E25" s="1" t="s">
        <v>133</v>
      </c>
      <c r="F25" s="1" t="s">
        <v>197</v>
      </c>
      <c r="G25" s="1"/>
      <c r="H25" s="1"/>
      <c r="I25" s="1"/>
    </row>
    <row r="26" spans="1:9" ht="18" customHeight="1">
      <c r="A26" s="19" t="b">
        <v>0</v>
      </c>
      <c r="B26" s="1" t="s">
        <v>198</v>
      </c>
      <c r="C26" s="1" t="s">
        <v>199</v>
      </c>
      <c r="D26" s="1" t="s">
        <v>152</v>
      </c>
      <c r="E26" s="1" t="s">
        <v>133</v>
      </c>
      <c r="F26" s="1" t="s">
        <v>200</v>
      </c>
      <c r="G26" s="1"/>
      <c r="H26" s="1"/>
      <c r="I26" s="1"/>
    </row>
    <row r="27" spans="1:9" ht="18" customHeight="1">
      <c r="A27" s="19" t="b">
        <v>0</v>
      </c>
      <c r="B27" s="1" t="s">
        <v>201</v>
      </c>
      <c r="C27" s="1" t="s">
        <v>202</v>
      </c>
      <c r="D27" s="1" t="s">
        <v>152</v>
      </c>
      <c r="E27" s="1" t="s">
        <v>133</v>
      </c>
      <c r="F27" s="1" t="s">
        <v>203</v>
      </c>
      <c r="G27" s="1"/>
      <c r="H27" s="1"/>
      <c r="I27" s="1"/>
    </row>
    <row r="28" spans="1:9" ht="18" customHeight="1">
      <c r="A28" s="19" t="b">
        <v>0</v>
      </c>
      <c r="B28" s="1" t="s">
        <v>204</v>
      </c>
      <c r="C28" s="1" t="s">
        <v>205</v>
      </c>
      <c r="D28" s="1" t="s">
        <v>152</v>
      </c>
      <c r="E28" s="1" t="s">
        <v>133</v>
      </c>
      <c r="F28" s="1" t="s">
        <v>206</v>
      </c>
      <c r="G28" s="1"/>
      <c r="H28" s="1"/>
      <c r="I28" s="1"/>
    </row>
    <row r="29" spans="1:9" ht="18" customHeight="1">
      <c r="A29" s="19" t="b">
        <v>0</v>
      </c>
      <c r="B29" s="1" t="s">
        <v>207</v>
      </c>
      <c r="C29" s="1" t="s">
        <v>208</v>
      </c>
      <c r="D29" s="1" t="s">
        <v>152</v>
      </c>
      <c r="E29" s="1" t="s">
        <v>133</v>
      </c>
      <c r="F29" s="1" t="s">
        <v>209</v>
      </c>
      <c r="G29" s="1"/>
      <c r="H29" s="1"/>
      <c r="I29" s="1"/>
    </row>
    <row r="30" spans="1:9" ht="18" customHeight="1">
      <c r="A30" s="19" t="b">
        <v>0</v>
      </c>
      <c r="B30" s="1" t="s">
        <v>210</v>
      </c>
      <c r="C30" s="1" t="s">
        <v>211</v>
      </c>
      <c r="D30" s="1" t="s">
        <v>152</v>
      </c>
      <c r="E30" s="1" t="s">
        <v>212</v>
      </c>
      <c r="F30" s="1"/>
      <c r="G30" s="1"/>
      <c r="H30" s="1"/>
      <c r="I30" s="1"/>
    </row>
    <row r="31" spans="1:9" ht="18" customHeight="1">
      <c r="A31" s="19" t="b">
        <v>0</v>
      </c>
      <c r="B31" s="1" t="s">
        <v>213</v>
      </c>
      <c r="C31" s="1" t="s">
        <v>214</v>
      </c>
      <c r="D31" s="1" t="s">
        <v>152</v>
      </c>
      <c r="E31" s="1" t="s">
        <v>133</v>
      </c>
      <c r="F31" s="1" t="s">
        <v>215</v>
      </c>
      <c r="G31" s="1"/>
      <c r="H31" s="1"/>
      <c r="I31" s="1"/>
    </row>
    <row r="32" spans="1:9" ht="18" customHeight="1">
      <c r="A32" s="19" t="b">
        <v>0</v>
      </c>
      <c r="B32" s="1" t="s">
        <v>216</v>
      </c>
      <c r="C32" s="1" t="s">
        <v>217</v>
      </c>
      <c r="D32" s="1" t="s">
        <v>152</v>
      </c>
      <c r="E32" s="1" t="s">
        <v>212</v>
      </c>
      <c r="F32" s="1"/>
      <c r="G32" s="1"/>
      <c r="H32" s="1"/>
      <c r="I32" s="1"/>
    </row>
    <row r="33" spans="1:9" ht="18" customHeight="1">
      <c r="A33" s="19" t="b">
        <v>0</v>
      </c>
      <c r="B33" s="1" t="s">
        <v>218</v>
      </c>
      <c r="C33" s="1" t="s">
        <v>219</v>
      </c>
      <c r="D33" s="1" t="s">
        <v>152</v>
      </c>
      <c r="E33" s="1" t="s">
        <v>133</v>
      </c>
      <c r="F33" s="1" t="s">
        <v>220</v>
      </c>
      <c r="G33" s="1"/>
      <c r="H33" s="1"/>
      <c r="I33" s="1"/>
    </row>
    <row r="34" spans="1:9" ht="18" customHeight="1">
      <c r="A34" s="19" t="b">
        <v>0</v>
      </c>
      <c r="B34" s="1" t="s">
        <v>221</v>
      </c>
      <c r="C34" s="1" t="s">
        <v>222</v>
      </c>
      <c r="D34" s="1" t="s">
        <v>152</v>
      </c>
      <c r="E34" s="1" t="s">
        <v>133</v>
      </c>
      <c r="F34" s="1" t="s">
        <v>223</v>
      </c>
      <c r="G34" s="1"/>
      <c r="H34" s="1"/>
      <c r="I34" s="1"/>
    </row>
    <row r="35" spans="1:9" ht="18" customHeight="1">
      <c r="A35" s="19" t="b">
        <v>0</v>
      </c>
      <c r="B35" s="1" t="s">
        <v>224</v>
      </c>
      <c r="C35" s="1" t="s">
        <v>225</v>
      </c>
      <c r="D35" s="1" t="s">
        <v>152</v>
      </c>
      <c r="E35" s="1" t="s">
        <v>133</v>
      </c>
      <c r="F35" s="1" t="s">
        <v>226</v>
      </c>
      <c r="G35" s="1"/>
      <c r="H35" s="1"/>
      <c r="I35" s="1"/>
    </row>
    <row r="36" spans="1:9" ht="18" customHeight="1">
      <c r="A36" s="19" t="b">
        <v>0</v>
      </c>
      <c r="B36" s="1" t="s">
        <v>227</v>
      </c>
      <c r="C36" s="1" t="s">
        <v>228</v>
      </c>
      <c r="D36" s="1" t="s">
        <v>175</v>
      </c>
      <c r="E36" s="1" t="s">
        <v>133</v>
      </c>
      <c r="F36" s="1" t="s">
        <v>229</v>
      </c>
      <c r="G36" s="1"/>
      <c r="H36" s="1"/>
      <c r="I36" s="1"/>
    </row>
    <row r="37" spans="1:9" ht="18" customHeight="1">
      <c r="A37" s="19" t="b">
        <v>0</v>
      </c>
      <c r="B37" s="1" t="s">
        <v>230</v>
      </c>
      <c r="C37" s="1" t="s">
        <v>231</v>
      </c>
      <c r="D37" s="1" t="s">
        <v>175</v>
      </c>
      <c r="E37" s="1" t="s">
        <v>133</v>
      </c>
      <c r="F37" s="1" t="s">
        <v>232</v>
      </c>
      <c r="G37" s="1"/>
      <c r="H37" s="1"/>
      <c r="I37" s="1"/>
    </row>
    <row r="38" spans="1:9" ht="18" customHeight="1">
      <c r="A38" s="19" t="b">
        <v>0</v>
      </c>
      <c r="B38" s="1" t="s">
        <v>233</v>
      </c>
      <c r="C38" s="1" t="s">
        <v>234</v>
      </c>
      <c r="D38" s="1" t="s">
        <v>175</v>
      </c>
      <c r="E38" s="1" t="s">
        <v>133</v>
      </c>
      <c r="F38" s="1" t="s">
        <v>235</v>
      </c>
      <c r="G38" s="1"/>
      <c r="H38" s="1"/>
      <c r="I38" s="1"/>
    </row>
    <row r="39" spans="1:9" ht="18" customHeight="1">
      <c r="A39" s="19" t="b">
        <v>0</v>
      </c>
      <c r="B39" s="1" t="s">
        <v>236</v>
      </c>
      <c r="C39" s="1" t="s">
        <v>237</v>
      </c>
      <c r="D39" s="1" t="s">
        <v>175</v>
      </c>
      <c r="E39" s="1" t="s">
        <v>133</v>
      </c>
      <c r="F39" s="1" t="s">
        <v>238</v>
      </c>
      <c r="G39" s="1"/>
      <c r="H39" s="1"/>
      <c r="I39" s="1"/>
    </row>
    <row r="40" spans="1:9" ht="18" customHeight="1">
      <c r="A40" s="19" t="b">
        <v>0</v>
      </c>
      <c r="B40" s="1" t="s">
        <v>239</v>
      </c>
      <c r="C40" s="1" t="s">
        <v>240</v>
      </c>
      <c r="D40" s="1" t="s">
        <v>175</v>
      </c>
      <c r="E40" s="1" t="s">
        <v>133</v>
      </c>
      <c r="F40" s="1" t="s">
        <v>241</v>
      </c>
      <c r="G40" s="1"/>
      <c r="H40" s="1"/>
      <c r="I40" s="1"/>
    </row>
    <row r="41" spans="1:9" ht="18" customHeight="1">
      <c r="A41" s="19" t="b">
        <v>0</v>
      </c>
      <c r="B41" s="1" t="s">
        <v>242</v>
      </c>
      <c r="C41" s="1" t="s">
        <v>243</v>
      </c>
      <c r="D41" s="1" t="s">
        <v>175</v>
      </c>
      <c r="E41" s="1" t="s">
        <v>133</v>
      </c>
      <c r="F41" s="1" t="s">
        <v>244</v>
      </c>
      <c r="G41" s="1"/>
      <c r="H41" s="1"/>
      <c r="I41" s="1"/>
    </row>
    <row r="42" spans="1:9" ht="18" customHeight="1">
      <c r="A42" s="19" t="b">
        <v>0</v>
      </c>
      <c r="B42" s="1" t="s">
        <v>245</v>
      </c>
      <c r="C42" s="1" t="s">
        <v>246</v>
      </c>
      <c r="D42" s="1" t="s">
        <v>175</v>
      </c>
      <c r="E42" s="1" t="s">
        <v>133</v>
      </c>
      <c r="F42" s="1" t="s">
        <v>247</v>
      </c>
      <c r="G42" s="1"/>
      <c r="H42" s="1"/>
      <c r="I42" s="1"/>
    </row>
    <row r="43" spans="1:9" ht="18" customHeight="1">
      <c r="A43" s="19" t="b">
        <v>0</v>
      </c>
      <c r="B43" s="1" t="s">
        <v>248</v>
      </c>
      <c r="C43" s="1" t="s">
        <v>249</v>
      </c>
      <c r="D43" s="1" t="s">
        <v>175</v>
      </c>
      <c r="E43" s="1" t="s">
        <v>133</v>
      </c>
      <c r="F43" s="1" t="s">
        <v>250</v>
      </c>
      <c r="G43" s="1"/>
      <c r="H43" s="1"/>
      <c r="I43" s="1"/>
    </row>
    <row r="44" spans="1:9" ht="18" customHeight="1">
      <c r="A44" s="19" t="b">
        <v>0</v>
      </c>
      <c r="B44" s="1" t="s">
        <v>251</v>
      </c>
      <c r="C44" s="1" t="s">
        <v>139</v>
      </c>
      <c r="D44" s="1" t="s">
        <v>175</v>
      </c>
      <c r="E44" s="1" t="s">
        <v>133</v>
      </c>
      <c r="F44" s="1" t="s">
        <v>252</v>
      </c>
      <c r="G44" s="1"/>
      <c r="H44" s="1"/>
      <c r="I44" s="1"/>
    </row>
    <row r="45" spans="1:9" ht="18" customHeight="1">
      <c r="A45" s="19" t="b">
        <v>0</v>
      </c>
      <c r="B45" s="1" t="s">
        <v>253</v>
      </c>
      <c r="C45" s="1" t="s">
        <v>254</v>
      </c>
      <c r="D45" s="1" t="s">
        <v>255</v>
      </c>
      <c r="E45" s="1" t="s">
        <v>133</v>
      </c>
      <c r="F45" s="1" t="s">
        <v>256</v>
      </c>
      <c r="G45" s="1"/>
      <c r="H45" s="1"/>
      <c r="I45" s="1"/>
    </row>
    <row r="46" spans="1:9" ht="18" customHeight="1">
      <c r="A46" s="19" t="b">
        <v>0</v>
      </c>
      <c r="B46" s="1" t="s">
        <v>257</v>
      </c>
      <c r="C46" s="1" t="s">
        <v>258</v>
      </c>
      <c r="D46" s="1" t="s">
        <v>255</v>
      </c>
      <c r="E46" s="1" t="s">
        <v>133</v>
      </c>
      <c r="F46" s="1" t="s">
        <v>259</v>
      </c>
      <c r="G46" s="1"/>
      <c r="H46" s="1"/>
      <c r="I46" s="1"/>
    </row>
    <row r="47" spans="1:9" ht="18" customHeight="1">
      <c r="A47" s="19" t="b">
        <v>0</v>
      </c>
      <c r="B47" s="1" t="s">
        <v>260</v>
      </c>
      <c r="C47" s="1" t="s">
        <v>261</v>
      </c>
      <c r="D47" s="1" t="s">
        <v>255</v>
      </c>
      <c r="E47" s="1" t="s">
        <v>133</v>
      </c>
      <c r="F47" s="1" t="s">
        <v>262</v>
      </c>
      <c r="G47" s="1"/>
      <c r="H47" s="1"/>
      <c r="I47" s="1"/>
    </row>
    <row r="48" spans="1:9" ht="18" customHeight="1">
      <c r="A48" s="19" t="b">
        <v>0</v>
      </c>
      <c r="B48" s="1" t="s">
        <v>263</v>
      </c>
      <c r="C48" s="1" t="s">
        <v>264</v>
      </c>
      <c r="D48" s="1" t="s">
        <v>265</v>
      </c>
      <c r="E48" s="1" t="s">
        <v>133</v>
      </c>
      <c r="F48" s="1" t="s">
        <v>266</v>
      </c>
      <c r="G48" s="1"/>
      <c r="H48" s="1"/>
      <c r="I48" s="1"/>
    </row>
    <row r="49" spans="1:9" ht="18" customHeight="1">
      <c r="A49" s="19" t="b">
        <v>0</v>
      </c>
      <c r="B49" s="1" t="s">
        <v>267</v>
      </c>
      <c r="C49" s="1" t="s">
        <v>268</v>
      </c>
      <c r="D49" s="1" t="s">
        <v>265</v>
      </c>
      <c r="E49" s="1" t="s">
        <v>133</v>
      </c>
      <c r="F49" s="1" t="s">
        <v>269</v>
      </c>
      <c r="G49" s="1"/>
      <c r="H49" s="1"/>
      <c r="I49" s="1"/>
    </row>
    <row r="50" spans="1:9" ht="18" customHeight="1">
      <c r="A50" s="19" t="b">
        <v>0</v>
      </c>
      <c r="B50" s="1" t="s">
        <v>270</v>
      </c>
      <c r="C50" s="1" t="s">
        <v>271</v>
      </c>
      <c r="D50" s="1" t="s">
        <v>265</v>
      </c>
      <c r="E50" s="1" t="s">
        <v>133</v>
      </c>
      <c r="F50" s="1" t="s">
        <v>272</v>
      </c>
      <c r="G50" s="1"/>
      <c r="H50" s="1"/>
      <c r="I50" s="1"/>
    </row>
    <row r="51" spans="1:9" ht="18" customHeight="1">
      <c r="A51" s="19" t="b">
        <v>0</v>
      </c>
      <c r="B51" s="1" t="s">
        <v>273</v>
      </c>
      <c r="C51" s="1" t="s">
        <v>274</v>
      </c>
      <c r="D51" s="1" t="s">
        <v>265</v>
      </c>
      <c r="E51" s="1" t="s">
        <v>133</v>
      </c>
      <c r="F51" s="1" t="s">
        <v>275</v>
      </c>
      <c r="G51" s="1"/>
      <c r="H51" s="1"/>
      <c r="I51" s="1"/>
    </row>
    <row r="52" spans="1:9" ht="18" customHeight="1">
      <c r="A52" s="19" t="b">
        <v>0</v>
      </c>
      <c r="B52" s="1" t="s">
        <v>276</v>
      </c>
      <c r="C52" s="1" t="s">
        <v>277</v>
      </c>
      <c r="D52" s="1" t="s">
        <v>265</v>
      </c>
      <c r="E52" s="1" t="s">
        <v>133</v>
      </c>
      <c r="F52" s="1" t="s">
        <v>278</v>
      </c>
      <c r="G52" s="1"/>
      <c r="H52" s="1"/>
      <c r="I52" s="1"/>
    </row>
    <row r="53" spans="1:9" ht="18" customHeight="1">
      <c r="A53" s="19" t="b">
        <v>0</v>
      </c>
      <c r="B53" s="1" t="s">
        <v>279</v>
      </c>
      <c r="C53" s="1" t="s">
        <v>280</v>
      </c>
      <c r="D53" s="1" t="s">
        <v>281</v>
      </c>
      <c r="E53" s="1" t="s">
        <v>133</v>
      </c>
      <c r="F53" s="1" t="s">
        <v>282</v>
      </c>
      <c r="G53" s="1"/>
      <c r="H53" s="1"/>
      <c r="I53" s="1"/>
    </row>
    <row r="54" spans="1:9" ht="18" customHeight="1">
      <c r="A54" s="19" t="b">
        <v>0</v>
      </c>
      <c r="B54" s="1" t="s">
        <v>283</v>
      </c>
      <c r="C54" s="1" t="s">
        <v>284</v>
      </c>
      <c r="D54" s="1" t="s">
        <v>281</v>
      </c>
      <c r="E54" s="1" t="s">
        <v>133</v>
      </c>
      <c r="F54" s="1" t="s">
        <v>285</v>
      </c>
      <c r="G54" s="1"/>
      <c r="H54" s="1"/>
      <c r="I54" s="1"/>
    </row>
    <row r="55" spans="1:9" ht="18" customHeight="1">
      <c r="A55" s="19" t="b">
        <v>0</v>
      </c>
      <c r="B55" s="1" t="s">
        <v>286</v>
      </c>
      <c r="C55" s="1" t="s">
        <v>287</v>
      </c>
      <c r="D55" s="1" t="s">
        <v>281</v>
      </c>
      <c r="E55" s="1" t="s">
        <v>212</v>
      </c>
      <c r="F55" s="1"/>
      <c r="G55" s="1"/>
      <c r="H55" s="1"/>
      <c r="I55" s="1"/>
    </row>
    <row r="56" spans="1:9" ht="18" customHeight="1">
      <c r="A56" s="19" t="b">
        <v>0</v>
      </c>
      <c r="B56" s="1" t="s">
        <v>288</v>
      </c>
      <c r="C56" s="1" t="s">
        <v>289</v>
      </c>
      <c r="D56" s="1" t="s">
        <v>281</v>
      </c>
      <c r="E56" s="1" t="s">
        <v>212</v>
      </c>
      <c r="F56" s="1"/>
      <c r="G56" s="1"/>
      <c r="H56" s="1"/>
      <c r="I56" s="1"/>
    </row>
  </sheetData>
  <phoneticPr fontId="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tnPrev_F-001">
              <controlPr defaultSize="0" print="0" autoFill="0" autoPict="0" macro="행별_미리보기">
                <anchor moveWithCells="1" sizeWithCells="1">
                  <from>
                    <xdr:col>6</xdr:col>
                    <xdr:colOff>7620</xdr:colOff>
                    <xdr:row>4</xdr:row>
                    <xdr:rowOff>15240</xdr:rowOff>
                  </from>
                  <to>
                    <xdr:col>6</xdr:col>
                    <xdr:colOff>800100</xdr:colOff>
                    <xdr:row>4</xdr:row>
                    <xdr:rowOff>205740</xdr:rowOff>
                  </to>
                </anchor>
              </controlPr>
            </control>
          </mc:Choice>
        </mc:AlternateContent>
        <mc:AlternateContent xmlns:mc="http://schemas.openxmlformats.org/markup-compatibility/2006">
          <mc:Choice Requires="x14">
            <control shapeId="5122" r:id="rId4" name="btnPdf_F-001">
              <controlPr defaultSize="0" print="0" autoFill="0" autoPict="0" macro="행별_PDF저장">
                <anchor moveWithCells="1" sizeWithCells="1">
                  <from>
                    <xdr:col>7</xdr:col>
                    <xdr:colOff>7620</xdr:colOff>
                    <xdr:row>4</xdr:row>
                    <xdr:rowOff>15240</xdr:rowOff>
                  </from>
                  <to>
                    <xdr:col>7</xdr:col>
                    <xdr:colOff>800100</xdr:colOff>
                    <xdr:row>4</xdr:row>
                    <xdr:rowOff>205740</xdr:rowOff>
                  </to>
                </anchor>
              </controlPr>
            </control>
          </mc:Choice>
        </mc:AlternateContent>
        <mc:AlternateContent xmlns:mc="http://schemas.openxmlformats.org/markup-compatibility/2006">
          <mc:Choice Requires="x14">
            <control shapeId="5123" r:id="rId5" name="btnHwpx_F-001">
              <controlPr defaultSize="0" print="0" autoFill="0" autoPict="0" macro="행별_HWPX작성">
                <anchor moveWithCells="1" sizeWithCells="1">
                  <from>
                    <xdr:col>8</xdr:col>
                    <xdr:colOff>7620</xdr:colOff>
                    <xdr:row>4</xdr:row>
                    <xdr:rowOff>15240</xdr:rowOff>
                  </from>
                  <to>
                    <xdr:col>8</xdr:col>
                    <xdr:colOff>800100</xdr:colOff>
                    <xdr:row>4</xdr:row>
                    <xdr:rowOff>205740</xdr:rowOff>
                  </to>
                </anchor>
              </controlPr>
            </control>
          </mc:Choice>
        </mc:AlternateContent>
        <mc:AlternateContent xmlns:mc="http://schemas.openxmlformats.org/markup-compatibility/2006">
          <mc:Choice Requires="x14">
            <control shapeId="5124" r:id="rId6" name="btnPrev_F-002">
              <controlPr defaultSize="0" print="0" autoFill="0" autoPict="0" macro="행별_미리보기">
                <anchor moveWithCells="1" sizeWithCells="1">
                  <from>
                    <xdr:col>6</xdr:col>
                    <xdr:colOff>7620</xdr:colOff>
                    <xdr:row>5</xdr:row>
                    <xdr:rowOff>15240</xdr:rowOff>
                  </from>
                  <to>
                    <xdr:col>6</xdr:col>
                    <xdr:colOff>800100</xdr:colOff>
                    <xdr:row>5</xdr:row>
                    <xdr:rowOff>205740</xdr:rowOff>
                  </to>
                </anchor>
              </controlPr>
            </control>
          </mc:Choice>
        </mc:AlternateContent>
        <mc:AlternateContent xmlns:mc="http://schemas.openxmlformats.org/markup-compatibility/2006">
          <mc:Choice Requires="x14">
            <control shapeId="5125" r:id="rId7" name="btnPdf_F-002">
              <controlPr defaultSize="0" print="0" autoFill="0" autoPict="0" macro="행별_PDF저장">
                <anchor moveWithCells="1" sizeWithCells="1">
                  <from>
                    <xdr:col>7</xdr:col>
                    <xdr:colOff>7620</xdr:colOff>
                    <xdr:row>5</xdr:row>
                    <xdr:rowOff>15240</xdr:rowOff>
                  </from>
                  <to>
                    <xdr:col>7</xdr:col>
                    <xdr:colOff>800100</xdr:colOff>
                    <xdr:row>5</xdr:row>
                    <xdr:rowOff>205740</xdr:rowOff>
                  </to>
                </anchor>
              </controlPr>
            </control>
          </mc:Choice>
        </mc:AlternateContent>
        <mc:AlternateContent xmlns:mc="http://schemas.openxmlformats.org/markup-compatibility/2006">
          <mc:Choice Requires="x14">
            <control shapeId="5126" r:id="rId8" name="btnHwpx_F-002">
              <controlPr defaultSize="0" print="0" autoFill="0" autoPict="0" macro="행별_HWPX작성">
                <anchor moveWithCells="1" sizeWithCells="1">
                  <from>
                    <xdr:col>8</xdr:col>
                    <xdr:colOff>7620</xdr:colOff>
                    <xdr:row>5</xdr:row>
                    <xdr:rowOff>15240</xdr:rowOff>
                  </from>
                  <to>
                    <xdr:col>8</xdr:col>
                    <xdr:colOff>800100</xdr:colOff>
                    <xdr:row>5</xdr:row>
                    <xdr:rowOff>205740</xdr:rowOff>
                  </to>
                </anchor>
              </controlPr>
            </control>
          </mc:Choice>
        </mc:AlternateContent>
        <mc:AlternateContent xmlns:mc="http://schemas.openxmlformats.org/markup-compatibility/2006">
          <mc:Choice Requires="x14">
            <control shapeId="5127" r:id="rId9" name="btnPrev_F-003">
              <controlPr defaultSize="0" print="0" autoFill="0" autoPict="0" macro="행별_미리보기">
                <anchor moveWithCells="1" sizeWithCells="1">
                  <from>
                    <xdr:col>6</xdr:col>
                    <xdr:colOff>7620</xdr:colOff>
                    <xdr:row>6</xdr:row>
                    <xdr:rowOff>15240</xdr:rowOff>
                  </from>
                  <to>
                    <xdr:col>6</xdr:col>
                    <xdr:colOff>800100</xdr:colOff>
                    <xdr:row>6</xdr:row>
                    <xdr:rowOff>205740</xdr:rowOff>
                  </to>
                </anchor>
              </controlPr>
            </control>
          </mc:Choice>
        </mc:AlternateContent>
        <mc:AlternateContent xmlns:mc="http://schemas.openxmlformats.org/markup-compatibility/2006">
          <mc:Choice Requires="x14">
            <control shapeId="5128" r:id="rId10" name="btnPdf_F-003">
              <controlPr defaultSize="0" print="0" autoFill="0" autoPict="0" macro="행별_PDF저장">
                <anchor moveWithCells="1" sizeWithCells="1">
                  <from>
                    <xdr:col>7</xdr:col>
                    <xdr:colOff>7620</xdr:colOff>
                    <xdr:row>6</xdr:row>
                    <xdr:rowOff>15240</xdr:rowOff>
                  </from>
                  <to>
                    <xdr:col>7</xdr:col>
                    <xdr:colOff>800100</xdr:colOff>
                    <xdr:row>6</xdr:row>
                    <xdr:rowOff>205740</xdr:rowOff>
                  </to>
                </anchor>
              </controlPr>
            </control>
          </mc:Choice>
        </mc:AlternateContent>
        <mc:AlternateContent xmlns:mc="http://schemas.openxmlformats.org/markup-compatibility/2006">
          <mc:Choice Requires="x14">
            <control shapeId="5129" r:id="rId11" name="btnHwpx_F-003">
              <controlPr defaultSize="0" print="0" autoFill="0" autoPict="0" macro="행별_HWPX작성">
                <anchor moveWithCells="1" sizeWithCells="1">
                  <from>
                    <xdr:col>8</xdr:col>
                    <xdr:colOff>7620</xdr:colOff>
                    <xdr:row>6</xdr:row>
                    <xdr:rowOff>15240</xdr:rowOff>
                  </from>
                  <to>
                    <xdr:col>8</xdr:col>
                    <xdr:colOff>800100</xdr:colOff>
                    <xdr:row>6</xdr:row>
                    <xdr:rowOff>205740</xdr:rowOff>
                  </to>
                </anchor>
              </controlPr>
            </control>
          </mc:Choice>
        </mc:AlternateContent>
        <mc:AlternateContent xmlns:mc="http://schemas.openxmlformats.org/markup-compatibility/2006">
          <mc:Choice Requires="x14">
            <control shapeId="5130" r:id="rId12" name="btnPrev_F-004">
              <controlPr defaultSize="0" print="0" autoFill="0" autoPict="0" macro="행별_미리보기">
                <anchor moveWithCells="1" sizeWithCells="1">
                  <from>
                    <xdr:col>6</xdr:col>
                    <xdr:colOff>7620</xdr:colOff>
                    <xdr:row>7</xdr:row>
                    <xdr:rowOff>15240</xdr:rowOff>
                  </from>
                  <to>
                    <xdr:col>6</xdr:col>
                    <xdr:colOff>800100</xdr:colOff>
                    <xdr:row>7</xdr:row>
                    <xdr:rowOff>205740</xdr:rowOff>
                  </to>
                </anchor>
              </controlPr>
            </control>
          </mc:Choice>
        </mc:AlternateContent>
        <mc:AlternateContent xmlns:mc="http://schemas.openxmlformats.org/markup-compatibility/2006">
          <mc:Choice Requires="x14">
            <control shapeId="5131" r:id="rId13" name="btnPdf_F-004">
              <controlPr defaultSize="0" print="0" autoFill="0" autoPict="0" macro="행별_PDF저장">
                <anchor moveWithCells="1" sizeWithCells="1">
                  <from>
                    <xdr:col>7</xdr:col>
                    <xdr:colOff>7620</xdr:colOff>
                    <xdr:row>7</xdr:row>
                    <xdr:rowOff>15240</xdr:rowOff>
                  </from>
                  <to>
                    <xdr:col>7</xdr:col>
                    <xdr:colOff>800100</xdr:colOff>
                    <xdr:row>7</xdr:row>
                    <xdr:rowOff>205740</xdr:rowOff>
                  </to>
                </anchor>
              </controlPr>
            </control>
          </mc:Choice>
        </mc:AlternateContent>
        <mc:AlternateContent xmlns:mc="http://schemas.openxmlformats.org/markup-compatibility/2006">
          <mc:Choice Requires="x14">
            <control shapeId="5132" r:id="rId14" name="btnHwpx_F-004">
              <controlPr defaultSize="0" print="0" autoFill="0" autoPict="0" macro="행별_HWPX작성">
                <anchor moveWithCells="1" sizeWithCells="1">
                  <from>
                    <xdr:col>8</xdr:col>
                    <xdr:colOff>7620</xdr:colOff>
                    <xdr:row>7</xdr:row>
                    <xdr:rowOff>15240</xdr:rowOff>
                  </from>
                  <to>
                    <xdr:col>8</xdr:col>
                    <xdr:colOff>800100</xdr:colOff>
                    <xdr:row>7</xdr:row>
                    <xdr:rowOff>205740</xdr:rowOff>
                  </to>
                </anchor>
              </controlPr>
            </control>
          </mc:Choice>
        </mc:AlternateContent>
        <mc:AlternateContent xmlns:mc="http://schemas.openxmlformats.org/markup-compatibility/2006">
          <mc:Choice Requires="x14">
            <control shapeId="5133" r:id="rId15" name="btnPrev_F-005">
              <controlPr defaultSize="0" print="0" autoFill="0" autoPict="0" macro="행별_미리보기">
                <anchor moveWithCells="1" sizeWithCells="1">
                  <from>
                    <xdr:col>6</xdr:col>
                    <xdr:colOff>7620</xdr:colOff>
                    <xdr:row>8</xdr:row>
                    <xdr:rowOff>15240</xdr:rowOff>
                  </from>
                  <to>
                    <xdr:col>6</xdr:col>
                    <xdr:colOff>800100</xdr:colOff>
                    <xdr:row>8</xdr:row>
                    <xdr:rowOff>205740</xdr:rowOff>
                  </to>
                </anchor>
              </controlPr>
            </control>
          </mc:Choice>
        </mc:AlternateContent>
        <mc:AlternateContent xmlns:mc="http://schemas.openxmlformats.org/markup-compatibility/2006">
          <mc:Choice Requires="x14">
            <control shapeId="5134" r:id="rId16" name="btnPdf_F-005">
              <controlPr defaultSize="0" print="0" autoFill="0" autoPict="0" macro="행별_PDF저장">
                <anchor moveWithCells="1" sizeWithCells="1">
                  <from>
                    <xdr:col>7</xdr:col>
                    <xdr:colOff>7620</xdr:colOff>
                    <xdr:row>8</xdr:row>
                    <xdr:rowOff>15240</xdr:rowOff>
                  </from>
                  <to>
                    <xdr:col>7</xdr:col>
                    <xdr:colOff>800100</xdr:colOff>
                    <xdr:row>8</xdr:row>
                    <xdr:rowOff>205740</xdr:rowOff>
                  </to>
                </anchor>
              </controlPr>
            </control>
          </mc:Choice>
        </mc:AlternateContent>
        <mc:AlternateContent xmlns:mc="http://schemas.openxmlformats.org/markup-compatibility/2006">
          <mc:Choice Requires="x14">
            <control shapeId="5135" r:id="rId17" name="btnHwpx_F-005">
              <controlPr defaultSize="0" print="0" autoFill="0" autoPict="0" macro="행별_HWPX작성">
                <anchor moveWithCells="1" sizeWithCells="1">
                  <from>
                    <xdr:col>8</xdr:col>
                    <xdr:colOff>7620</xdr:colOff>
                    <xdr:row>8</xdr:row>
                    <xdr:rowOff>15240</xdr:rowOff>
                  </from>
                  <to>
                    <xdr:col>8</xdr:col>
                    <xdr:colOff>800100</xdr:colOff>
                    <xdr:row>8</xdr:row>
                    <xdr:rowOff>205740</xdr:rowOff>
                  </to>
                </anchor>
              </controlPr>
            </control>
          </mc:Choice>
        </mc:AlternateContent>
        <mc:AlternateContent xmlns:mc="http://schemas.openxmlformats.org/markup-compatibility/2006">
          <mc:Choice Requires="x14">
            <control shapeId="5136" r:id="rId18" name="btnPrev_F-006">
              <controlPr defaultSize="0" print="0" autoFill="0" autoPict="0" macro="행별_미리보기">
                <anchor moveWithCells="1" sizeWithCells="1">
                  <from>
                    <xdr:col>6</xdr:col>
                    <xdr:colOff>7620</xdr:colOff>
                    <xdr:row>9</xdr:row>
                    <xdr:rowOff>15240</xdr:rowOff>
                  </from>
                  <to>
                    <xdr:col>6</xdr:col>
                    <xdr:colOff>800100</xdr:colOff>
                    <xdr:row>9</xdr:row>
                    <xdr:rowOff>205740</xdr:rowOff>
                  </to>
                </anchor>
              </controlPr>
            </control>
          </mc:Choice>
        </mc:AlternateContent>
        <mc:AlternateContent xmlns:mc="http://schemas.openxmlformats.org/markup-compatibility/2006">
          <mc:Choice Requires="x14">
            <control shapeId="5137" r:id="rId19" name="btnPdf_F-006">
              <controlPr defaultSize="0" print="0" autoFill="0" autoPict="0" macro="행별_PDF저장">
                <anchor moveWithCells="1" sizeWithCells="1">
                  <from>
                    <xdr:col>7</xdr:col>
                    <xdr:colOff>7620</xdr:colOff>
                    <xdr:row>9</xdr:row>
                    <xdr:rowOff>15240</xdr:rowOff>
                  </from>
                  <to>
                    <xdr:col>7</xdr:col>
                    <xdr:colOff>800100</xdr:colOff>
                    <xdr:row>9</xdr:row>
                    <xdr:rowOff>205740</xdr:rowOff>
                  </to>
                </anchor>
              </controlPr>
            </control>
          </mc:Choice>
        </mc:AlternateContent>
        <mc:AlternateContent xmlns:mc="http://schemas.openxmlformats.org/markup-compatibility/2006">
          <mc:Choice Requires="x14">
            <control shapeId="5138" r:id="rId20" name="btnHwpx_F-006">
              <controlPr defaultSize="0" print="0" autoFill="0" autoPict="0" macro="행별_HWPX작성">
                <anchor moveWithCells="1" sizeWithCells="1">
                  <from>
                    <xdr:col>8</xdr:col>
                    <xdr:colOff>7620</xdr:colOff>
                    <xdr:row>9</xdr:row>
                    <xdr:rowOff>15240</xdr:rowOff>
                  </from>
                  <to>
                    <xdr:col>8</xdr:col>
                    <xdr:colOff>800100</xdr:colOff>
                    <xdr:row>9</xdr:row>
                    <xdr:rowOff>205740</xdr:rowOff>
                  </to>
                </anchor>
              </controlPr>
            </control>
          </mc:Choice>
        </mc:AlternateContent>
        <mc:AlternateContent xmlns:mc="http://schemas.openxmlformats.org/markup-compatibility/2006">
          <mc:Choice Requires="x14">
            <control shapeId="5139" r:id="rId21" name="btnPrev_F-007">
              <controlPr defaultSize="0" print="0" autoFill="0" autoPict="0" macro="행별_미리보기">
                <anchor moveWithCells="1" sizeWithCells="1">
                  <from>
                    <xdr:col>6</xdr:col>
                    <xdr:colOff>7620</xdr:colOff>
                    <xdr:row>10</xdr:row>
                    <xdr:rowOff>15240</xdr:rowOff>
                  </from>
                  <to>
                    <xdr:col>6</xdr:col>
                    <xdr:colOff>800100</xdr:colOff>
                    <xdr:row>10</xdr:row>
                    <xdr:rowOff>205740</xdr:rowOff>
                  </to>
                </anchor>
              </controlPr>
            </control>
          </mc:Choice>
        </mc:AlternateContent>
        <mc:AlternateContent xmlns:mc="http://schemas.openxmlformats.org/markup-compatibility/2006">
          <mc:Choice Requires="x14">
            <control shapeId="5140" r:id="rId22" name="btnPdf_F-007">
              <controlPr defaultSize="0" print="0" autoFill="0" autoPict="0" macro="행별_PDF저장">
                <anchor moveWithCells="1" sizeWithCells="1">
                  <from>
                    <xdr:col>7</xdr:col>
                    <xdr:colOff>7620</xdr:colOff>
                    <xdr:row>10</xdr:row>
                    <xdr:rowOff>15240</xdr:rowOff>
                  </from>
                  <to>
                    <xdr:col>7</xdr:col>
                    <xdr:colOff>800100</xdr:colOff>
                    <xdr:row>10</xdr:row>
                    <xdr:rowOff>205740</xdr:rowOff>
                  </to>
                </anchor>
              </controlPr>
            </control>
          </mc:Choice>
        </mc:AlternateContent>
        <mc:AlternateContent xmlns:mc="http://schemas.openxmlformats.org/markup-compatibility/2006">
          <mc:Choice Requires="x14">
            <control shapeId="5141" r:id="rId23" name="btnHwpx_F-007">
              <controlPr defaultSize="0" print="0" autoFill="0" autoPict="0" macro="행별_HWPX작성">
                <anchor moveWithCells="1" sizeWithCells="1">
                  <from>
                    <xdr:col>8</xdr:col>
                    <xdr:colOff>7620</xdr:colOff>
                    <xdr:row>10</xdr:row>
                    <xdr:rowOff>15240</xdr:rowOff>
                  </from>
                  <to>
                    <xdr:col>8</xdr:col>
                    <xdr:colOff>800100</xdr:colOff>
                    <xdr:row>10</xdr:row>
                    <xdr:rowOff>205740</xdr:rowOff>
                  </to>
                </anchor>
              </controlPr>
            </control>
          </mc:Choice>
        </mc:AlternateContent>
        <mc:AlternateContent xmlns:mc="http://schemas.openxmlformats.org/markup-compatibility/2006">
          <mc:Choice Requires="x14">
            <control shapeId="5142" r:id="rId24" name="btnPrev_F-008">
              <controlPr defaultSize="0" print="0" autoFill="0" autoPict="0" macro="행별_미리보기">
                <anchor moveWithCells="1" sizeWithCells="1">
                  <from>
                    <xdr:col>6</xdr:col>
                    <xdr:colOff>7620</xdr:colOff>
                    <xdr:row>11</xdr:row>
                    <xdr:rowOff>15240</xdr:rowOff>
                  </from>
                  <to>
                    <xdr:col>6</xdr:col>
                    <xdr:colOff>800100</xdr:colOff>
                    <xdr:row>11</xdr:row>
                    <xdr:rowOff>205740</xdr:rowOff>
                  </to>
                </anchor>
              </controlPr>
            </control>
          </mc:Choice>
        </mc:AlternateContent>
        <mc:AlternateContent xmlns:mc="http://schemas.openxmlformats.org/markup-compatibility/2006">
          <mc:Choice Requires="x14">
            <control shapeId="5143" r:id="rId25" name="btnPdf_F-008">
              <controlPr defaultSize="0" print="0" autoFill="0" autoPict="0" macro="행별_PDF저장">
                <anchor moveWithCells="1" sizeWithCells="1">
                  <from>
                    <xdr:col>7</xdr:col>
                    <xdr:colOff>7620</xdr:colOff>
                    <xdr:row>11</xdr:row>
                    <xdr:rowOff>15240</xdr:rowOff>
                  </from>
                  <to>
                    <xdr:col>7</xdr:col>
                    <xdr:colOff>800100</xdr:colOff>
                    <xdr:row>11</xdr:row>
                    <xdr:rowOff>205740</xdr:rowOff>
                  </to>
                </anchor>
              </controlPr>
            </control>
          </mc:Choice>
        </mc:AlternateContent>
        <mc:AlternateContent xmlns:mc="http://schemas.openxmlformats.org/markup-compatibility/2006">
          <mc:Choice Requires="x14">
            <control shapeId="5144" r:id="rId26" name="btnHwpx_F-008">
              <controlPr defaultSize="0" print="0" autoFill="0" autoPict="0" macro="행별_HWPX작성">
                <anchor moveWithCells="1" sizeWithCells="1">
                  <from>
                    <xdr:col>8</xdr:col>
                    <xdr:colOff>7620</xdr:colOff>
                    <xdr:row>11</xdr:row>
                    <xdr:rowOff>15240</xdr:rowOff>
                  </from>
                  <to>
                    <xdr:col>8</xdr:col>
                    <xdr:colOff>800100</xdr:colOff>
                    <xdr:row>11</xdr:row>
                    <xdr:rowOff>205740</xdr:rowOff>
                  </to>
                </anchor>
              </controlPr>
            </control>
          </mc:Choice>
        </mc:AlternateContent>
        <mc:AlternateContent xmlns:mc="http://schemas.openxmlformats.org/markup-compatibility/2006">
          <mc:Choice Requires="x14">
            <control shapeId="5145" r:id="rId27" name="btnPrev_F-009">
              <controlPr defaultSize="0" print="0" autoFill="0" autoPict="0" macro="행별_미리보기">
                <anchor moveWithCells="1" sizeWithCells="1">
                  <from>
                    <xdr:col>6</xdr:col>
                    <xdr:colOff>7620</xdr:colOff>
                    <xdr:row>12</xdr:row>
                    <xdr:rowOff>15240</xdr:rowOff>
                  </from>
                  <to>
                    <xdr:col>6</xdr:col>
                    <xdr:colOff>800100</xdr:colOff>
                    <xdr:row>12</xdr:row>
                    <xdr:rowOff>205740</xdr:rowOff>
                  </to>
                </anchor>
              </controlPr>
            </control>
          </mc:Choice>
        </mc:AlternateContent>
        <mc:AlternateContent xmlns:mc="http://schemas.openxmlformats.org/markup-compatibility/2006">
          <mc:Choice Requires="x14">
            <control shapeId="5146" r:id="rId28" name="btnPdf_F-009">
              <controlPr defaultSize="0" print="0" autoFill="0" autoPict="0" macro="행별_PDF저장">
                <anchor moveWithCells="1" sizeWithCells="1">
                  <from>
                    <xdr:col>7</xdr:col>
                    <xdr:colOff>7620</xdr:colOff>
                    <xdr:row>12</xdr:row>
                    <xdr:rowOff>15240</xdr:rowOff>
                  </from>
                  <to>
                    <xdr:col>7</xdr:col>
                    <xdr:colOff>800100</xdr:colOff>
                    <xdr:row>12</xdr:row>
                    <xdr:rowOff>205740</xdr:rowOff>
                  </to>
                </anchor>
              </controlPr>
            </control>
          </mc:Choice>
        </mc:AlternateContent>
        <mc:AlternateContent xmlns:mc="http://schemas.openxmlformats.org/markup-compatibility/2006">
          <mc:Choice Requires="x14">
            <control shapeId="5147" r:id="rId29" name="btnHwpx_F-009">
              <controlPr defaultSize="0" print="0" autoFill="0" autoPict="0" macro="행별_HWPX작성">
                <anchor moveWithCells="1" sizeWithCells="1">
                  <from>
                    <xdr:col>8</xdr:col>
                    <xdr:colOff>7620</xdr:colOff>
                    <xdr:row>12</xdr:row>
                    <xdr:rowOff>15240</xdr:rowOff>
                  </from>
                  <to>
                    <xdr:col>8</xdr:col>
                    <xdr:colOff>800100</xdr:colOff>
                    <xdr:row>12</xdr:row>
                    <xdr:rowOff>205740</xdr:rowOff>
                  </to>
                </anchor>
              </controlPr>
            </control>
          </mc:Choice>
        </mc:AlternateContent>
        <mc:AlternateContent xmlns:mc="http://schemas.openxmlformats.org/markup-compatibility/2006">
          <mc:Choice Requires="x14">
            <control shapeId="5148" r:id="rId30" name="btnPrev_F-010">
              <controlPr defaultSize="0" print="0" autoFill="0" autoPict="0" macro="행별_미리보기">
                <anchor moveWithCells="1" sizeWithCells="1">
                  <from>
                    <xdr:col>6</xdr:col>
                    <xdr:colOff>7620</xdr:colOff>
                    <xdr:row>13</xdr:row>
                    <xdr:rowOff>15240</xdr:rowOff>
                  </from>
                  <to>
                    <xdr:col>6</xdr:col>
                    <xdr:colOff>800100</xdr:colOff>
                    <xdr:row>13</xdr:row>
                    <xdr:rowOff>205740</xdr:rowOff>
                  </to>
                </anchor>
              </controlPr>
            </control>
          </mc:Choice>
        </mc:AlternateContent>
        <mc:AlternateContent xmlns:mc="http://schemas.openxmlformats.org/markup-compatibility/2006">
          <mc:Choice Requires="x14">
            <control shapeId="5149" r:id="rId31" name="btnPdf_F-010">
              <controlPr defaultSize="0" print="0" autoFill="0" autoPict="0" macro="행별_PDF저장">
                <anchor moveWithCells="1" sizeWithCells="1">
                  <from>
                    <xdr:col>7</xdr:col>
                    <xdr:colOff>7620</xdr:colOff>
                    <xdr:row>13</xdr:row>
                    <xdr:rowOff>15240</xdr:rowOff>
                  </from>
                  <to>
                    <xdr:col>7</xdr:col>
                    <xdr:colOff>800100</xdr:colOff>
                    <xdr:row>13</xdr:row>
                    <xdr:rowOff>205740</xdr:rowOff>
                  </to>
                </anchor>
              </controlPr>
            </control>
          </mc:Choice>
        </mc:AlternateContent>
        <mc:AlternateContent xmlns:mc="http://schemas.openxmlformats.org/markup-compatibility/2006">
          <mc:Choice Requires="x14">
            <control shapeId="5150" r:id="rId32" name="btnHwpx_F-010">
              <controlPr defaultSize="0" print="0" autoFill="0" autoPict="0" macro="행별_HWPX작성">
                <anchor moveWithCells="1" sizeWithCells="1">
                  <from>
                    <xdr:col>8</xdr:col>
                    <xdr:colOff>7620</xdr:colOff>
                    <xdr:row>13</xdr:row>
                    <xdr:rowOff>15240</xdr:rowOff>
                  </from>
                  <to>
                    <xdr:col>8</xdr:col>
                    <xdr:colOff>800100</xdr:colOff>
                    <xdr:row>13</xdr:row>
                    <xdr:rowOff>205740</xdr:rowOff>
                  </to>
                </anchor>
              </controlPr>
            </control>
          </mc:Choice>
        </mc:AlternateContent>
        <mc:AlternateContent xmlns:mc="http://schemas.openxmlformats.org/markup-compatibility/2006">
          <mc:Choice Requires="x14">
            <control shapeId="5151" r:id="rId33" name="btnPrev_F-011">
              <controlPr defaultSize="0" print="0" autoFill="0" autoPict="0" macro="행별_미리보기">
                <anchor moveWithCells="1" sizeWithCells="1">
                  <from>
                    <xdr:col>6</xdr:col>
                    <xdr:colOff>7620</xdr:colOff>
                    <xdr:row>14</xdr:row>
                    <xdr:rowOff>15240</xdr:rowOff>
                  </from>
                  <to>
                    <xdr:col>6</xdr:col>
                    <xdr:colOff>800100</xdr:colOff>
                    <xdr:row>14</xdr:row>
                    <xdr:rowOff>205740</xdr:rowOff>
                  </to>
                </anchor>
              </controlPr>
            </control>
          </mc:Choice>
        </mc:AlternateContent>
        <mc:AlternateContent xmlns:mc="http://schemas.openxmlformats.org/markup-compatibility/2006">
          <mc:Choice Requires="x14">
            <control shapeId="5152" r:id="rId34" name="btnPdf_F-011">
              <controlPr defaultSize="0" print="0" autoFill="0" autoPict="0" macro="행별_PDF저장">
                <anchor moveWithCells="1" sizeWithCells="1">
                  <from>
                    <xdr:col>7</xdr:col>
                    <xdr:colOff>7620</xdr:colOff>
                    <xdr:row>14</xdr:row>
                    <xdr:rowOff>15240</xdr:rowOff>
                  </from>
                  <to>
                    <xdr:col>7</xdr:col>
                    <xdr:colOff>800100</xdr:colOff>
                    <xdr:row>14</xdr:row>
                    <xdr:rowOff>205740</xdr:rowOff>
                  </to>
                </anchor>
              </controlPr>
            </control>
          </mc:Choice>
        </mc:AlternateContent>
        <mc:AlternateContent xmlns:mc="http://schemas.openxmlformats.org/markup-compatibility/2006">
          <mc:Choice Requires="x14">
            <control shapeId="5153" r:id="rId35" name="btnHwpx_F-011">
              <controlPr defaultSize="0" print="0" autoFill="0" autoPict="0" macro="행별_HWPX작성">
                <anchor moveWithCells="1" sizeWithCells="1">
                  <from>
                    <xdr:col>8</xdr:col>
                    <xdr:colOff>7620</xdr:colOff>
                    <xdr:row>14</xdr:row>
                    <xdr:rowOff>15240</xdr:rowOff>
                  </from>
                  <to>
                    <xdr:col>8</xdr:col>
                    <xdr:colOff>800100</xdr:colOff>
                    <xdr:row>14</xdr:row>
                    <xdr:rowOff>205740</xdr:rowOff>
                  </to>
                </anchor>
              </controlPr>
            </control>
          </mc:Choice>
        </mc:AlternateContent>
        <mc:AlternateContent xmlns:mc="http://schemas.openxmlformats.org/markup-compatibility/2006">
          <mc:Choice Requires="x14">
            <control shapeId="5154" r:id="rId36" name="btnPrev_F-012">
              <controlPr defaultSize="0" print="0" autoFill="0" autoPict="0" macro="행별_미리보기">
                <anchor moveWithCells="1" sizeWithCells="1">
                  <from>
                    <xdr:col>6</xdr:col>
                    <xdr:colOff>7620</xdr:colOff>
                    <xdr:row>15</xdr:row>
                    <xdr:rowOff>15240</xdr:rowOff>
                  </from>
                  <to>
                    <xdr:col>6</xdr:col>
                    <xdr:colOff>800100</xdr:colOff>
                    <xdr:row>15</xdr:row>
                    <xdr:rowOff>205740</xdr:rowOff>
                  </to>
                </anchor>
              </controlPr>
            </control>
          </mc:Choice>
        </mc:AlternateContent>
        <mc:AlternateContent xmlns:mc="http://schemas.openxmlformats.org/markup-compatibility/2006">
          <mc:Choice Requires="x14">
            <control shapeId="5155" r:id="rId37" name="btnPdf_F-012">
              <controlPr defaultSize="0" print="0" autoFill="0" autoPict="0" macro="행별_PDF저장">
                <anchor moveWithCells="1" sizeWithCells="1">
                  <from>
                    <xdr:col>7</xdr:col>
                    <xdr:colOff>7620</xdr:colOff>
                    <xdr:row>15</xdr:row>
                    <xdr:rowOff>15240</xdr:rowOff>
                  </from>
                  <to>
                    <xdr:col>7</xdr:col>
                    <xdr:colOff>800100</xdr:colOff>
                    <xdr:row>15</xdr:row>
                    <xdr:rowOff>205740</xdr:rowOff>
                  </to>
                </anchor>
              </controlPr>
            </control>
          </mc:Choice>
        </mc:AlternateContent>
        <mc:AlternateContent xmlns:mc="http://schemas.openxmlformats.org/markup-compatibility/2006">
          <mc:Choice Requires="x14">
            <control shapeId="5156" r:id="rId38" name="btnHwpx_F-012">
              <controlPr defaultSize="0" print="0" autoFill="0" autoPict="0" macro="행별_HWPX작성">
                <anchor moveWithCells="1" sizeWithCells="1">
                  <from>
                    <xdr:col>8</xdr:col>
                    <xdr:colOff>7620</xdr:colOff>
                    <xdr:row>15</xdr:row>
                    <xdr:rowOff>15240</xdr:rowOff>
                  </from>
                  <to>
                    <xdr:col>8</xdr:col>
                    <xdr:colOff>800100</xdr:colOff>
                    <xdr:row>15</xdr:row>
                    <xdr:rowOff>205740</xdr:rowOff>
                  </to>
                </anchor>
              </controlPr>
            </control>
          </mc:Choice>
        </mc:AlternateContent>
        <mc:AlternateContent xmlns:mc="http://schemas.openxmlformats.org/markup-compatibility/2006">
          <mc:Choice Requires="x14">
            <control shapeId="5157" r:id="rId39" name="btnPrev_F-014">
              <controlPr defaultSize="0" print="0" autoFill="0" autoPict="0" macro="행별_미리보기">
                <anchor moveWithCells="1" sizeWithCells="1">
                  <from>
                    <xdr:col>6</xdr:col>
                    <xdr:colOff>7620</xdr:colOff>
                    <xdr:row>17</xdr:row>
                    <xdr:rowOff>15240</xdr:rowOff>
                  </from>
                  <to>
                    <xdr:col>6</xdr:col>
                    <xdr:colOff>800100</xdr:colOff>
                    <xdr:row>17</xdr:row>
                    <xdr:rowOff>205740</xdr:rowOff>
                  </to>
                </anchor>
              </controlPr>
            </control>
          </mc:Choice>
        </mc:AlternateContent>
        <mc:AlternateContent xmlns:mc="http://schemas.openxmlformats.org/markup-compatibility/2006">
          <mc:Choice Requires="x14">
            <control shapeId="5158" r:id="rId40" name="btnPdf_F-014">
              <controlPr defaultSize="0" print="0" autoFill="0" autoPict="0" macro="행별_PDF저장">
                <anchor moveWithCells="1" sizeWithCells="1">
                  <from>
                    <xdr:col>7</xdr:col>
                    <xdr:colOff>7620</xdr:colOff>
                    <xdr:row>17</xdr:row>
                    <xdr:rowOff>15240</xdr:rowOff>
                  </from>
                  <to>
                    <xdr:col>7</xdr:col>
                    <xdr:colOff>800100</xdr:colOff>
                    <xdr:row>17</xdr:row>
                    <xdr:rowOff>205740</xdr:rowOff>
                  </to>
                </anchor>
              </controlPr>
            </control>
          </mc:Choice>
        </mc:AlternateContent>
        <mc:AlternateContent xmlns:mc="http://schemas.openxmlformats.org/markup-compatibility/2006">
          <mc:Choice Requires="x14">
            <control shapeId="5159" r:id="rId41" name="btnHwpx_F-014">
              <controlPr defaultSize="0" print="0" autoFill="0" autoPict="0" macro="행별_HWPX작성">
                <anchor moveWithCells="1" sizeWithCells="1">
                  <from>
                    <xdr:col>8</xdr:col>
                    <xdr:colOff>7620</xdr:colOff>
                    <xdr:row>17</xdr:row>
                    <xdr:rowOff>15240</xdr:rowOff>
                  </from>
                  <to>
                    <xdr:col>8</xdr:col>
                    <xdr:colOff>800100</xdr:colOff>
                    <xdr:row>17</xdr:row>
                    <xdr:rowOff>205740</xdr:rowOff>
                  </to>
                </anchor>
              </controlPr>
            </control>
          </mc:Choice>
        </mc:AlternateContent>
        <mc:AlternateContent xmlns:mc="http://schemas.openxmlformats.org/markup-compatibility/2006">
          <mc:Choice Requires="x14">
            <control shapeId="5160" r:id="rId42" name="btnPrev_F-015">
              <controlPr defaultSize="0" print="0" autoFill="0" autoPict="0" macro="행별_미리보기">
                <anchor moveWithCells="1" sizeWithCells="1">
                  <from>
                    <xdr:col>6</xdr:col>
                    <xdr:colOff>7620</xdr:colOff>
                    <xdr:row>18</xdr:row>
                    <xdr:rowOff>15240</xdr:rowOff>
                  </from>
                  <to>
                    <xdr:col>6</xdr:col>
                    <xdr:colOff>800100</xdr:colOff>
                    <xdr:row>18</xdr:row>
                    <xdr:rowOff>205740</xdr:rowOff>
                  </to>
                </anchor>
              </controlPr>
            </control>
          </mc:Choice>
        </mc:AlternateContent>
        <mc:AlternateContent xmlns:mc="http://schemas.openxmlformats.org/markup-compatibility/2006">
          <mc:Choice Requires="x14">
            <control shapeId="5161" r:id="rId43" name="btnPdf_F-015">
              <controlPr defaultSize="0" print="0" autoFill="0" autoPict="0" macro="행별_PDF저장">
                <anchor moveWithCells="1" sizeWithCells="1">
                  <from>
                    <xdr:col>7</xdr:col>
                    <xdr:colOff>7620</xdr:colOff>
                    <xdr:row>18</xdr:row>
                    <xdr:rowOff>15240</xdr:rowOff>
                  </from>
                  <to>
                    <xdr:col>7</xdr:col>
                    <xdr:colOff>800100</xdr:colOff>
                    <xdr:row>18</xdr:row>
                    <xdr:rowOff>205740</xdr:rowOff>
                  </to>
                </anchor>
              </controlPr>
            </control>
          </mc:Choice>
        </mc:AlternateContent>
        <mc:AlternateContent xmlns:mc="http://schemas.openxmlformats.org/markup-compatibility/2006">
          <mc:Choice Requires="x14">
            <control shapeId="5162" r:id="rId44" name="btnHwpx_F-015">
              <controlPr defaultSize="0" print="0" autoFill="0" autoPict="0" macro="행별_HWPX작성">
                <anchor moveWithCells="1" sizeWithCells="1">
                  <from>
                    <xdr:col>8</xdr:col>
                    <xdr:colOff>7620</xdr:colOff>
                    <xdr:row>18</xdr:row>
                    <xdr:rowOff>15240</xdr:rowOff>
                  </from>
                  <to>
                    <xdr:col>8</xdr:col>
                    <xdr:colOff>800100</xdr:colOff>
                    <xdr:row>18</xdr:row>
                    <xdr:rowOff>205740</xdr:rowOff>
                  </to>
                </anchor>
              </controlPr>
            </control>
          </mc:Choice>
        </mc:AlternateContent>
        <mc:AlternateContent xmlns:mc="http://schemas.openxmlformats.org/markup-compatibility/2006">
          <mc:Choice Requires="x14">
            <control shapeId="5163" r:id="rId45" name="btnPrev_F-016">
              <controlPr defaultSize="0" print="0" autoFill="0" autoPict="0" macro="행별_미리보기">
                <anchor moveWithCells="1" sizeWithCells="1">
                  <from>
                    <xdr:col>6</xdr:col>
                    <xdr:colOff>7620</xdr:colOff>
                    <xdr:row>19</xdr:row>
                    <xdr:rowOff>15240</xdr:rowOff>
                  </from>
                  <to>
                    <xdr:col>6</xdr:col>
                    <xdr:colOff>800100</xdr:colOff>
                    <xdr:row>19</xdr:row>
                    <xdr:rowOff>205740</xdr:rowOff>
                  </to>
                </anchor>
              </controlPr>
            </control>
          </mc:Choice>
        </mc:AlternateContent>
        <mc:AlternateContent xmlns:mc="http://schemas.openxmlformats.org/markup-compatibility/2006">
          <mc:Choice Requires="x14">
            <control shapeId="5164" r:id="rId46" name="btnPdf_F-016">
              <controlPr defaultSize="0" print="0" autoFill="0" autoPict="0" macro="행별_PDF저장">
                <anchor moveWithCells="1" sizeWithCells="1">
                  <from>
                    <xdr:col>7</xdr:col>
                    <xdr:colOff>7620</xdr:colOff>
                    <xdr:row>19</xdr:row>
                    <xdr:rowOff>15240</xdr:rowOff>
                  </from>
                  <to>
                    <xdr:col>7</xdr:col>
                    <xdr:colOff>800100</xdr:colOff>
                    <xdr:row>19</xdr:row>
                    <xdr:rowOff>205740</xdr:rowOff>
                  </to>
                </anchor>
              </controlPr>
            </control>
          </mc:Choice>
        </mc:AlternateContent>
        <mc:AlternateContent xmlns:mc="http://schemas.openxmlformats.org/markup-compatibility/2006">
          <mc:Choice Requires="x14">
            <control shapeId="5165" r:id="rId47" name="btnHwpx_F-016">
              <controlPr defaultSize="0" print="0" autoFill="0" autoPict="0" macro="행별_HWPX작성">
                <anchor moveWithCells="1" sizeWithCells="1">
                  <from>
                    <xdr:col>8</xdr:col>
                    <xdr:colOff>7620</xdr:colOff>
                    <xdr:row>19</xdr:row>
                    <xdr:rowOff>15240</xdr:rowOff>
                  </from>
                  <to>
                    <xdr:col>8</xdr:col>
                    <xdr:colOff>800100</xdr:colOff>
                    <xdr:row>19</xdr:row>
                    <xdr:rowOff>205740</xdr:rowOff>
                  </to>
                </anchor>
              </controlPr>
            </control>
          </mc:Choice>
        </mc:AlternateContent>
        <mc:AlternateContent xmlns:mc="http://schemas.openxmlformats.org/markup-compatibility/2006">
          <mc:Choice Requires="x14">
            <control shapeId="5166" r:id="rId48" name="btnPrev_F-017">
              <controlPr defaultSize="0" print="0" autoFill="0" autoPict="0" macro="행별_미리보기">
                <anchor moveWithCells="1" sizeWithCells="1">
                  <from>
                    <xdr:col>6</xdr:col>
                    <xdr:colOff>7620</xdr:colOff>
                    <xdr:row>20</xdr:row>
                    <xdr:rowOff>15240</xdr:rowOff>
                  </from>
                  <to>
                    <xdr:col>6</xdr:col>
                    <xdr:colOff>800100</xdr:colOff>
                    <xdr:row>20</xdr:row>
                    <xdr:rowOff>205740</xdr:rowOff>
                  </to>
                </anchor>
              </controlPr>
            </control>
          </mc:Choice>
        </mc:AlternateContent>
        <mc:AlternateContent xmlns:mc="http://schemas.openxmlformats.org/markup-compatibility/2006">
          <mc:Choice Requires="x14">
            <control shapeId="5167" r:id="rId49" name="btnPdf_F-017">
              <controlPr defaultSize="0" print="0" autoFill="0" autoPict="0" macro="행별_PDF저장">
                <anchor moveWithCells="1" sizeWithCells="1">
                  <from>
                    <xdr:col>7</xdr:col>
                    <xdr:colOff>7620</xdr:colOff>
                    <xdr:row>20</xdr:row>
                    <xdr:rowOff>15240</xdr:rowOff>
                  </from>
                  <to>
                    <xdr:col>7</xdr:col>
                    <xdr:colOff>800100</xdr:colOff>
                    <xdr:row>20</xdr:row>
                    <xdr:rowOff>205740</xdr:rowOff>
                  </to>
                </anchor>
              </controlPr>
            </control>
          </mc:Choice>
        </mc:AlternateContent>
        <mc:AlternateContent xmlns:mc="http://schemas.openxmlformats.org/markup-compatibility/2006">
          <mc:Choice Requires="x14">
            <control shapeId="5168" r:id="rId50" name="btnHwpx_F-017">
              <controlPr defaultSize="0" print="0" autoFill="0" autoPict="0" macro="행별_HWPX작성">
                <anchor moveWithCells="1" sizeWithCells="1">
                  <from>
                    <xdr:col>8</xdr:col>
                    <xdr:colOff>7620</xdr:colOff>
                    <xdr:row>20</xdr:row>
                    <xdr:rowOff>15240</xdr:rowOff>
                  </from>
                  <to>
                    <xdr:col>8</xdr:col>
                    <xdr:colOff>800100</xdr:colOff>
                    <xdr:row>20</xdr:row>
                    <xdr:rowOff>205740</xdr:rowOff>
                  </to>
                </anchor>
              </controlPr>
            </control>
          </mc:Choice>
        </mc:AlternateContent>
        <mc:AlternateContent xmlns:mc="http://schemas.openxmlformats.org/markup-compatibility/2006">
          <mc:Choice Requires="x14">
            <control shapeId="5169" r:id="rId51" name="btnPrev_F-018">
              <controlPr defaultSize="0" print="0" autoFill="0" autoPict="0" macro="행별_미리보기">
                <anchor moveWithCells="1" sizeWithCells="1">
                  <from>
                    <xdr:col>6</xdr:col>
                    <xdr:colOff>7620</xdr:colOff>
                    <xdr:row>21</xdr:row>
                    <xdr:rowOff>15240</xdr:rowOff>
                  </from>
                  <to>
                    <xdr:col>6</xdr:col>
                    <xdr:colOff>800100</xdr:colOff>
                    <xdr:row>21</xdr:row>
                    <xdr:rowOff>205740</xdr:rowOff>
                  </to>
                </anchor>
              </controlPr>
            </control>
          </mc:Choice>
        </mc:AlternateContent>
        <mc:AlternateContent xmlns:mc="http://schemas.openxmlformats.org/markup-compatibility/2006">
          <mc:Choice Requires="x14">
            <control shapeId="5170" r:id="rId52" name="btnPdf_F-018">
              <controlPr defaultSize="0" print="0" autoFill="0" autoPict="0" macro="행별_PDF저장">
                <anchor moveWithCells="1" sizeWithCells="1">
                  <from>
                    <xdr:col>7</xdr:col>
                    <xdr:colOff>7620</xdr:colOff>
                    <xdr:row>21</xdr:row>
                    <xdr:rowOff>15240</xdr:rowOff>
                  </from>
                  <to>
                    <xdr:col>7</xdr:col>
                    <xdr:colOff>800100</xdr:colOff>
                    <xdr:row>21</xdr:row>
                    <xdr:rowOff>205740</xdr:rowOff>
                  </to>
                </anchor>
              </controlPr>
            </control>
          </mc:Choice>
        </mc:AlternateContent>
        <mc:AlternateContent xmlns:mc="http://schemas.openxmlformats.org/markup-compatibility/2006">
          <mc:Choice Requires="x14">
            <control shapeId="5171" r:id="rId53" name="btnHwpx_F-018">
              <controlPr defaultSize="0" print="0" autoFill="0" autoPict="0" macro="행별_HWPX작성">
                <anchor moveWithCells="1" sizeWithCells="1">
                  <from>
                    <xdr:col>8</xdr:col>
                    <xdr:colOff>7620</xdr:colOff>
                    <xdr:row>21</xdr:row>
                    <xdr:rowOff>15240</xdr:rowOff>
                  </from>
                  <to>
                    <xdr:col>8</xdr:col>
                    <xdr:colOff>800100</xdr:colOff>
                    <xdr:row>21</xdr:row>
                    <xdr:rowOff>205740</xdr:rowOff>
                  </to>
                </anchor>
              </controlPr>
            </control>
          </mc:Choice>
        </mc:AlternateContent>
        <mc:AlternateContent xmlns:mc="http://schemas.openxmlformats.org/markup-compatibility/2006">
          <mc:Choice Requires="x14">
            <control shapeId="5172" r:id="rId54" name="btnPrev_F-019">
              <controlPr defaultSize="0" print="0" autoFill="0" autoPict="0" macro="행별_미리보기">
                <anchor moveWithCells="1" sizeWithCells="1">
                  <from>
                    <xdr:col>6</xdr:col>
                    <xdr:colOff>7620</xdr:colOff>
                    <xdr:row>22</xdr:row>
                    <xdr:rowOff>15240</xdr:rowOff>
                  </from>
                  <to>
                    <xdr:col>6</xdr:col>
                    <xdr:colOff>800100</xdr:colOff>
                    <xdr:row>22</xdr:row>
                    <xdr:rowOff>205740</xdr:rowOff>
                  </to>
                </anchor>
              </controlPr>
            </control>
          </mc:Choice>
        </mc:AlternateContent>
        <mc:AlternateContent xmlns:mc="http://schemas.openxmlformats.org/markup-compatibility/2006">
          <mc:Choice Requires="x14">
            <control shapeId="5173" r:id="rId55" name="btnPdf_F-019">
              <controlPr defaultSize="0" print="0" autoFill="0" autoPict="0" macro="행별_PDF저장">
                <anchor moveWithCells="1" sizeWithCells="1">
                  <from>
                    <xdr:col>7</xdr:col>
                    <xdr:colOff>7620</xdr:colOff>
                    <xdr:row>22</xdr:row>
                    <xdr:rowOff>15240</xdr:rowOff>
                  </from>
                  <to>
                    <xdr:col>7</xdr:col>
                    <xdr:colOff>800100</xdr:colOff>
                    <xdr:row>22</xdr:row>
                    <xdr:rowOff>205740</xdr:rowOff>
                  </to>
                </anchor>
              </controlPr>
            </control>
          </mc:Choice>
        </mc:AlternateContent>
        <mc:AlternateContent xmlns:mc="http://schemas.openxmlformats.org/markup-compatibility/2006">
          <mc:Choice Requires="x14">
            <control shapeId="5174" r:id="rId56" name="btnHwpx_F-019">
              <controlPr defaultSize="0" print="0" autoFill="0" autoPict="0" macro="행별_HWPX작성">
                <anchor moveWithCells="1" sizeWithCells="1">
                  <from>
                    <xdr:col>8</xdr:col>
                    <xdr:colOff>7620</xdr:colOff>
                    <xdr:row>22</xdr:row>
                    <xdr:rowOff>15240</xdr:rowOff>
                  </from>
                  <to>
                    <xdr:col>8</xdr:col>
                    <xdr:colOff>800100</xdr:colOff>
                    <xdr:row>22</xdr:row>
                    <xdr:rowOff>205740</xdr:rowOff>
                  </to>
                </anchor>
              </controlPr>
            </control>
          </mc:Choice>
        </mc:AlternateContent>
        <mc:AlternateContent xmlns:mc="http://schemas.openxmlformats.org/markup-compatibility/2006">
          <mc:Choice Requires="x14">
            <control shapeId="5175" r:id="rId57" name="btnPrev_F-020">
              <controlPr defaultSize="0" print="0" autoFill="0" autoPict="0" macro="행별_미리보기">
                <anchor moveWithCells="1" sizeWithCells="1">
                  <from>
                    <xdr:col>6</xdr:col>
                    <xdr:colOff>7620</xdr:colOff>
                    <xdr:row>23</xdr:row>
                    <xdr:rowOff>15240</xdr:rowOff>
                  </from>
                  <to>
                    <xdr:col>6</xdr:col>
                    <xdr:colOff>800100</xdr:colOff>
                    <xdr:row>23</xdr:row>
                    <xdr:rowOff>205740</xdr:rowOff>
                  </to>
                </anchor>
              </controlPr>
            </control>
          </mc:Choice>
        </mc:AlternateContent>
        <mc:AlternateContent xmlns:mc="http://schemas.openxmlformats.org/markup-compatibility/2006">
          <mc:Choice Requires="x14">
            <control shapeId="5176" r:id="rId58" name="btnPdf_F-020">
              <controlPr defaultSize="0" print="0" autoFill="0" autoPict="0" macro="행별_PDF저장">
                <anchor moveWithCells="1" sizeWithCells="1">
                  <from>
                    <xdr:col>7</xdr:col>
                    <xdr:colOff>7620</xdr:colOff>
                    <xdr:row>23</xdr:row>
                    <xdr:rowOff>15240</xdr:rowOff>
                  </from>
                  <to>
                    <xdr:col>7</xdr:col>
                    <xdr:colOff>800100</xdr:colOff>
                    <xdr:row>23</xdr:row>
                    <xdr:rowOff>205740</xdr:rowOff>
                  </to>
                </anchor>
              </controlPr>
            </control>
          </mc:Choice>
        </mc:AlternateContent>
        <mc:AlternateContent xmlns:mc="http://schemas.openxmlformats.org/markup-compatibility/2006">
          <mc:Choice Requires="x14">
            <control shapeId="5177" r:id="rId59" name="btnHwpx_F-020">
              <controlPr defaultSize="0" print="0" autoFill="0" autoPict="0" macro="행별_HWPX작성">
                <anchor moveWithCells="1" sizeWithCells="1">
                  <from>
                    <xdr:col>8</xdr:col>
                    <xdr:colOff>7620</xdr:colOff>
                    <xdr:row>23</xdr:row>
                    <xdr:rowOff>15240</xdr:rowOff>
                  </from>
                  <to>
                    <xdr:col>8</xdr:col>
                    <xdr:colOff>800100</xdr:colOff>
                    <xdr:row>23</xdr:row>
                    <xdr:rowOff>205740</xdr:rowOff>
                  </to>
                </anchor>
              </controlPr>
            </control>
          </mc:Choice>
        </mc:AlternateContent>
        <mc:AlternateContent xmlns:mc="http://schemas.openxmlformats.org/markup-compatibility/2006">
          <mc:Choice Requires="x14">
            <control shapeId="5178" r:id="rId60" name="btnPrev_F-021">
              <controlPr defaultSize="0" print="0" autoFill="0" autoPict="0" macro="행별_미리보기">
                <anchor moveWithCells="1" sizeWithCells="1">
                  <from>
                    <xdr:col>6</xdr:col>
                    <xdr:colOff>7620</xdr:colOff>
                    <xdr:row>24</xdr:row>
                    <xdr:rowOff>15240</xdr:rowOff>
                  </from>
                  <to>
                    <xdr:col>6</xdr:col>
                    <xdr:colOff>800100</xdr:colOff>
                    <xdr:row>24</xdr:row>
                    <xdr:rowOff>205740</xdr:rowOff>
                  </to>
                </anchor>
              </controlPr>
            </control>
          </mc:Choice>
        </mc:AlternateContent>
        <mc:AlternateContent xmlns:mc="http://schemas.openxmlformats.org/markup-compatibility/2006">
          <mc:Choice Requires="x14">
            <control shapeId="5179" r:id="rId61" name="btnPdf_F-021">
              <controlPr defaultSize="0" print="0" autoFill="0" autoPict="0" macro="행별_PDF저장">
                <anchor moveWithCells="1" sizeWithCells="1">
                  <from>
                    <xdr:col>7</xdr:col>
                    <xdr:colOff>7620</xdr:colOff>
                    <xdr:row>24</xdr:row>
                    <xdr:rowOff>15240</xdr:rowOff>
                  </from>
                  <to>
                    <xdr:col>7</xdr:col>
                    <xdr:colOff>800100</xdr:colOff>
                    <xdr:row>24</xdr:row>
                    <xdr:rowOff>205740</xdr:rowOff>
                  </to>
                </anchor>
              </controlPr>
            </control>
          </mc:Choice>
        </mc:AlternateContent>
        <mc:AlternateContent xmlns:mc="http://schemas.openxmlformats.org/markup-compatibility/2006">
          <mc:Choice Requires="x14">
            <control shapeId="5180" r:id="rId62" name="btnHwpx_F-021">
              <controlPr defaultSize="0" print="0" autoFill="0" autoPict="0" macro="행별_HWPX작성">
                <anchor moveWithCells="1" sizeWithCells="1">
                  <from>
                    <xdr:col>8</xdr:col>
                    <xdr:colOff>7620</xdr:colOff>
                    <xdr:row>24</xdr:row>
                    <xdr:rowOff>15240</xdr:rowOff>
                  </from>
                  <to>
                    <xdr:col>8</xdr:col>
                    <xdr:colOff>800100</xdr:colOff>
                    <xdr:row>24</xdr:row>
                    <xdr:rowOff>205740</xdr:rowOff>
                  </to>
                </anchor>
              </controlPr>
            </control>
          </mc:Choice>
        </mc:AlternateContent>
        <mc:AlternateContent xmlns:mc="http://schemas.openxmlformats.org/markup-compatibility/2006">
          <mc:Choice Requires="x14">
            <control shapeId="5181" r:id="rId63" name="btnPrev_F-022">
              <controlPr defaultSize="0" print="0" autoFill="0" autoPict="0" macro="행별_미리보기">
                <anchor moveWithCells="1" sizeWithCells="1">
                  <from>
                    <xdr:col>6</xdr:col>
                    <xdr:colOff>7620</xdr:colOff>
                    <xdr:row>25</xdr:row>
                    <xdr:rowOff>15240</xdr:rowOff>
                  </from>
                  <to>
                    <xdr:col>6</xdr:col>
                    <xdr:colOff>800100</xdr:colOff>
                    <xdr:row>25</xdr:row>
                    <xdr:rowOff>205740</xdr:rowOff>
                  </to>
                </anchor>
              </controlPr>
            </control>
          </mc:Choice>
        </mc:AlternateContent>
        <mc:AlternateContent xmlns:mc="http://schemas.openxmlformats.org/markup-compatibility/2006">
          <mc:Choice Requires="x14">
            <control shapeId="5182" r:id="rId64" name="btnPdf_F-022">
              <controlPr defaultSize="0" print="0" autoFill="0" autoPict="0" macro="행별_PDF저장">
                <anchor moveWithCells="1" sizeWithCells="1">
                  <from>
                    <xdr:col>7</xdr:col>
                    <xdr:colOff>7620</xdr:colOff>
                    <xdr:row>25</xdr:row>
                    <xdr:rowOff>15240</xdr:rowOff>
                  </from>
                  <to>
                    <xdr:col>7</xdr:col>
                    <xdr:colOff>800100</xdr:colOff>
                    <xdr:row>25</xdr:row>
                    <xdr:rowOff>205740</xdr:rowOff>
                  </to>
                </anchor>
              </controlPr>
            </control>
          </mc:Choice>
        </mc:AlternateContent>
        <mc:AlternateContent xmlns:mc="http://schemas.openxmlformats.org/markup-compatibility/2006">
          <mc:Choice Requires="x14">
            <control shapeId="5183" r:id="rId65" name="btnHwpx_F-022">
              <controlPr defaultSize="0" print="0" autoFill="0" autoPict="0" macro="행별_HWPX작성">
                <anchor moveWithCells="1" sizeWithCells="1">
                  <from>
                    <xdr:col>8</xdr:col>
                    <xdr:colOff>7620</xdr:colOff>
                    <xdr:row>25</xdr:row>
                    <xdr:rowOff>15240</xdr:rowOff>
                  </from>
                  <to>
                    <xdr:col>8</xdr:col>
                    <xdr:colOff>800100</xdr:colOff>
                    <xdr:row>25</xdr:row>
                    <xdr:rowOff>205740</xdr:rowOff>
                  </to>
                </anchor>
              </controlPr>
            </control>
          </mc:Choice>
        </mc:AlternateContent>
        <mc:AlternateContent xmlns:mc="http://schemas.openxmlformats.org/markup-compatibility/2006">
          <mc:Choice Requires="x14">
            <control shapeId="5184" r:id="rId66" name="btnPrev_F-023">
              <controlPr defaultSize="0" print="0" autoFill="0" autoPict="0" macro="행별_미리보기">
                <anchor moveWithCells="1" sizeWithCells="1">
                  <from>
                    <xdr:col>6</xdr:col>
                    <xdr:colOff>7620</xdr:colOff>
                    <xdr:row>26</xdr:row>
                    <xdr:rowOff>15240</xdr:rowOff>
                  </from>
                  <to>
                    <xdr:col>6</xdr:col>
                    <xdr:colOff>800100</xdr:colOff>
                    <xdr:row>26</xdr:row>
                    <xdr:rowOff>205740</xdr:rowOff>
                  </to>
                </anchor>
              </controlPr>
            </control>
          </mc:Choice>
        </mc:AlternateContent>
        <mc:AlternateContent xmlns:mc="http://schemas.openxmlformats.org/markup-compatibility/2006">
          <mc:Choice Requires="x14">
            <control shapeId="5185" r:id="rId67" name="btnPdf_F-023">
              <controlPr defaultSize="0" print="0" autoFill="0" autoPict="0" macro="행별_PDF저장">
                <anchor moveWithCells="1" sizeWithCells="1">
                  <from>
                    <xdr:col>7</xdr:col>
                    <xdr:colOff>7620</xdr:colOff>
                    <xdr:row>26</xdr:row>
                    <xdr:rowOff>15240</xdr:rowOff>
                  </from>
                  <to>
                    <xdr:col>7</xdr:col>
                    <xdr:colOff>800100</xdr:colOff>
                    <xdr:row>26</xdr:row>
                    <xdr:rowOff>205740</xdr:rowOff>
                  </to>
                </anchor>
              </controlPr>
            </control>
          </mc:Choice>
        </mc:AlternateContent>
        <mc:AlternateContent xmlns:mc="http://schemas.openxmlformats.org/markup-compatibility/2006">
          <mc:Choice Requires="x14">
            <control shapeId="5186" r:id="rId68" name="btnHwpx_F-023">
              <controlPr defaultSize="0" print="0" autoFill="0" autoPict="0" macro="행별_HWPX작성">
                <anchor moveWithCells="1" sizeWithCells="1">
                  <from>
                    <xdr:col>8</xdr:col>
                    <xdr:colOff>7620</xdr:colOff>
                    <xdr:row>26</xdr:row>
                    <xdr:rowOff>15240</xdr:rowOff>
                  </from>
                  <to>
                    <xdr:col>8</xdr:col>
                    <xdr:colOff>800100</xdr:colOff>
                    <xdr:row>26</xdr:row>
                    <xdr:rowOff>205740</xdr:rowOff>
                  </to>
                </anchor>
              </controlPr>
            </control>
          </mc:Choice>
        </mc:AlternateContent>
        <mc:AlternateContent xmlns:mc="http://schemas.openxmlformats.org/markup-compatibility/2006">
          <mc:Choice Requires="x14">
            <control shapeId="5187" r:id="rId69" name="btnPrev_F-024">
              <controlPr defaultSize="0" print="0" autoFill="0" autoPict="0" macro="행별_미리보기">
                <anchor moveWithCells="1" sizeWithCells="1">
                  <from>
                    <xdr:col>6</xdr:col>
                    <xdr:colOff>7620</xdr:colOff>
                    <xdr:row>27</xdr:row>
                    <xdr:rowOff>15240</xdr:rowOff>
                  </from>
                  <to>
                    <xdr:col>6</xdr:col>
                    <xdr:colOff>800100</xdr:colOff>
                    <xdr:row>27</xdr:row>
                    <xdr:rowOff>205740</xdr:rowOff>
                  </to>
                </anchor>
              </controlPr>
            </control>
          </mc:Choice>
        </mc:AlternateContent>
        <mc:AlternateContent xmlns:mc="http://schemas.openxmlformats.org/markup-compatibility/2006">
          <mc:Choice Requires="x14">
            <control shapeId="5188" r:id="rId70" name="btnPdf_F-024">
              <controlPr defaultSize="0" print="0" autoFill="0" autoPict="0" macro="행별_PDF저장">
                <anchor moveWithCells="1" sizeWithCells="1">
                  <from>
                    <xdr:col>7</xdr:col>
                    <xdr:colOff>7620</xdr:colOff>
                    <xdr:row>27</xdr:row>
                    <xdr:rowOff>15240</xdr:rowOff>
                  </from>
                  <to>
                    <xdr:col>7</xdr:col>
                    <xdr:colOff>800100</xdr:colOff>
                    <xdr:row>27</xdr:row>
                    <xdr:rowOff>205740</xdr:rowOff>
                  </to>
                </anchor>
              </controlPr>
            </control>
          </mc:Choice>
        </mc:AlternateContent>
        <mc:AlternateContent xmlns:mc="http://schemas.openxmlformats.org/markup-compatibility/2006">
          <mc:Choice Requires="x14">
            <control shapeId="5189" r:id="rId71" name="btnHwpx_F-024">
              <controlPr defaultSize="0" print="0" autoFill="0" autoPict="0" macro="행별_HWPX작성">
                <anchor moveWithCells="1" sizeWithCells="1">
                  <from>
                    <xdr:col>8</xdr:col>
                    <xdr:colOff>7620</xdr:colOff>
                    <xdr:row>27</xdr:row>
                    <xdr:rowOff>15240</xdr:rowOff>
                  </from>
                  <to>
                    <xdr:col>8</xdr:col>
                    <xdr:colOff>800100</xdr:colOff>
                    <xdr:row>27</xdr:row>
                    <xdr:rowOff>205740</xdr:rowOff>
                  </to>
                </anchor>
              </controlPr>
            </control>
          </mc:Choice>
        </mc:AlternateContent>
        <mc:AlternateContent xmlns:mc="http://schemas.openxmlformats.org/markup-compatibility/2006">
          <mc:Choice Requires="x14">
            <control shapeId="5190" r:id="rId72" name="btnPrev_F-025">
              <controlPr defaultSize="0" print="0" autoFill="0" autoPict="0" macro="행별_미리보기">
                <anchor moveWithCells="1" sizeWithCells="1">
                  <from>
                    <xdr:col>6</xdr:col>
                    <xdr:colOff>7620</xdr:colOff>
                    <xdr:row>28</xdr:row>
                    <xdr:rowOff>15240</xdr:rowOff>
                  </from>
                  <to>
                    <xdr:col>6</xdr:col>
                    <xdr:colOff>800100</xdr:colOff>
                    <xdr:row>28</xdr:row>
                    <xdr:rowOff>205740</xdr:rowOff>
                  </to>
                </anchor>
              </controlPr>
            </control>
          </mc:Choice>
        </mc:AlternateContent>
        <mc:AlternateContent xmlns:mc="http://schemas.openxmlformats.org/markup-compatibility/2006">
          <mc:Choice Requires="x14">
            <control shapeId="5191" r:id="rId73" name="btnPdf_F-025">
              <controlPr defaultSize="0" print="0" autoFill="0" autoPict="0" macro="행별_PDF저장">
                <anchor moveWithCells="1" sizeWithCells="1">
                  <from>
                    <xdr:col>7</xdr:col>
                    <xdr:colOff>7620</xdr:colOff>
                    <xdr:row>28</xdr:row>
                    <xdr:rowOff>15240</xdr:rowOff>
                  </from>
                  <to>
                    <xdr:col>7</xdr:col>
                    <xdr:colOff>800100</xdr:colOff>
                    <xdr:row>28</xdr:row>
                    <xdr:rowOff>205740</xdr:rowOff>
                  </to>
                </anchor>
              </controlPr>
            </control>
          </mc:Choice>
        </mc:AlternateContent>
        <mc:AlternateContent xmlns:mc="http://schemas.openxmlformats.org/markup-compatibility/2006">
          <mc:Choice Requires="x14">
            <control shapeId="5192" r:id="rId74" name="btnHwpx_F-025">
              <controlPr defaultSize="0" print="0" autoFill="0" autoPict="0" macro="행별_HWPX작성">
                <anchor moveWithCells="1" sizeWithCells="1">
                  <from>
                    <xdr:col>8</xdr:col>
                    <xdr:colOff>7620</xdr:colOff>
                    <xdr:row>28</xdr:row>
                    <xdr:rowOff>15240</xdr:rowOff>
                  </from>
                  <to>
                    <xdr:col>8</xdr:col>
                    <xdr:colOff>800100</xdr:colOff>
                    <xdr:row>28</xdr:row>
                    <xdr:rowOff>205740</xdr:rowOff>
                  </to>
                </anchor>
              </controlPr>
            </control>
          </mc:Choice>
        </mc:AlternateContent>
        <mc:AlternateContent xmlns:mc="http://schemas.openxmlformats.org/markup-compatibility/2006">
          <mc:Choice Requires="x14">
            <control shapeId="5193" r:id="rId75" name="btnPrev_F-027">
              <controlPr defaultSize="0" print="0" autoFill="0" autoPict="0" macro="행별_미리보기">
                <anchor moveWithCells="1" sizeWithCells="1">
                  <from>
                    <xdr:col>6</xdr:col>
                    <xdr:colOff>7620</xdr:colOff>
                    <xdr:row>30</xdr:row>
                    <xdr:rowOff>15240</xdr:rowOff>
                  </from>
                  <to>
                    <xdr:col>6</xdr:col>
                    <xdr:colOff>800100</xdr:colOff>
                    <xdr:row>30</xdr:row>
                    <xdr:rowOff>205740</xdr:rowOff>
                  </to>
                </anchor>
              </controlPr>
            </control>
          </mc:Choice>
        </mc:AlternateContent>
        <mc:AlternateContent xmlns:mc="http://schemas.openxmlformats.org/markup-compatibility/2006">
          <mc:Choice Requires="x14">
            <control shapeId="5194" r:id="rId76" name="btnPdf_F-027">
              <controlPr defaultSize="0" print="0" autoFill="0" autoPict="0" macro="행별_PDF저장">
                <anchor moveWithCells="1" sizeWithCells="1">
                  <from>
                    <xdr:col>7</xdr:col>
                    <xdr:colOff>7620</xdr:colOff>
                    <xdr:row>30</xdr:row>
                    <xdr:rowOff>15240</xdr:rowOff>
                  </from>
                  <to>
                    <xdr:col>7</xdr:col>
                    <xdr:colOff>800100</xdr:colOff>
                    <xdr:row>30</xdr:row>
                    <xdr:rowOff>205740</xdr:rowOff>
                  </to>
                </anchor>
              </controlPr>
            </control>
          </mc:Choice>
        </mc:AlternateContent>
        <mc:AlternateContent xmlns:mc="http://schemas.openxmlformats.org/markup-compatibility/2006">
          <mc:Choice Requires="x14">
            <control shapeId="5195" r:id="rId77" name="btnHwpx_F-027">
              <controlPr defaultSize="0" print="0" autoFill="0" autoPict="0" macro="행별_HWPX작성">
                <anchor moveWithCells="1" sizeWithCells="1">
                  <from>
                    <xdr:col>8</xdr:col>
                    <xdr:colOff>7620</xdr:colOff>
                    <xdr:row>30</xdr:row>
                    <xdr:rowOff>15240</xdr:rowOff>
                  </from>
                  <to>
                    <xdr:col>8</xdr:col>
                    <xdr:colOff>800100</xdr:colOff>
                    <xdr:row>30</xdr:row>
                    <xdr:rowOff>205740</xdr:rowOff>
                  </to>
                </anchor>
              </controlPr>
            </control>
          </mc:Choice>
        </mc:AlternateContent>
        <mc:AlternateContent xmlns:mc="http://schemas.openxmlformats.org/markup-compatibility/2006">
          <mc:Choice Requires="x14">
            <control shapeId="5196" r:id="rId78" name="btnPrev_F-029">
              <controlPr defaultSize="0" print="0" autoFill="0" autoPict="0" macro="행별_미리보기">
                <anchor moveWithCells="1" sizeWithCells="1">
                  <from>
                    <xdr:col>6</xdr:col>
                    <xdr:colOff>7620</xdr:colOff>
                    <xdr:row>32</xdr:row>
                    <xdr:rowOff>15240</xdr:rowOff>
                  </from>
                  <to>
                    <xdr:col>6</xdr:col>
                    <xdr:colOff>800100</xdr:colOff>
                    <xdr:row>32</xdr:row>
                    <xdr:rowOff>205740</xdr:rowOff>
                  </to>
                </anchor>
              </controlPr>
            </control>
          </mc:Choice>
        </mc:AlternateContent>
        <mc:AlternateContent xmlns:mc="http://schemas.openxmlformats.org/markup-compatibility/2006">
          <mc:Choice Requires="x14">
            <control shapeId="5197" r:id="rId79" name="btnPdf_F-029">
              <controlPr defaultSize="0" print="0" autoFill="0" autoPict="0" macro="행별_PDF저장">
                <anchor moveWithCells="1" sizeWithCells="1">
                  <from>
                    <xdr:col>7</xdr:col>
                    <xdr:colOff>7620</xdr:colOff>
                    <xdr:row>32</xdr:row>
                    <xdr:rowOff>15240</xdr:rowOff>
                  </from>
                  <to>
                    <xdr:col>7</xdr:col>
                    <xdr:colOff>800100</xdr:colOff>
                    <xdr:row>32</xdr:row>
                    <xdr:rowOff>205740</xdr:rowOff>
                  </to>
                </anchor>
              </controlPr>
            </control>
          </mc:Choice>
        </mc:AlternateContent>
        <mc:AlternateContent xmlns:mc="http://schemas.openxmlformats.org/markup-compatibility/2006">
          <mc:Choice Requires="x14">
            <control shapeId="5198" r:id="rId80" name="btnHwpx_F-029">
              <controlPr defaultSize="0" print="0" autoFill="0" autoPict="0" macro="행별_HWPX작성">
                <anchor moveWithCells="1" sizeWithCells="1">
                  <from>
                    <xdr:col>8</xdr:col>
                    <xdr:colOff>7620</xdr:colOff>
                    <xdr:row>32</xdr:row>
                    <xdr:rowOff>15240</xdr:rowOff>
                  </from>
                  <to>
                    <xdr:col>8</xdr:col>
                    <xdr:colOff>800100</xdr:colOff>
                    <xdr:row>32</xdr:row>
                    <xdr:rowOff>205740</xdr:rowOff>
                  </to>
                </anchor>
              </controlPr>
            </control>
          </mc:Choice>
        </mc:AlternateContent>
        <mc:AlternateContent xmlns:mc="http://schemas.openxmlformats.org/markup-compatibility/2006">
          <mc:Choice Requires="x14">
            <control shapeId="5199" r:id="rId81" name="btnPrev_F-030">
              <controlPr defaultSize="0" print="0" autoFill="0" autoPict="0" macro="행별_미리보기">
                <anchor moveWithCells="1" sizeWithCells="1">
                  <from>
                    <xdr:col>6</xdr:col>
                    <xdr:colOff>7620</xdr:colOff>
                    <xdr:row>33</xdr:row>
                    <xdr:rowOff>15240</xdr:rowOff>
                  </from>
                  <to>
                    <xdr:col>6</xdr:col>
                    <xdr:colOff>800100</xdr:colOff>
                    <xdr:row>33</xdr:row>
                    <xdr:rowOff>205740</xdr:rowOff>
                  </to>
                </anchor>
              </controlPr>
            </control>
          </mc:Choice>
        </mc:AlternateContent>
        <mc:AlternateContent xmlns:mc="http://schemas.openxmlformats.org/markup-compatibility/2006">
          <mc:Choice Requires="x14">
            <control shapeId="5200" r:id="rId82" name="btnPdf_F-030">
              <controlPr defaultSize="0" print="0" autoFill="0" autoPict="0" macro="행별_PDF저장">
                <anchor moveWithCells="1" sizeWithCells="1">
                  <from>
                    <xdr:col>7</xdr:col>
                    <xdr:colOff>7620</xdr:colOff>
                    <xdr:row>33</xdr:row>
                    <xdr:rowOff>15240</xdr:rowOff>
                  </from>
                  <to>
                    <xdr:col>7</xdr:col>
                    <xdr:colOff>800100</xdr:colOff>
                    <xdr:row>33</xdr:row>
                    <xdr:rowOff>205740</xdr:rowOff>
                  </to>
                </anchor>
              </controlPr>
            </control>
          </mc:Choice>
        </mc:AlternateContent>
        <mc:AlternateContent xmlns:mc="http://schemas.openxmlformats.org/markup-compatibility/2006">
          <mc:Choice Requires="x14">
            <control shapeId="5201" r:id="rId83" name="btnHwpx_F-030">
              <controlPr defaultSize="0" print="0" autoFill="0" autoPict="0" macro="행별_HWPX작성">
                <anchor moveWithCells="1" sizeWithCells="1">
                  <from>
                    <xdr:col>8</xdr:col>
                    <xdr:colOff>7620</xdr:colOff>
                    <xdr:row>33</xdr:row>
                    <xdr:rowOff>15240</xdr:rowOff>
                  </from>
                  <to>
                    <xdr:col>8</xdr:col>
                    <xdr:colOff>800100</xdr:colOff>
                    <xdr:row>33</xdr:row>
                    <xdr:rowOff>205740</xdr:rowOff>
                  </to>
                </anchor>
              </controlPr>
            </control>
          </mc:Choice>
        </mc:AlternateContent>
        <mc:AlternateContent xmlns:mc="http://schemas.openxmlformats.org/markup-compatibility/2006">
          <mc:Choice Requires="x14">
            <control shapeId="5202" r:id="rId84" name="btnPrev_F-031">
              <controlPr defaultSize="0" print="0" autoFill="0" autoPict="0" macro="행별_미리보기">
                <anchor moveWithCells="1" sizeWithCells="1">
                  <from>
                    <xdr:col>6</xdr:col>
                    <xdr:colOff>7620</xdr:colOff>
                    <xdr:row>34</xdr:row>
                    <xdr:rowOff>15240</xdr:rowOff>
                  </from>
                  <to>
                    <xdr:col>6</xdr:col>
                    <xdr:colOff>800100</xdr:colOff>
                    <xdr:row>34</xdr:row>
                    <xdr:rowOff>205740</xdr:rowOff>
                  </to>
                </anchor>
              </controlPr>
            </control>
          </mc:Choice>
        </mc:AlternateContent>
        <mc:AlternateContent xmlns:mc="http://schemas.openxmlformats.org/markup-compatibility/2006">
          <mc:Choice Requires="x14">
            <control shapeId="5203" r:id="rId85" name="btnPdf_F-031">
              <controlPr defaultSize="0" print="0" autoFill="0" autoPict="0" macro="행별_PDF저장">
                <anchor moveWithCells="1" sizeWithCells="1">
                  <from>
                    <xdr:col>7</xdr:col>
                    <xdr:colOff>7620</xdr:colOff>
                    <xdr:row>34</xdr:row>
                    <xdr:rowOff>15240</xdr:rowOff>
                  </from>
                  <to>
                    <xdr:col>7</xdr:col>
                    <xdr:colOff>800100</xdr:colOff>
                    <xdr:row>34</xdr:row>
                    <xdr:rowOff>205740</xdr:rowOff>
                  </to>
                </anchor>
              </controlPr>
            </control>
          </mc:Choice>
        </mc:AlternateContent>
        <mc:AlternateContent xmlns:mc="http://schemas.openxmlformats.org/markup-compatibility/2006">
          <mc:Choice Requires="x14">
            <control shapeId="5204" r:id="rId86" name="btnHwpx_F-031">
              <controlPr defaultSize="0" print="0" autoFill="0" autoPict="0" macro="행별_HWPX작성">
                <anchor moveWithCells="1" sizeWithCells="1">
                  <from>
                    <xdr:col>8</xdr:col>
                    <xdr:colOff>7620</xdr:colOff>
                    <xdr:row>34</xdr:row>
                    <xdr:rowOff>15240</xdr:rowOff>
                  </from>
                  <to>
                    <xdr:col>8</xdr:col>
                    <xdr:colOff>800100</xdr:colOff>
                    <xdr:row>34</xdr:row>
                    <xdr:rowOff>205740</xdr:rowOff>
                  </to>
                </anchor>
              </controlPr>
            </control>
          </mc:Choice>
        </mc:AlternateContent>
        <mc:AlternateContent xmlns:mc="http://schemas.openxmlformats.org/markup-compatibility/2006">
          <mc:Choice Requires="x14">
            <control shapeId="5205" r:id="rId87" name="btnPrev_F-032">
              <controlPr defaultSize="0" print="0" autoFill="0" autoPict="0" macro="행별_미리보기">
                <anchor moveWithCells="1" sizeWithCells="1">
                  <from>
                    <xdr:col>6</xdr:col>
                    <xdr:colOff>7620</xdr:colOff>
                    <xdr:row>35</xdr:row>
                    <xdr:rowOff>15240</xdr:rowOff>
                  </from>
                  <to>
                    <xdr:col>6</xdr:col>
                    <xdr:colOff>800100</xdr:colOff>
                    <xdr:row>35</xdr:row>
                    <xdr:rowOff>205740</xdr:rowOff>
                  </to>
                </anchor>
              </controlPr>
            </control>
          </mc:Choice>
        </mc:AlternateContent>
        <mc:AlternateContent xmlns:mc="http://schemas.openxmlformats.org/markup-compatibility/2006">
          <mc:Choice Requires="x14">
            <control shapeId="5206" r:id="rId88" name="btnPdf_F-032">
              <controlPr defaultSize="0" print="0" autoFill="0" autoPict="0" macro="행별_PDF저장">
                <anchor moveWithCells="1" sizeWithCells="1">
                  <from>
                    <xdr:col>7</xdr:col>
                    <xdr:colOff>7620</xdr:colOff>
                    <xdr:row>35</xdr:row>
                    <xdr:rowOff>15240</xdr:rowOff>
                  </from>
                  <to>
                    <xdr:col>7</xdr:col>
                    <xdr:colOff>800100</xdr:colOff>
                    <xdr:row>35</xdr:row>
                    <xdr:rowOff>205740</xdr:rowOff>
                  </to>
                </anchor>
              </controlPr>
            </control>
          </mc:Choice>
        </mc:AlternateContent>
        <mc:AlternateContent xmlns:mc="http://schemas.openxmlformats.org/markup-compatibility/2006">
          <mc:Choice Requires="x14">
            <control shapeId="5207" r:id="rId89" name="btnHwpx_F-032">
              <controlPr defaultSize="0" print="0" autoFill="0" autoPict="0" macro="행별_HWPX작성">
                <anchor moveWithCells="1" sizeWithCells="1">
                  <from>
                    <xdr:col>8</xdr:col>
                    <xdr:colOff>7620</xdr:colOff>
                    <xdr:row>35</xdr:row>
                    <xdr:rowOff>15240</xdr:rowOff>
                  </from>
                  <to>
                    <xdr:col>8</xdr:col>
                    <xdr:colOff>800100</xdr:colOff>
                    <xdr:row>35</xdr:row>
                    <xdr:rowOff>205740</xdr:rowOff>
                  </to>
                </anchor>
              </controlPr>
            </control>
          </mc:Choice>
        </mc:AlternateContent>
        <mc:AlternateContent xmlns:mc="http://schemas.openxmlformats.org/markup-compatibility/2006">
          <mc:Choice Requires="x14">
            <control shapeId="5208" r:id="rId90" name="btnPrev_F-033">
              <controlPr defaultSize="0" print="0" autoFill="0" autoPict="0" macro="행별_미리보기">
                <anchor moveWithCells="1" sizeWithCells="1">
                  <from>
                    <xdr:col>6</xdr:col>
                    <xdr:colOff>7620</xdr:colOff>
                    <xdr:row>36</xdr:row>
                    <xdr:rowOff>15240</xdr:rowOff>
                  </from>
                  <to>
                    <xdr:col>6</xdr:col>
                    <xdr:colOff>800100</xdr:colOff>
                    <xdr:row>36</xdr:row>
                    <xdr:rowOff>205740</xdr:rowOff>
                  </to>
                </anchor>
              </controlPr>
            </control>
          </mc:Choice>
        </mc:AlternateContent>
        <mc:AlternateContent xmlns:mc="http://schemas.openxmlformats.org/markup-compatibility/2006">
          <mc:Choice Requires="x14">
            <control shapeId="5209" r:id="rId91" name="btnPdf_F-033">
              <controlPr defaultSize="0" print="0" autoFill="0" autoPict="0" macro="행별_PDF저장">
                <anchor moveWithCells="1" sizeWithCells="1">
                  <from>
                    <xdr:col>7</xdr:col>
                    <xdr:colOff>7620</xdr:colOff>
                    <xdr:row>36</xdr:row>
                    <xdr:rowOff>15240</xdr:rowOff>
                  </from>
                  <to>
                    <xdr:col>7</xdr:col>
                    <xdr:colOff>800100</xdr:colOff>
                    <xdr:row>36</xdr:row>
                    <xdr:rowOff>205740</xdr:rowOff>
                  </to>
                </anchor>
              </controlPr>
            </control>
          </mc:Choice>
        </mc:AlternateContent>
        <mc:AlternateContent xmlns:mc="http://schemas.openxmlformats.org/markup-compatibility/2006">
          <mc:Choice Requires="x14">
            <control shapeId="5210" r:id="rId92" name="btnHwpx_F-033">
              <controlPr defaultSize="0" print="0" autoFill="0" autoPict="0" macro="행별_HWPX작성">
                <anchor moveWithCells="1" sizeWithCells="1">
                  <from>
                    <xdr:col>8</xdr:col>
                    <xdr:colOff>7620</xdr:colOff>
                    <xdr:row>36</xdr:row>
                    <xdr:rowOff>15240</xdr:rowOff>
                  </from>
                  <to>
                    <xdr:col>8</xdr:col>
                    <xdr:colOff>800100</xdr:colOff>
                    <xdr:row>36</xdr:row>
                    <xdr:rowOff>205740</xdr:rowOff>
                  </to>
                </anchor>
              </controlPr>
            </control>
          </mc:Choice>
        </mc:AlternateContent>
        <mc:AlternateContent xmlns:mc="http://schemas.openxmlformats.org/markup-compatibility/2006">
          <mc:Choice Requires="x14">
            <control shapeId="5211" r:id="rId93" name="btnPrev_F-034">
              <controlPr defaultSize="0" print="0" autoFill="0" autoPict="0" macro="행별_미리보기">
                <anchor moveWithCells="1" sizeWithCells="1">
                  <from>
                    <xdr:col>6</xdr:col>
                    <xdr:colOff>7620</xdr:colOff>
                    <xdr:row>37</xdr:row>
                    <xdr:rowOff>15240</xdr:rowOff>
                  </from>
                  <to>
                    <xdr:col>6</xdr:col>
                    <xdr:colOff>800100</xdr:colOff>
                    <xdr:row>37</xdr:row>
                    <xdr:rowOff>205740</xdr:rowOff>
                  </to>
                </anchor>
              </controlPr>
            </control>
          </mc:Choice>
        </mc:AlternateContent>
        <mc:AlternateContent xmlns:mc="http://schemas.openxmlformats.org/markup-compatibility/2006">
          <mc:Choice Requires="x14">
            <control shapeId="5212" r:id="rId94" name="btnPdf_F-034">
              <controlPr defaultSize="0" print="0" autoFill="0" autoPict="0" macro="행별_PDF저장">
                <anchor moveWithCells="1" sizeWithCells="1">
                  <from>
                    <xdr:col>7</xdr:col>
                    <xdr:colOff>7620</xdr:colOff>
                    <xdr:row>37</xdr:row>
                    <xdr:rowOff>15240</xdr:rowOff>
                  </from>
                  <to>
                    <xdr:col>7</xdr:col>
                    <xdr:colOff>800100</xdr:colOff>
                    <xdr:row>37</xdr:row>
                    <xdr:rowOff>205740</xdr:rowOff>
                  </to>
                </anchor>
              </controlPr>
            </control>
          </mc:Choice>
        </mc:AlternateContent>
        <mc:AlternateContent xmlns:mc="http://schemas.openxmlformats.org/markup-compatibility/2006">
          <mc:Choice Requires="x14">
            <control shapeId="5213" r:id="rId95" name="btnHwpx_F-034">
              <controlPr defaultSize="0" print="0" autoFill="0" autoPict="0" macro="행별_HWPX작성">
                <anchor moveWithCells="1" sizeWithCells="1">
                  <from>
                    <xdr:col>8</xdr:col>
                    <xdr:colOff>7620</xdr:colOff>
                    <xdr:row>37</xdr:row>
                    <xdr:rowOff>15240</xdr:rowOff>
                  </from>
                  <to>
                    <xdr:col>8</xdr:col>
                    <xdr:colOff>800100</xdr:colOff>
                    <xdr:row>37</xdr:row>
                    <xdr:rowOff>205740</xdr:rowOff>
                  </to>
                </anchor>
              </controlPr>
            </control>
          </mc:Choice>
        </mc:AlternateContent>
        <mc:AlternateContent xmlns:mc="http://schemas.openxmlformats.org/markup-compatibility/2006">
          <mc:Choice Requires="x14">
            <control shapeId="5214" r:id="rId96" name="btnPrev_F-035">
              <controlPr defaultSize="0" print="0" autoFill="0" autoPict="0" macro="행별_미리보기">
                <anchor moveWithCells="1" sizeWithCells="1">
                  <from>
                    <xdr:col>6</xdr:col>
                    <xdr:colOff>7620</xdr:colOff>
                    <xdr:row>38</xdr:row>
                    <xdr:rowOff>15240</xdr:rowOff>
                  </from>
                  <to>
                    <xdr:col>6</xdr:col>
                    <xdr:colOff>800100</xdr:colOff>
                    <xdr:row>38</xdr:row>
                    <xdr:rowOff>205740</xdr:rowOff>
                  </to>
                </anchor>
              </controlPr>
            </control>
          </mc:Choice>
        </mc:AlternateContent>
        <mc:AlternateContent xmlns:mc="http://schemas.openxmlformats.org/markup-compatibility/2006">
          <mc:Choice Requires="x14">
            <control shapeId="5215" r:id="rId97" name="btnPdf_F-035">
              <controlPr defaultSize="0" print="0" autoFill="0" autoPict="0" macro="행별_PDF저장">
                <anchor moveWithCells="1" sizeWithCells="1">
                  <from>
                    <xdr:col>7</xdr:col>
                    <xdr:colOff>7620</xdr:colOff>
                    <xdr:row>38</xdr:row>
                    <xdr:rowOff>15240</xdr:rowOff>
                  </from>
                  <to>
                    <xdr:col>7</xdr:col>
                    <xdr:colOff>800100</xdr:colOff>
                    <xdr:row>38</xdr:row>
                    <xdr:rowOff>205740</xdr:rowOff>
                  </to>
                </anchor>
              </controlPr>
            </control>
          </mc:Choice>
        </mc:AlternateContent>
        <mc:AlternateContent xmlns:mc="http://schemas.openxmlformats.org/markup-compatibility/2006">
          <mc:Choice Requires="x14">
            <control shapeId="5216" r:id="rId98" name="btnHwpx_F-035">
              <controlPr defaultSize="0" print="0" autoFill="0" autoPict="0" macro="행별_HWPX작성">
                <anchor moveWithCells="1" sizeWithCells="1">
                  <from>
                    <xdr:col>8</xdr:col>
                    <xdr:colOff>7620</xdr:colOff>
                    <xdr:row>38</xdr:row>
                    <xdr:rowOff>15240</xdr:rowOff>
                  </from>
                  <to>
                    <xdr:col>8</xdr:col>
                    <xdr:colOff>800100</xdr:colOff>
                    <xdr:row>38</xdr:row>
                    <xdr:rowOff>205740</xdr:rowOff>
                  </to>
                </anchor>
              </controlPr>
            </control>
          </mc:Choice>
        </mc:AlternateContent>
        <mc:AlternateContent xmlns:mc="http://schemas.openxmlformats.org/markup-compatibility/2006">
          <mc:Choice Requires="x14">
            <control shapeId="5217" r:id="rId99" name="btnPrev_F-036">
              <controlPr defaultSize="0" print="0" autoFill="0" autoPict="0" macro="행별_미리보기">
                <anchor moveWithCells="1" sizeWithCells="1">
                  <from>
                    <xdr:col>6</xdr:col>
                    <xdr:colOff>7620</xdr:colOff>
                    <xdr:row>39</xdr:row>
                    <xdr:rowOff>15240</xdr:rowOff>
                  </from>
                  <to>
                    <xdr:col>6</xdr:col>
                    <xdr:colOff>800100</xdr:colOff>
                    <xdr:row>39</xdr:row>
                    <xdr:rowOff>205740</xdr:rowOff>
                  </to>
                </anchor>
              </controlPr>
            </control>
          </mc:Choice>
        </mc:AlternateContent>
        <mc:AlternateContent xmlns:mc="http://schemas.openxmlformats.org/markup-compatibility/2006">
          <mc:Choice Requires="x14">
            <control shapeId="5218" r:id="rId100" name="btnPdf_F-036">
              <controlPr defaultSize="0" print="0" autoFill="0" autoPict="0" macro="행별_PDF저장">
                <anchor moveWithCells="1" sizeWithCells="1">
                  <from>
                    <xdr:col>7</xdr:col>
                    <xdr:colOff>7620</xdr:colOff>
                    <xdr:row>39</xdr:row>
                    <xdr:rowOff>15240</xdr:rowOff>
                  </from>
                  <to>
                    <xdr:col>7</xdr:col>
                    <xdr:colOff>800100</xdr:colOff>
                    <xdr:row>39</xdr:row>
                    <xdr:rowOff>205740</xdr:rowOff>
                  </to>
                </anchor>
              </controlPr>
            </control>
          </mc:Choice>
        </mc:AlternateContent>
        <mc:AlternateContent xmlns:mc="http://schemas.openxmlformats.org/markup-compatibility/2006">
          <mc:Choice Requires="x14">
            <control shapeId="5219" r:id="rId101" name="btnHwpx_F-036">
              <controlPr defaultSize="0" print="0" autoFill="0" autoPict="0" macro="행별_HWPX작성">
                <anchor moveWithCells="1" sizeWithCells="1">
                  <from>
                    <xdr:col>8</xdr:col>
                    <xdr:colOff>7620</xdr:colOff>
                    <xdr:row>39</xdr:row>
                    <xdr:rowOff>15240</xdr:rowOff>
                  </from>
                  <to>
                    <xdr:col>8</xdr:col>
                    <xdr:colOff>800100</xdr:colOff>
                    <xdr:row>39</xdr:row>
                    <xdr:rowOff>205740</xdr:rowOff>
                  </to>
                </anchor>
              </controlPr>
            </control>
          </mc:Choice>
        </mc:AlternateContent>
        <mc:AlternateContent xmlns:mc="http://schemas.openxmlformats.org/markup-compatibility/2006">
          <mc:Choice Requires="x14">
            <control shapeId="5220" r:id="rId102" name="btnPrev_F-037">
              <controlPr defaultSize="0" print="0" autoFill="0" autoPict="0" macro="행별_미리보기">
                <anchor moveWithCells="1" sizeWithCells="1">
                  <from>
                    <xdr:col>6</xdr:col>
                    <xdr:colOff>7620</xdr:colOff>
                    <xdr:row>40</xdr:row>
                    <xdr:rowOff>15240</xdr:rowOff>
                  </from>
                  <to>
                    <xdr:col>6</xdr:col>
                    <xdr:colOff>800100</xdr:colOff>
                    <xdr:row>40</xdr:row>
                    <xdr:rowOff>205740</xdr:rowOff>
                  </to>
                </anchor>
              </controlPr>
            </control>
          </mc:Choice>
        </mc:AlternateContent>
        <mc:AlternateContent xmlns:mc="http://schemas.openxmlformats.org/markup-compatibility/2006">
          <mc:Choice Requires="x14">
            <control shapeId="5221" r:id="rId103" name="btnPdf_F-037">
              <controlPr defaultSize="0" print="0" autoFill="0" autoPict="0" macro="행별_PDF저장">
                <anchor moveWithCells="1" sizeWithCells="1">
                  <from>
                    <xdr:col>7</xdr:col>
                    <xdr:colOff>7620</xdr:colOff>
                    <xdr:row>40</xdr:row>
                    <xdr:rowOff>15240</xdr:rowOff>
                  </from>
                  <to>
                    <xdr:col>7</xdr:col>
                    <xdr:colOff>800100</xdr:colOff>
                    <xdr:row>40</xdr:row>
                    <xdr:rowOff>205740</xdr:rowOff>
                  </to>
                </anchor>
              </controlPr>
            </control>
          </mc:Choice>
        </mc:AlternateContent>
        <mc:AlternateContent xmlns:mc="http://schemas.openxmlformats.org/markup-compatibility/2006">
          <mc:Choice Requires="x14">
            <control shapeId="5222" r:id="rId104" name="btnHwpx_F-037">
              <controlPr defaultSize="0" print="0" autoFill="0" autoPict="0" macro="행별_HWPX작성">
                <anchor moveWithCells="1" sizeWithCells="1">
                  <from>
                    <xdr:col>8</xdr:col>
                    <xdr:colOff>7620</xdr:colOff>
                    <xdr:row>40</xdr:row>
                    <xdr:rowOff>15240</xdr:rowOff>
                  </from>
                  <to>
                    <xdr:col>8</xdr:col>
                    <xdr:colOff>800100</xdr:colOff>
                    <xdr:row>40</xdr:row>
                    <xdr:rowOff>205740</xdr:rowOff>
                  </to>
                </anchor>
              </controlPr>
            </control>
          </mc:Choice>
        </mc:AlternateContent>
        <mc:AlternateContent xmlns:mc="http://schemas.openxmlformats.org/markup-compatibility/2006">
          <mc:Choice Requires="x14">
            <control shapeId="5223" r:id="rId105" name="btnPrev_F-038">
              <controlPr defaultSize="0" print="0" autoFill="0" autoPict="0" macro="행별_미리보기">
                <anchor moveWithCells="1" sizeWithCells="1">
                  <from>
                    <xdr:col>6</xdr:col>
                    <xdr:colOff>7620</xdr:colOff>
                    <xdr:row>41</xdr:row>
                    <xdr:rowOff>15240</xdr:rowOff>
                  </from>
                  <to>
                    <xdr:col>6</xdr:col>
                    <xdr:colOff>800100</xdr:colOff>
                    <xdr:row>41</xdr:row>
                    <xdr:rowOff>205740</xdr:rowOff>
                  </to>
                </anchor>
              </controlPr>
            </control>
          </mc:Choice>
        </mc:AlternateContent>
        <mc:AlternateContent xmlns:mc="http://schemas.openxmlformats.org/markup-compatibility/2006">
          <mc:Choice Requires="x14">
            <control shapeId="5224" r:id="rId106" name="btnPdf_F-038">
              <controlPr defaultSize="0" print="0" autoFill="0" autoPict="0" macro="행별_PDF저장">
                <anchor moveWithCells="1" sizeWithCells="1">
                  <from>
                    <xdr:col>7</xdr:col>
                    <xdr:colOff>7620</xdr:colOff>
                    <xdr:row>41</xdr:row>
                    <xdr:rowOff>15240</xdr:rowOff>
                  </from>
                  <to>
                    <xdr:col>7</xdr:col>
                    <xdr:colOff>800100</xdr:colOff>
                    <xdr:row>41</xdr:row>
                    <xdr:rowOff>205740</xdr:rowOff>
                  </to>
                </anchor>
              </controlPr>
            </control>
          </mc:Choice>
        </mc:AlternateContent>
        <mc:AlternateContent xmlns:mc="http://schemas.openxmlformats.org/markup-compatibility/2006">
          <mc:Choice Requires="x14">
            <control shapeId="5225" r:id="rId107" name="btnHwpx_F-038">
              <controlPr defaultSize="0" print="0" autoFill="0" autoPict="0" macro="행별_HWPX작성">
                <anchor moveWithCells="1" sizeWithCells="1">
                  <from>
                    <xdr:col>8</xdr:col>
                    <xdr:colOff>7620</xdr:colOff>
                    <xdr:row>41</xdr:row>
                    <xdr:rowOff>15240</xdr:rowOff>
                  </from>
                  <to>
                    <xdr:col>8</xdr:col>
                    <xdr:colOff>800100</xdr:colOff>
                    <xdr:row>41</xdr:row>
                    <xdr:rowOff>205740</xdr:rowOff>
                  </to>
                </anchor>
              </controlPr>
            </control>
          </mc:Choice>
        </mc:AlternateContent>
        <mc:AlternateContent xmlns:mc="http://schemas.openxmlformats.org/markup-compatibility/2006">
          <mc:Choice Requires="x14">
            <control shapeId="5226" r:id="rId108" name="btnPrev_F-039">
              <controlPr defaultSize="0" print="0" autoFill="0" autoPict="0" macro="행별_미리보기">
                <anchor moveWithCells="1" sizeWithCells="1">
                  <from>
                    <xdr:col>6</xdr:col>
                    <xdr:colOff>7620</xdr:colOff>
                    <xdr:row>42</xdr:row>
                    <xdr:rowOff>15240</xdr:rowOff>
                  </from>
                  <to>
                    <xdr:col>6</xdr:col>
                    <xdr:colOff>800100</xdr:colOff>
                    <xdr:row>42</xdr:row>
                    <xdr:rowOff>205740</xdr:rowOff>
                  </to>
                </anchor>
              </controlPr>
            </control>
          </mc:Choice>
        </mc:AlternateContent>
        <mc:AlternateContent xmlns:mc="http://schemas.openxmlformats.org/markup-compatibility/2006">
          <mc:Choice Requires="x14">
            <control shapeId="5227" r:id="rId109" name="btnPdf_F-039">
              <controlPr defaultSize="0" print="0" autoFill="0" autoPict="0" macro="행별_PDF저장">
                <anchor moveWithCells="1" sizeWithCells="1">
                  <from>
                    <xdr:col>7</xdr:col>
                    <xdr:colOff>7620</xdr:colOff>
                    <xdr:row>42</xdr:row>
                    <xdr:rowOff>15240</xdr:rowOff>
                  </from>
                  <to>
                    <xdr:col>7</xdr:col>
                    <xdr:colOff>800100</xdr:colOff>
                    <xdr:row>42</xdr:row>
                    <xdr:rowOff>205740</xdr:rowOff>
                  </to>
                </anchor>
              </controlPr>
            </control>
          </mc:Choice>
        </mc:AlternateContent>
        <mc:AlternateContent xmlns:mc="http://schemas.openxmlformats.org/markup-compatibility/2006">
          <mc:Choice Requires="x14">
            <control shapeId="5228" r:id="rId110" name="btnHwpx_F-039">
              <controlPr defaultSize="0" print="0" autoFill="0" autoPict="0" macro="행별_HWPX작성">
                <anchor moveWithCells="1" sizeWithCells="1">
                  <from>
                    <xdr:col>8</xdr:col>
                    <xdr:colOff>7620</xdr:colOff>
                    <xdr:row>42</xdr:row>
                    <xdr:rowOff>15240</xdr:rowOff>
                  </from>
                  <to>
                    <xdr:col>8</xdr:col>
                    <xdr:colOff>800100</xdr:colOff>
                    <xdr:row>42</xdr:row>
                    <xdr:rowOff>205740</xdr:rowOff>
                  </to>
                </anchor>
              </controlPr>
            </control>
          </mc:Choice>
        </mc:AlternateContent>
        <mc:AlternateContent xmlns:mc="http://schemas.openxmlformats.org/markup-compatibility/2006">
          <mc:Choice Requires="x14">
            <control shapeId="5229" r:id="rId111" name="btnPrev_F-040">
              <controlPr defaultSize="0" print="0" autoFill="0" autoPict="0" macro="행별_미리보기">
                <anchor moveWithCells="1" sizeWithCells="1">
                  <from>
                    <xdr:col>6</xdr:col>
                    <xdr:colOff>7620</xdr:colOff>
                    <xdr:row>43</xdr:row>
                    <xdr:rowOff>15240</xdr:rowOff>
                  </from>
                  <to>
                    <xdr:col>6</xdr:col>
                    <xdr:colOff>800100</xdr:colOff>
                    <xdr:row>43</xdr:row>
                    <xdr:rowOff>205740</xdr:rowOff>
                  </to>
                </anchor>
              </controlPr>
            </control>
          </mc:Choice>
        </mc:AlternateContent>
        <mc:AlternateContent xmlns:mc="http://schemas.openxmlformats.org/markup-compatibility/2006">
          <mc:Choice Requires="x14">
            <control shapeId="5230" r:id="rId112" name="btnPdf_F-040">
              <controlPr defaultSize="0" print="0" autoFill="0" autoPict="0" macro="행별_PDF저장">
                <anchor moveWithCells="1" sizeWithCells="1">
                  <from>
                    <xdr:col>7</xdr:col>
                    <xdr:colOff>7620</xdr:colOff>
                    <xdr:row>43</xdr:row>
                    <xdr:rowOff>15240</xdr:rowOff>
                  </from>
                  <to>
                    <xdr:col>7</xdr:col>
                    <xdr:colOff>800100</xdr:colOff>
                    <xdr:row>43</xdr:row>
                    <xdr:rowOff>205740</xdr:rowOff>
                  </to>
                </anchor>
              </controlPr>
            </control>
          </mc:Choice>
        </mc:AlternateContent>
        <mc:AlternateContent xmlns:mc="http://schemas.openxmlformats.org/markup-compatibility/2006">
          <mc:Choice Requires="x14">
            <control shapeId="5231" r:id="rId113" name="btnHwpx_F-040">
              <controlPr defaultSize="0" print="0" autoFill="0" autoPict="0" macro="행별_HWPX작성">
                <anchor moveWithCells="1" sizeWithCells="1">
                  <from>
                    <xdr:col>8</xdr:col>
                    <xdr:colOff>7620</xdr:colOff>
                    <xdr:row>43</xdr:row>
                    <xdr:rowOff>15240</xdr:rowOff>
                  </from>
                  <to>
                    <xdr:col>8</xdr:col>
                    <xdr:colOff>800100</xdr:colOff>
                    <xdr:row>43</xdr:row>
                    <xdr:rowOff>205740</xdr:rowOff>
                  </to>
                </anchor>
              </controlPr>
            </control>
          </mc:Choice>
        </mc:AlternateContent>
        <mc:AlternateContent xmlns:mc="http://schemas.openxmlformats.org/markup-compatibility/2006">
          <mc:Choice Requires="x14">
            <control shapeId="5232" r:id="rId114" name="btnPrev_F-041">
              <controlPr defaultSize="0" print="0" autoFill="0" autoPict="0" macro="행별_미리보기">
                <anchor moveWithCells="1" sizeWithCells="1">
                  <from>
                    <xdr:col>6</xdr:col>
                    <xdr:colOff>7620</xdr:colOff>
                    <xdr:row>44</xdr:row>
                    <xdr:rowOff>15240</xdr:rowOff>
                  </from>
                  <to>
                    <xdr:col>6</xdr:col>
                    <xdr:colOff>800100</xdr:colOff>
                    <xdr:row>44</xdr:row>
                    <xdr:rowOff>205740</xdr:rowOff>
                  </to>
                </anchor>
              </controlPr>
            </control>
          </mc:Choice>
        </mc:AlternateContent>
        <mc:AlternateContent xmlns:mc="http://schemas.openxmlformats.org/markup-compatibility/2006">
          <mc:Choice Requires="x14">
            <control shapeId="5233" r:id="rId115" name="btnPdf_F-041">
              <controlPr defaultSize="0" print="0" autoFill="0" autoPict="0" macro="행별_PDF저장">
                <anchor moveWithCells="1" sizeWithCells="1">
                  <from>
                    <xdr:col>7</xdr:col>
                    <xdr:colOff>7620</xdr:colOff>
                    <xdr:row>44</xdr:row>
                    <xdr:rowOff>15240</xdr:rowOff>
                  </from>
                  <to>
                    <xdr:col>7</xdr:col>
                    <xdr:colOff>800100</xdr:colOff>
                    <xdr:row>44</xdr:row>
                    <xdr:rowOff>205740</xdr:rowOff>
                  </to>
                </anchor>
              </controlPr>
            </control>
          </mc:Choice>
        </mc:AlternateContent>
        <mc:AlternateContent xmlns:mc="http://schemas.openxmlformats.org/markup-compatibility/2006">
          <mc:Choice Requires="x14">
            <control shapeId="5234" r:id="rId116" name="btnHwpx_F-041">
              <controlPr defaultSize="0" print="0" autoFill="0" autoPict="0" macro="행별_HWPX작성">
                <anchor moveWithCells="1" sizeWithCells="1">
                  <from>
                    <xdr:col>8</xdr:col>
                    <xdr:colOff>7620</xdr:colOff>
                    <xdr:row>44</xdr:row>
                    <xdr:rowOff>15240</xdr:rowOff>
                  </from>
                  <to>
                    <xdr:col>8</xdr:col>
                    <xdr:colOff>800100</xdr:colOff>
                    <xdr:row>44</xdr:row>
                    <xdr:rowOff>205740</xdr:rowOff>
                  </to>
                </anchor>
              </controlPr>
            </control>
          </mc:Choice>
        </mc:AlternateContent>
        <mc:AlternateContent xmlns:mc="http://schemas.openxmlformats.org/markup-compatibility/2006">
          <mc:Choice Requires="x14">
            <control shapeId="5235" r:id="rId117" name="btnPrev_F-042">
              <controlPr defaultSize="0" print="0" autoFill="0" autoPict="0" macro="행별_미리보기">
                <anchor moveWithCells="1" sizeWithCells="1">
                  <from>
                    <xdr:col>6</xdr:col>
                    <xdr:colOff>7620</xdr:colOff>
                    <xdr:row>45</xdr:row>
                    <xdr:rowOff>15240</xdr:rowOff>
                  </from>
                  <to>
                    <xdr:col>6</xdr:col>
                    <xdr:colOff>800100</xdr:colOff>
                    <xdr:row>45</xdr:row>
                    <xdr:rowOff>205740</xdr:rowOff>
                  </to>
                </anchor>
              </controlPr>
            </control>
          </mc:Choice>
        </mc:AlternateContent>
        <mc:AlternateContent xmlns:mc="http://schemas.openxmlformats.org/markup-compatibility/2006">
          <mc:Choice Requires="x14">
            <control shapeId="5236" r:id="rId118" name="btnPdf_F-042">
              <controlPr defaultSize="0" print="0" autoFill="0" autoPict="0" macro="행별_PDF저장">
                <anchor moveWithCells="1" sizeWithCells="1">
                  <from>
                    <xdr:col>7</xdr:col>
                    <xdr:colOff>7620</xdr:colOff>
                    <xdr:row>45</xdr:row>
                    <xdr:rowOff>15240</xdr:rowOff>
                  </from>
                  <to>
                    <xdr:col>7</xdr:col>
                    <xdr:colOff>800100</xdr:colOff>
                    <xdr:row>45</xdr:row>
                    <xdr:rowOff>205740</xdr:rowOff>
                  </to>
                </anchor>
              </controlPr>
            </control>
          </mc:Choice>
        </mc:AlternateContent>
        <mc:AlternateContent xmlns:mc="http://schemas.openxmlformats.org/markup-compatibility/2006">
          <mc:Choice Requires="x14">
            <control shapeId="5237" r:id="rId119" name="btnHwpx_F-042">
              <controlPr defaultSize="0" print="0" autoFill="0" autoPict="0" macro="행별_HWPX작성">
                <anchor moveWithCells="1" sizeWithCells="1">
                  <from>
                    <xdr:col>8</xdr:col>
                    <xdr:colOff>7620</xdr:colOff>
                    <xdr:row>45</xdr:row>
                    <xdr:rowOff>15240</xdr:rowOff>
                  </from>
                  <to>
                    <xdr:col>8</xdr:col>
                    <xdr:colOff>800100</xdr:colOff>
                    <xdr:row>45</xdr:row>
                    <xdr:rowOff>205740</xdr:rowOff>
                  </to>
                </anchor>
              </controlPr>
            </control>
          </mc:Choice>
        </mc:AlternateContent>
        <mc:AlternateContent xmlns:mc="http://schemas.openxmlformats.org/markup-compatibility/2006">
          <mc:Choice Requires="x14">
            <control shapeId="5238" r:id="rId120" name="btnPrev_F-043">
              <controlPr defaultSize="0" print="0" autoFill="0" autoPict="0" macro="행별_미리보기">
                <anchor moveWithCells="1" sizeWithCells="1">
                  <from>
                    <xdr:col>6</xdr:col>
                    <xdr:colOff>7620</xdr:colOff>
                    <xdr:row>46</xdr:row>
                    <xdr:rowOff>15240</xdr:rowOff>
                  </from>
                  <to>
                    <xdr:col>6</xdr:col>
                    <xdr:colOff>800100</xdr:colOff>
                    <xdr:row>46</xdr:row>
                    <xdr:rowOff>205740</xdr:rowOff>
                  </to>
                </anchor>
              </controlPr>
            </control>
          </mc:Choice>
        </mc:AlternateContent>
        <mc:AlternateContent xmlns:mc="http://schemas.openxmlformats.org/markup-compatibility/2006">
          <mc:Choice Requires="x14">
            <control shapeId="5239" r:id="rId121" name="btnPdf_F-043">
              <controlPr defaultSize="0" print="0" autoFill="0" autoPict="0" macro="행별_PDF저장">
                <anchor moveWithCells="1" sizeWithCells="1">
                  <from>
                    <xdr:col>7</xdr:col>
                    <xdr:colOff>7620</xdr:colOff>
                    <xdr:row>46</xdr:row>
                    <xdr:rowOff>15240</xdr:rowOff>
                  </from>
                  <to>
                    <xdr:col>7</xdr:col>
                    <xdr:colOff>800100</xdr:colOff>
                    <xdr:row>46</xdr:row>
                    <xdr:rowOff>205740</xdr:rowOff>
                  </to>
                </anchor>
              </controlPr>
            </control>
          </mc:Choice>
        </mc:AlternateContent>
        <mc:AlternateContent xmlns:mc="http://schemas.openxmlformats.org/markup-compatibility/2006">
          <mc:Choice Requires="x14">
            <control shapeId="5240" r:id="rId122" name="btnHwpx_F-043">
              <controlPr defaultSize="0" print="0" autoFill="0" autoPict="0" macro="행별_HWPX작성">
                <anchor moveWithCells="1" sizeWithCells="1">
                  <from>
                    <xdr:col>8</xdr:col>
                    <xdr:colOff>7620</xdr:colOff>
                    <xdr:row>46</xdr:row>
                    <xdr:rowOff>15240</xdr:rowOff>
                  </from>
                  <to>
                    <xdr:col>8</xdr:col>
                    <xdr:colOff>800100</xdr:colOff>
                    <xdr:row>46</xdr:row>
                    <xdr:rowOff>205740</xdr:rowOff>
                  </to>
                </anchor>
              </controlPr>
            </control>
          </mc:Choice>
        </mc:AlternateContent>
        <mc:AlternateContent xmlns:mc="http://schemas.openxmlformats.org/markup-compatibility/2006">
          <mc:Choice Requires="x14">
            <control shapeId="5241" r:id="rId123" name="btnPrev_F-044">
              <controlPr defaultSize="0" print="0" autoFill="0" autoPict="0" macro="행별_미리보기">
                <anchor moveWithCells="1" sizeWithCells="1">
                  <from>
                    <xdr:col>6</xdr:col>
                    <xdr:colOff>7620</xdr:colOff>
                    <xdr:row>47</xdr:row>
                    <xdr:rowOff>15240</xdr:rowOff>
                  </from>
                  <to>
                    <xdr:col>6</xdr:col>
                    <xdr:colOff>800100</xdr:colOff>
                    <xdr:row>47</xdr:row>
                    <xdr:rowOff>205740</xdr:rowOff>
                  </to>
                </anchor>
              </controlPr>
            </control>
          </mc:Choice>
        </mc:AlternateContent>
        <mc:AlternateContent xmlns:mc="http://schemas.openxmlformats.org/markup-compatibility/2006">
          <mc:Choice Requires="x14">
            <control shapeId="5242" r:id="rId124" name="btnPdf_F-044">
              <controlPr defaultSize="0" print="0" autoFill="0" autoPict="0" macro="행별_PDF저장">
                <anchor moveWithCells="1" sizeWithCells="1">
                  <from>
                    <xdr:col>7</xdr:col>
                    <xdr:colOff>7620</xdr:colOff>
                    <xdr:row>47</xdr:row>
                    <xdr:rowOff>15240</xdr:rowOff>
                  </from>
                  <to>
                    <xdr:col>7</xdr:col>
                    <xdr:colOff>800100</xdr:colOff>
                    <xdr:row>47</xdr:row>
                    <xdr:rowOff>205740</xdr:rowOff>
                  </to>
                </anchor>
              </controlPr>
            </control>
          </mc:Choice>
        </mc:AlternateContent>
        <mc:AlternateContent xmlns:mc="http://schemas.openxmlformats.org/markup-compatibility/2006">
          <mc:Choice Requires="x14">
            <control shapeId="5243" r:id="rId125" name="btnHwpx_F-044">
              <controlPr defaultSize="0" print="0" autoFill="0" autoPict="0" macro="행별_HWPX작성">
                <anchor moveWithCells="1" sizeWithCells="1">
                  <from>
                    <xdr:col>8</xdr:col>
                    <xdr:colOff>7620</xdr:colOff>
                    <xdr:row>47</xdr:row>
                    <xdr:rowOff>15240</xdr:rowOff>
                  </from>
                  <to>
                    <xdr:col>8</xdr:col>
                    <xdr:colOff>800100</xdr:colOff>
                    <xdr:row>47</xdr:row>
                    <xdr:rowOff>205740</xdr:rowOff>
                  </to>
                </anchor>
              </controlPr>
            </control>
          </mc:Choice>
        </mc:AlternateContent>
        <mc:AlternateContent xmlns:mc="http://schemas.openxmlformats.org/markup-compatibility/2006">
          <mc:Choice Requires="x14">
            <control shapeId="5244" r:id="rId126" name="btnPrev_F-045">
              <controlPr defaultSize="0" print="0" autoFill="0" autoPict="0" macro="행별_미리보기">
                <anchor moveWithCells="1" sizeWithCells="1">
                  <from>
                    <xdr:col>6</xdr:col>
                    <xdr:colOff>7620</xdr:colOff>
                    <xdr:row>48</xdr:row>
                    <xdr:rowOff>15240</xdr:rowOff>
                  </from>
                  <to>
                    <xdr:col>6</xdr:col>
                    <xdr:colOff>800100</xdr:colOff>
                    <xdr:row>48</xdr:row>
                    <xdr:rowOff>205740</xdr:rowOff>
                  </to>
                </anchor>
              </controlPr>
            </control>
          </mc:Choice>
        </mc:AlternateContent>
        <mc:AlternateContent xmlns:mc="http://schemas.openxmlformats.org/markup-compatibility/2006">
          <mc:Choice Requires="x14">
            <control shapeId="5245" r:id="rId127" name="btnPdf_F-045">
              <controlPr defaultSize="0" print="0" autoFill="0" autoPict="0" macro="행별_PDF저장">
                <anchor moveWithCells="1" sizeWithCells="1">
                  <from>
                    <xdr:col>7</xdr:col>
                    <xdr:colOff>7620</xdr:colOff>
                    <xdr:row>48</xdr:row>
                    <xdr:rowOff>15240</xdr:rowOff>
                  </from>
                  <to>
                    <xdr:col>7</xdr:col>
                    <xdr:colOff>800100</xdr:colOff>
                    <xdr:row>48</xdr:row>
                    <xdr:rowOff>205740</xdr:rowOff>
                  </to>
                </anchor>
              </controlPr>
            </control>
          </mc:Choice>
        </mc:AlternateContent>
        <mc:AlternateContent xmlns:mc="http://schemas.openxmlformats.org/markup-compatibility/2006">
          <mc:Choice Requires="x14">
            <control shapeId="5246" r:id="rId128" name="btnHwpx_F-045">
              <controlPr defaultSize="0" print="0" autoFill="0" autoPict="0" macro="행별_HWPX작성">
                <anchor moveWithCells="1" sizeWithCells="1">
                  <from>
                    <xdr:col>8</xdr:col>
                    <xdr:colOff>7620</xdr:colOff>
                    <xdr:row>48</xdr:row>
                    <xdr:rowOff>15240</xdr:rowOff>
                  </from>
                  <to>
                    <xdr:col>8</xdr:col>
                    <xdr:colOff>800100</xdr:colOff>
                    <xdr:row>48</xdr:row>
                    <xdr:rowOff>205740</xdr:rowOff>
                  </to>
                </anchor>
              </controlPr>
            </control>
          </mc:Choice>
        </mc:AlternateContent>
        <mc:AlternateContent xmlns:mc="http://schemas.openxmlformats.org/markup-compatibility/2006">
          <mc:Choice Requires="x14">
            <control shapeId="5247" r:id="rId129" name="btnPrev_F-046">
              <controlPr defaultSize="0" print="0" autoFill="0" autoPict="0" macro="행별_미리보기">
                <anchor moveWithCells="1" sizeWithCells="1">
                  <from>
                    <xdr:col>6</xdr:col>
                    <xdr:colOff>7620</xdr:colOff>
                    <xdr:row>49</xdr:row>
                    <xdr:rowOff>15240</xdr:rowOff>
                  </from>
                  <to>
                    <xdr:col>6</xdr:col>
                    <xdr:colOff>800100</xdr:colOff>
                    <xdr:row>49</xdr:row>
                    <xdr:rowOff>205740</xdr:rowOff>
                  </to>
                </anchor>
              </controlPr>
            </control>
          </mc:Choice>
        </mc:AlternateContent>
        <mc:AlternateContent xmlns:mc="http://schemas.openxmlformats.org/markup-compatibility/2006">
          <mc:Choice Requires="x14">
            <control shapeId="5248" r:id="rId130" name="btnPdf_F-046">
              <controlPr defaultSize="0" print="0" autoFill="0" autoPict="0" macro="행별_PDF저장">
                <anchor moveWithCells="1" sizeWithCells="1">
                  <from>
                    <xdr:col>7</xdr:col>
                    <xdr:colOff>7620</xdr:colOff>
                    <xdr:row>49</xdr:row>
                    <xdr:rowOff>15240</xdr:rowOff>
                  </from>
                  <to>
                    <xdr:col>7</xdr:col>
                    <xdr:colOff>800100</xdr:colOff>
                    <xdr:row>49</xdr:row>
                    <xdr:rowOff>205740</xdr:rowOff>
                  </to>
                </anchor>
              </controlPr>
            </control>
          </mc:Choice>
        </mc:AlternateContent>
        <mc:AlternateContent xmlns:mc="http://schemas.openxmlformats.org/markup-compatibility/2006">
          <mc:Choice Requires="x14">
            <control shapeId="5249" r:id="rId131" name="btnHwpx_F-046">
              <controlPr defaultSize="0" print="0" autoFill="0" autoPict="0" macro="행별_HWPX작성">
                <anchor moveWithCells="1" sizeWithCells="1">
                  <from>
                    <xdr:col>8</xdr:col>
                    <xdr:colOff>7620</xdr:colOff>
                    <xdr:row>49</xdr:row>
                    <xdr:rowOff>15240</xdr:rowOff>
                  </from>
                  <to>
                    <xdr:col>8</xdr:col>
                    <xdr:colOff>800100</xdr:colOff>
                    <xdr:row>49</xdr:row>
                    <xdr:rowOff>205740</xdr:rowOff>
                  </to>
                </anchor>
              </controlPr>
            </control>
          </mc:Choice>
        </mc:AlternateContent>
        <mc:AlternateContent xmlns:mc="http://schemas.openxmlformats.org/markup-compatibility/2006">
          <mc:Choice Requires="x14">
            <control shapeId="5250" r:id="rId132" name="btnPrev_F-047">
              <controlPr defaultSize="0" print="0" autoFill="0" autoPict="0" macro="행별_미리보기">
                <anchor moveWithCells="1" sizeWithCells="1">
                  <from>
                    <xdr:col>6</xdr:col>
                    <xdr:colOff>7620</xdr:colOff>
                    <xdr:row>50</xdr:row>
                    <xdr:rowOff>15240</xdr:rowOff>
                  </from>
                  <to>
                    <xdr:col>6</xdr:col>
                    <xdr:colOff>800100</xdr:colOff>
                    <xdr:row>50</xdr:row>
                    <xdr:rowOff>205740</xdr:rowOff>
                  </to>
                </anchor>
              </controlPr>
            </control>
          </mc:Choice>
        </mc:AlternateContent>
        <mc:AlternateContent xmlns:mc="http://schemas.openxmlformats.org/markup-compatibility/2006">
          <mc:Choice Requires="x14">
            <control shapeId="5251" r:id="rId133" name="btnPdf_F-047">
              <controlPr defaultSize="0" print="0" autoFill="0" autoPict="0" macro="행별_PDF저장">
                <anchor moveWithCells="1" sizeWithCells="1">
                  <from>
                    <xdr:col>7</xdr:col>
                    <xdr:colOff>7620</xdr:colOff>
                    <xdr:row>50</xdr:row>
                    <xdr:rowOff>15240</xdr:rowOff>
                  </from>
                  <to>
                    <xdr:col>7</xdr:col>
                    <xdr:colOff>800100</xdr:colOff>
                    <xdr:row>50</xdr:row>
                    <xdr:rowOff>205740</xdr:rowOff>
                  </to>
                </anchor>
              </controlPr>
            </control>
          </mc:Choice>
        </mc:AlternateContent>
        <mc:AlternateContent xmlns:mc="http://schemas.openxmlformats.org/markup-compatibility/2006">
          <mc:Choice Requires="x14">
            <control shapeId="5252" r:id="rId134" name="btnHwpx_F-047">
              <controlPr defaultSize="0" print="0" autoFill="0" autoPict="0" macro="행별_HWPX작성">
                <anchor moveWithCells="1" sizeWithCells="1">
                  <from>
                    <xdr:col>8</xdr:col>
                    <xdr:colOff>7620</xdr:colOff>
                    <xdr:row>50</xdr:row>
                    <xdr:rowOff>15240</xdr:rowOff>
                  </from>
                  <to>
                    <xdr:col>8</xdr:col>
                    <xdr:colOff>800100</xdr:colOff>
                    <xdr:row>50</xdr:row>
                    <xdr:rowOff>205740</xdr:rowOff>
                  </to>
                </anchor>
              </controlPr>
            </control>
          </mc:Choice>
        </mc:AlternateContent>
        <mc:AlternateContent xmlns:mc="http://schemas.openxmlformats.org/markup-compatibility/2006">
          <mc:Choice Requires="x14">
            <control shapeId="5253" r:id="rId135" name="btnPrev_F-048">
              <controlPr defaultSize="0" print="0" autoFill="0" autoPict="0" macro="행별_미리보기">
                <anchor moveWithCells="1" sizeWithCells="1">
                  <from>
                    <xdr:col>6</xdr:col>
                    <xdr:colOff>7620</xdr:colOff>
                    <xdr:row>51</xdr:row>
                    <xdr:rowOff>15240</xdr:rowOff>
                  </from>
                  <to>
                    <xdr:col>6</xdr:col>
                    <xdr:colOff>800100</xdr:colOff>
                    <xdr:row>51</xdr:row>
                    <xdr:rowOff>205740</xdr:rowOff>
                  </to>
                </anchor>
              </controlPr>
            </control>
          </mc:Choice>
        </mc:AlternateContent>
        <mc:AlternateContent xmlns:mc="http://schemas.openxmlformats.org/markup-compatibility/2006">
          <mc:Choice Requires="x14">
            <control shapeId="5254" r:id="rId136" name="btnPdf_F-048">
              <controlPr defaultSize="0" print="0" autoFill="0" autoPict="0" macro="행별_PDF저장">
                <anchor moveWithCells="1" sizeWithCells="1">
                  <from>
                    <xdr:col>7</xdr:col>
                    <xdr:colOff>7620</xdr:colOff>
                    <xdr:row>51</xdr:row>
                    <xdr:rowOff>15240</xdr:rowOff>
                  </from>
                  <to>
                    <xdr:col>7</xdr:col>
                    <xdr:colOff>800100</xdr:colOff>
                    <xdr:row>51</xdr:row>
                    <xdr:rowOff>205740</xdr:rowOff>
                  </to>
                </anchor>
              </controlPr>
            </control>
          </mc:Choice>
        </mc:AlternateContent>
        <mc:AlternateContent xmlns:mc="http://schemas.openxmlformats.org/markup-compatibility/2006">
          <mc:Choice Requires="x14">
            <control shapeId="5255" r:id="rId137" name="btnHwpx_F-048">
              <controlPr defaultSize="0" print="0" autoFill="0" autoPict="0" macro="행별_HWPX작성">
                <anchor moveWithCells="1" sizeWithCells="1">
                  <from>
                    <xdr:col>8</xdr:col>
                    <xdr:colOff>7620</xdr:colOff>
                    <xdr:row>51</xdr:row>
                    <xdr:rowOff>15240</xdr:rowOff>
                  </from>
                  <to>
                    <xdr:col>8</xdr:col>
                    <xdr:colOff>800100</xdr:colOff>
                    <xdr:row>51</xdr:row>
                    <xdr:rowOff>205740</xdr:rowOff>
                  </to>
                </anchor>
              </controlPr>
            </control>
          </mc:Choice>
        </mc:AlternateContent>
        <mc:AlternateContent xmlns:mc="http://schemas.openxmlformats.org/markup-compatibility/2006">
          <mc:Choice Requires="x14">
            <control shapeId="5256" r:id="rId138" name="btnPrev_F-049">
              <controlPr defaultSize="0" print="0" autoFill="0" autoPict="0" macro="행별_미리보기">
                <anchor moveWithCells="1" sizeWithCells="1">
                  <from>
                    <xdr:col>6</xdr:col>
                    <xdr:colOff>7620</xdr:colOff>
                    <xdr:row>52</xdr:row>
                    <xdr:rowOff>15240</xdr:rowOff>
                  </from>
                  <to>
                    <xdr:col>6</xdr:col>
                    <xdr:colOff>800100</xdr:colOff>
                    <xdr:row>52</xdr:row>
                    <xdr:rowOff>205740</xdr:rowOff>
                  </to>
                </anchor>
              </controlPr>
            </control>
          </mc:Choice>
        </mc:AlternateContent>
        <mc:AlternateContent xmlns:mc="http://schemas.openxmlformats.org/markup-compatibility/2006">
          <mc:Choice Requires="x14">
            <control shapeId="5257" r:id="rId139" name="btnPdf_F-049">
              <controlPr defaultSize="0" print="0" autoFill="0" autoPict="0" macro="행별_PDF저장">
                <anchor moveWithCells="1" sizeWithCells="1">
                  <from>
                    <xdr:col>7</xdr:col>
                    <xdr:colOff>7620</xdr:colOff>
                    <xdr:row>52</xdr:row>
                    <xdr:rowOff>15240</xdr:rowOff>
                  </from>
                  <to>
                    <xdr:col>7</xdr:col>
                    <xdr:colOff>800100</xdr:colOff>
                    <xdr:row>52</xdr:row>
                    <xdr:rowOff>205740</xdr:rowOff>
                  </to>
                </anchor>
              </controlPr>
            </control>
          </mc:Choice>
        </mc:AlternateContent>
        <mc:AlternateContent xmlns:mc="http://schemas.openxmlformats.org/markup-compatibility/2006">
          <mc:Choice Requires="x14">
            <control shapeId="5258" r:id="rId140" name="btnHwpx_F-049">
              <controlPr defaultSize="0" print="0" autoFill="0" autoPict="0" macro="행별_HWPX작성">
                <anchor moveWithCells="1" sizeWithCells="1">
                  <from>
                    <xdr:col>8</xdr:col>
                    <xdr:colOff>7620</xdr:colOff>
                    <xdr:row>52</xdr:row>
                    <xdr:rowOff>15240</xdr:rowOff>
                  </from>
                  <to>
                    <xdr:col>8</xdr:col>
                    <xdr:colOff>800100</xdr:colOff>
                    <xdr:row>52</xdr:row>
                    <xdr:rowOff>205740</xdr:rowOff>
                  </to>
                </anchor>
              </controlPr>
            </control>
          </mc:Choice>
        </mc:AlternateContent>
        <mc:AlternateContent xmlns:mc="http://schemas.openxmlformats.org/markup-compatibility/2006">
          <mc:Choice Requires="x14">
            <control shapeId="5259" r:id="rId141" name="btnPrev_F-050">
              <controlPr defaultSize="0" print="0" autoFill="0" autoPict="0" macro="행별_미리보기">
                <anchor moveWithCells="1" sizeWithCells="1">
                  <from>
                    <xdr:col>6</xdr:col>
                    <xdr:colOff>7620</xdr:colOff>
                    <xdr:row>53</xdr:row>
                    <xdr:rowOff>15240</xdr:rowOff>
                  </from>
                  <to>
                    <xdr:col>6</xdr:col>
                    <xdr:colOff>800100</xdr:colOff>
                    <xdr:row>53</xdr:row>
                    <xdr:rowOff>205740</xdr:rowOff>
                  </to>
                </anchor>
              </controlPr>
            </control>
          </mc:Choice>
        </mc:AlternateContent>
        <mc:AlternateContent xmlns:mc="http://schemas.openxmlformats.org/markup-compatibility/2006">
          <mc:Choice Requires="x14">
            <control shapeId="5260" r:id="rId142" name="btnPdf_F-050">
              <controlPr defaultSize="0" print="0" autoFill="0" autoPict="0" macro="행별_PDF저장">
                <anchor moveWithCells="1" sizeWithCells="1">
                  <from>
                    <xdr:col>7</xdr:col>
                    <xdr:colOff>7620</xdr:colOff>
                    <xdr:row>53</xdr:row>
                    <xdr:rowOff>15240</xdr:rowOff>
                  </from>
                  <to>
                    <xdr:col>7</xdr:col>
                    <xdr:colOff>800100</xdr:colOff>
                    <xdr:row>53</xdr:row>
                    <xdr:rowOff>205740</xdr:rowOff>
                  </to>
                </anchor>
              </controlPr>
            </control>
          </mc:Choice>
        </mc:AlternateContent>
        <mc:AlternateContent xmlns:mc="http://schemas.openxmlformats.org/markup-compatibility/2006">
          <mc:Choice Requires="x14">
            <control shapeId="5261" r:id="rId143" name="btnHwpx_F-050">
              <controlPr defaultSize="0" print="0" autoFill="0" autoPict="0" macro="행별_HWPX작성">
                <anchor moveWithCells="1" sizeWithCells="1">
                  <from>
                    <xdr:col>8</xdr:col>
                    <xdr:colOff>7620</xdr:colOff>
                    <xdr:row>53</xdr:row>
                    <xdr:rowOff>15240</xdr:rowOff>
                  </from>
                  <to>
                    <xdr:col>8</xdr:col>
                    <xdr:colOff>800100</xdr:colOff>
                    <xdr:row>53</xdr:row>
                    <xdr:rowOff>205740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AB62FE-C638-494E-AF0F-A009F55E0C60}">
  <sheetPr codeName="Sheet6"/>
  <dimension ref="A1:F796"/>
  <sheetViews>
    <sheetView workbookViewId="0"/>
  </sheetViews>
  <sheetFormatPr defaultRowHeight="17.399999999999999"/>
  <cols>
    <col min="1" max="1" width="8.69921875" customWidth="1"/>
    <col min="2" max="2" width="12.69921875" customWidth="1"/>
    <col min="3" max="3" width="10.69921875" customWidth="1"/>
    <col min="4" max="4" width="26.69921875" customWidth="1"/>
    <col min="5" max="5" width="38.69921875" customWidth="1"/>
    <col min="6" max="6" width="16.69921875" customWidth="1"/>
  </cols>
  <sheetData>
    <row r="1" spans="1:6" ht="20.399999999999999">
      <c r="A1" s="18" t="s">
        <v>3248</v>
      </c>
    </row>
    <row r="2" spans="1:6">
      <c r="A2" t="s">
        <v>3249</v>
      </c>
    </row>
    <row r="3" spans="1:6">
      <c r="A3" t="s">
        <v>86</v>
      </c>
      <c r="B3" s="7"/>
      <c r="C3" t="s">
        <v>911</v>
      </c>
      <c r="D3" s="7"/>
      <c r="E3" t="s">
        <v>912</v>
      </c>
      <c r="F3" s="7"/>
    </row>
    <row r="6" spans="1:6">
      <c r="A6" s="67" t="s">
        <v>859</v>
      </c>
      <c r="B6" s="67" t="s">
        <v>911</v>
      </c>
      <c r="C6" s="67" t="s">
        <v>912</v>
      </c>
      <c r="D6" s="67" t="s">
        <v>86</v>
      </c>
      <c r="E6" s="67" t="s">
        <v>308</v>
      </c>
      <c r="F6" s="67" t="s">
        <v>378</v>
      </c>
    </row>
    <row r="7" spans="1:6">
      <c r="A7" s="1"/>
      <c r="B7" s="1"/>
      <c r="C7" s="1"/>
      <c r="D7" s="1"/>
      <c r="E7" s="1"/>
      <c r="F7" s="1"/>
    </row>
    <row r="8" spans="1:6">
      <c r="A8" s="1"/>
      <c r="B8" s="1"/>
      <c r="C8" s="1"/>
      <c r="D8" s="1"/>
      <c r="E8" s="1"/>
      <c r="F8" s="1"/>
    </row>
    <row r="9" spans="1:6">
      <c r="A9" s="1"/>
      <c r="B9" s="1"/>
      <c r="C9" s="1"/>
      <c r="D9" s="1"/>
      <c r="E9" s="1"/>
      <c r="F9" s="1"/>
    </row>
    <row r="10" spans="1:6">
      <c r="A10" s="1"/>
      <c r="B10" s="1"/>
      <c r="C10" s="1"/>
      <c r="D10" s="1"/>
      <c r="E10" s="1"/>
      <c r="F10" s="1"/>
    </row>
    <row r="11" spans="1:6">
      <c r="A11" s="1"/>
      <c r="B11" s="1"/>
      <c r="C11" s="1"/>
      <c r="D11" s="1"/>
      <c r="E11" s="1"/>
      <c r="F11" s="1"/>
    </row>
    <row r="12" spans="1:6">
      <c r="A12" s="1"/>
      <c r="B12" s="1"/>
      <c r="C12" s="1"/>
      <c r="D12" s="1"/>
      <c r="E12" s="1"/>
      <c r="F12" s="1"/>
    </row>
    <row r="13" spans="1:6">
      <c r="A13" s="1"/>
      <c r="B13" s="1"/>
      <c r="C13" s="1"/>
      <c r="D13" s="1"/>
      <c r="E13" s="1"/>
      <c r="F13" s="1"/>
    </row>
    <row r="14" spans="1:6">
      <c r="A14" s="1"/>
      <c r="B14" s="1"/>
      <c r="C14" s="1"/>
      <c r="D14" s="1"/>
      <c r="E14" s="1"/>
      <c r="F14" s="1"/>
    </row>
    <row r="15" spans="1:6">
      <c r="A15" s="1"/>
      <c r="B15" s="1"/>
      <c r="C15" s="1"/>
      <c r="D15" s="1"/>
      <c r="E15" s="1"/>
      <c r="F15" s="1"/>
    </row>
    <row r="16" spans="1:6">
      <c r="A16" s="1"/>
      <c r="B16" s="1"/>
      <c r="C16" s="1"/>
      <c r="D16" s="1"/>
      <c r="E16" s="1"/>
      <c r="F16" s="1"/>
    </row>
    <row r="17" spans="1:6">
      <c r="A17" s="1"/>
      <c r="B17" s="1"/>
      <c r="C17" s="1"/>
      <c r="D17" s="1"/>
      <c r="E17" s="1"/>
      <c r="F17" s="1"/>
    </row>
    <row r="18" spans="1:6">
      <c r="A18" s="1"/>
      <c r="B18" s="1"/>
      <c r="C18" s="1"/>
      <c r="D18" s="1"/>
      <c r="E18" s="1"/>
      <c r="F18" s="1"/>
    </row>
    <row r="19" spans="1:6">
      <c r="A19" s="1"/>
      <c r="B19" s="1"/>
      <c r="C19" s="1"/>
      <c r="D19" s="1"/>
      <c r="E19" s="1"/>
      <c r="F19" s="1"/>
    </row>
    <row r="20" spans="1:6">
      <c r="A20" s="1"/>
      <c r="B20" s="1"/>
      <c r="C20" s="1"/>
      <c r="D20" s="1"/>
      <c r="E20" s="1"/>
      <c r="F20" s="1"/>
    </row>
    <row r="21" spans="1:6">
      <c r="A21" s="1"/>
      <c r="B21" s="1"/>
      <c r="C21" s="1"/>
      <c r="D21" s="1"/>
      <c r="E21" s="1"/>
      <c r="F21" s="1"/>
    </row>
    <row r="22" spans="1:6">
      <c r="A22" s="1"/>
      <c r="B22" s="1"/>
      <c r="C22" s="1"/>
      <c r="D22" s="1"/>
      <c r="E22" s="1"/>
      <c r="F22" s="1"/>
    </row>
    <row r="23" spans="1:6">
      <c r="A23" s="1"/>
      <c r="B23" s="1"/>
      <c r="C23" s="1"/>
      <c r="D23" s="1"/>
      <c r="E23" s="1"/>
      <c r="F23" s="1"/>
    </row>
    <row r="24" spans="1:6">
      <c r="A24" s="1"/>
      <c r="B24" s="1"/>
      <c r="C24" s="1"/>
      <c r="D24" s="1"/>
      <c r="E24" s="1"/>
      <c r="F24" s="1"/>
    </row>
    <row r="25" spans="1:6">
      <c r="A25" s="1"/>
      <c r="B25" s="1"/>
      <c r="C25" s="1"/>
      <c r="D25" s="1"/>
      <c r="E25" s="1"/>
      <c r="F25" s="1"/>
    </row>
    <row r="26" spans="1:6">
      <c r="A26" s="1"/>
      <c r="B26" s="1"/>
      <c r="C26" s="1"/>
      <c r="D26" s="1"/>
      <c r="E26" s="1"/>
      <c r="F26" s="1"/>
    </row>
    <row r="27" spans="1:6">
      <c r="A27" s="1"/>
      <c r="B27" s="1"/>
      <c r="C27" s="1"/>
      <c r="D27" s="1"/>
      <c r="E27" s="1"/>
      <c r="F27" s="1"/>
    </row>
    <row r="28" spans="1:6">
      <c r="A28" s="1"/>
      <c r="B28" s="1"/>
      <c r="C28" s="1"/>
      <c r="D28" s="1"/>
      <c r="E28" s="1"/>
      <c r="F28" s="1"/>
    </row>
    <row r="29" spans="1:6">
      <c r="A29" s="1"/>
      <c r="B29" s="1"/>
      <c r="C29" s="1"/>
      <c r="D29" s="1"/>
      <c r="E29" s="1"/>
      <c r="F29" s="1"/>
    </row>
    <row r="30" spans="1:6">
      <c r="A30" s="1"/>
      <c r="B30" s="1"/>
      <c r="C30" s="1"/>
      <c r="D30" s="1"/>
      <c r="E30" s="1"/>
      <c r="F30" s="1"/>
    </row>
    <row r="31" spans="1:6">
      <c r="A31" s="1"/>
      <c r="B31" s="1"/>
      <c r="C31" s="1"/>
      <c r="D31" s="1"/>
      <c r="E31" s="1"/>
      <c r="F31" s="1"/>
    </row>
    <row r="32" spans="1:6">
      <c r="A32" s="1"/>
      <c r="B32" s="1"/>
      <c r="C32" s="1"/>
      <c r="D32" s="1"/>
      <c r="E32" s="1"/>
      <c r="F32" s="1"/>
    </row>
    <row r="33" spans="1:6">
      <c r="A33" s="1"/>
      <c r="B33" s="1"/>
      <c r="C33" s="1"/>
      <c r="D33" s="1"/>
      <c r="E33" s="1"/>
      <c r="F33" s="1"/>
    </row>
    <row r="34" spans="1:6">
      <c r="A34" s="1"/>
      <c r="B34" s="1"/>
      <c r="C34" s="1"/>
      <c r="D34" s="1"/>
      <c r="E34" s="1"/>
      <c r="F34" s="1"/>
    </row>
    <row r="35" spans="1:6">
      <c r="A35" s="1"/>
      <c r="B35" s="1"/>
      <c r="C35" s="1"/>
      <c r="D35" s="1"/>
      <c r="E35" s="1"/>
      <c r="F35" s="1"/>
    </row>
    <row r="36" spans="1:6">
      <c r="A36" s="1"/>
      <c r="B36" s="1"/>
      <c r="C36" s="1"/>
      <c r="D36" s="1"/>
      <c r="E36" s="1"/>
      <c r="F36" s="1"/>
    </row>
    <row r="37" spans="1:6">
      <c r="A37" s="1"/>
      <c r="B37" s="1"/>
      <c r="C37" s="1"/>
      <c r="D37" s="1"/>
      <c r="E37" s="1"/>
      <c r="F37" s="1"/>
    </row>
    <row r="38" spans="1:6">
      <c r="A38" s="1"/>
      <c r="B38" s="1"/>
      <c r="C38" s="1"/>
      <c r="D38" s="1"/>
      <c r="E38" s="1"/>
      <c r="F38" s="1"/>
    </row>
    <row r="39" spans="1:6">
      <c r="A39" s="1"/>
      <c r="B39" s="1"/>
      <c r="C39" s="1"/>
      <c r="D39" s="1"/>
      <c r="E39" s="1"/>
      <c r="F39" s="1"/>
    </row>
    <row r="40" spans="1:6">
      <c r="A40" s="1"/>
      <c r="B40" s="1"/>
      <c r="C40" s="1"/>
      <c r="D40" s="1"/>
      <c r="E40" s="1"/>
      <c r="F40" s="1"/>
    </row>
    <row r="41" spans="1:6">
      <c r="A41" s="1"/>
      <c r="B41" s="1"/>
      <c r="C41" s="1"/>
      <c r="D41" s="1"/>
      <c r="E41" s="1"/>
      <c r="F41" s="1"/>
    </row>
    <row r="42" spans="1:6">
      <c r="A42" s="1"/>
      <c r="B42" s="1"/>
      <c r="C42" s="1"/>
      <c r="D42" s="1"/>
      <c r="E42" s="1"/>
      <c r="F42" s="1"/>
    </row>
    <row r="43" spans="1:6">
      <c r="A43" s="1"/>
      <c r="B43" s="1"/>
      <c r="C43" s="1"/>
      <c r="D43" s="1"/>
      <c r="E43" s="1"/>
      <c r="F43" s="1"/>
    </row>
    <row r="44" spans="1:6">
      <c r="A44" s="1"/>
      <c r="B44" s="1"/>
      <c r="C44" s="1"/>
      <c r="D44" s="1"/>
      <c r="E44" s="1"/>
      <c r="F44" s="1"/>
    </row>
    <row r="45" spans="1:6">
      <c r="A45" s="1"/>
      <c r="B45" s="1"/>
      <c r="C45" s="1"/>
      <c r="D45" s="1"/>
      <c r="E45" s="1"/>
      <c r="F45" s="1"/>
    </row>
    <row r="46" spans="1:6">
      <c r="A46" s="1"/>
      <c r="B46" s="1"/>
      <c r="C46" s="1"/>
      <c r="D46" s="1"/>
      <c r="E46" s="1"/>
      <c r="F46" s="1"/>
    </row>
    <row r="47" spans="1:6">
      <c r="A47" s="1"/>
      <c r="B47" s="1"/>
      <c r="C47" s="1"/>
      <c r="D47" s="1"/>
      <c r="E47" s="1"/>
      <c r="F47" s="1"/>
    </row>
    <row r="48" spans="1:6">
      <c r="A48" s="1"/>
      <c r="B48" s="1"/>
      <c r="C48" s="1"/>
      <c r="D48" s="1"/>
      <c r="E48" s="1"/>
      <c r="F48" s="1"/>
    </row>
    <row r="49" spans="1:6">
      <c r="A49" s="1"/>
      <c r="B49" s="1"/>
      <c r="C49" s="1"/>
      <c r="D49" s="1"/>
      <c r="E49" s="1"/>
      <c r="F49" s="1"/>
    </row>
    <row r="50" spans="1:6">
      <c r="A50" s="1"/>
      <c r="B50" s="1"/>
      <c r="C50" s="1"/>
      <c r="D50" s="1"/>
      <c r="E50" s="1"/>
      <c r="F50" s="1"/>
    </row>
    <row r="51" spans="1:6">
      <c r="A51" s="1"/>
      <c r="B51" s="1"/>
      <c r="C51" s="1"/>
      <c r="D51" s="1"/>
      <c r="E51" s="1"/>
      <c r="F51" s="1"/>
    </row>
    <row r="52" spans="1:6">
      <c r="A52" s="1"/>
      <c r="B52" s="1"/>
      <c r="C52" s="1"/>
      <c r="D52" s="1"/>
      <c r="E52" s="1"/>
      <c r="F52" s="1"/>
    </row>
    <row r="53" spans="1:6">
      <c r="A53" s="1"/>
      <c r="B53" s="1"/>
      <c r="C53" s="1"/>
      <c r="D53" s="1"/>
      <c r="E53" s="1"/>
      <c r="F53" s="1"/>
    </row>
    <row r="54" spans="1:6">
      <c r="A54" s="1"/>
      <c r="B54" s="1"/>
      <c r="C54" s="1"/>
      <c r="D54" s="1"/>
      <c r="E54" s="1"/>
      <c r="F54" s="1"/>
    </row>
    <row r="55" spans="1:6">
      <c r="A55" s="1"/>
      <c r="B55" s="1"/>
      <c r="C55" s="1"/>
      <c r="D55" s="1"/>
      <c r="E55" s="1"/>
      <c r="F55" s="1"/>
    </row>
    <row r="56" spans="1:6">
      <c r="A56" s="1"/>
      <c r="B56" s="1"/>
      <c r="C56" s="1"/>
      <c r="D56" s="1"/>
      <c r="E56" s="1"/>
      <c r="F56" s="1"/>
    </row>
    <row r="57" spans="1:6">
      <c r="A57" s="1"/>
      <c r="B57" s="1"/>
      <c r="C57" s="1"/>
      <c r="D57" s="1"/>
      <c r="E57" s="1"/>
      <c r="F57" s="1"/>
    </row>
    <row r="58" spans="1:6">
      <c r="A58" s="1"/>
      <c r="B58" s="1"/>
      <c r="C58" s="1"/>
      <c r="D58" s="1"/>
      <c r="E58" s="1"/>
      <c r="F58" s="1"/>
    </row>
    <row r="59" spans="1:6">
      <c r="A59" s="1"/>
      <c r="B59" s="1"/>
      <c r="C59" s="1"/>
      <c r="D59" s="1"/>
      <c r="E59" s="1"/>
      <c r="F59" s="1"/>
    </row>
    <row r="60" spans="1:6">
      <c r="A60" s="1"/>
      <c r="B60" s="1"/>
      <c r="C60" s="1"/>
      <c r="D60" s="1"/>
      <c r="E60" s="1"/>
      <c r="F60" s="1"/>
    </row>
    <row r="61" spans="1:6">
      <c r="A61" s="1"/>
      <c r="B61" s="1"/>
      <c r="C61" s="1"/>
      <c r="D61" s="1"/>
      <c r="E61" s="1"/>
      <c r="F61" s="1"/>
    </row>
    <row r="62" spans="1:6">
      <c r="A62" s="1"/>
      <c r="B62" s="1"/>
      <c r="C62" s="1"/>
      <c r="D62" s="1"/>
      <c r="E62" s="1"/>
      <c r="F62" s="1"/>
    </row>
    <row r="63" spans="1:6">
      <c r="A63" s="1"/>
      <c r="B63" s="1"/>
      <c r="C63" s="1"/>
      <c r="D63" s="1"/>
      <c r="E63" s="1"/>
      <c r="F63" s="1"/>
    </row>
    <row r="64" spans="1:6">
      <c r="A64" s="1"/>
      <c r="B64" s="1"/>
      <c r="C64" s="1"/>
      <c r="D64" s="1"/>
      <c r="E64" s="1"/>
      <c r="F64" s="1"/>
    </row>
    <row r="65" spans="1:6">
      <c r="A65" s="1"/>
      <c r="B65" s="1"/>
      <c r="C65" s="1"/>
      <c r="D65" s="1"/>
      <c r="E65" s="1"/>
      <c r="F65" s="1"/>
    </row>
    <row r="66" spans="1:6">
      <c r="A66" s="1"/>
      <c r="B66" s="1"/>
      <c r="C66" s="1"/>
      <c r="D66" s="1"/>
      <c r="E66" s="1"/>
      <c r="F66" s="1"/>
    </row>
    <row r="67" spans="1:6">
      <c r="A67" s="1"/>
      <c r="B67" s="1"/>
      <c r="C67" s="1"/>
      <c r="D67" s="1"/>
      <c r="E67" s="1"/>
      <c r="F67" s="1"/>
    </row>
    <row r="68" spans="1:6">
      <c r="A68" s="1"/>
      <c r="B68" s="1"/>
      <c r="C68" s="1"/>
      <c r="D68" s="1"/>
      <c r="E68" s="1"/>
      <c r="F68" s="1"/>
    </row>
    <row r="69" spans="1:6">
      <c r="A69" s="1"/>
      <c r="B69" s="1"/>
      <c r="C69" s="1"/>
      <c r="D69" s="1"/>
      <c r="E69" s="1"/>
      <c r="F69" s="1"/>
    </row>
    <row r="70" spans="1:6">
      <c r="A70" s="1"/>
      <c r="B70" s="1"/>
      <c r="C70" s="1"/>
      <c r="D70" s="1"/>
      <c r="E70" s="1"/>
      <c r="F70" s="1"/>
    </row>
    <row r="71" spans="1:6">
      <c r="A71" s="1"/>
      <c r="B71" s="1"/>
      <c r="C71" s="1"/>
      <c r="D71" s="1"/>
      <c r="E71" s="1"/>
      <c r="F71" s="1"/>
    </row>
    <row r="72" spans="1:6">
      <c r="A72" s="1"/>
      <c r="B72" s="1"/>
      <c r="C72" s="1"/>
      <c r="D72" s="1"/>
      <c r="E72" s="1"/>
      <c r="F72" s="1"/>
    </row>
    <row r="73" spans="1:6">
      <c r="A73" s="1"/>
      <c r="B73" s="1"/>
      <c r="C73" s="1"/>
      <c r="D73" s="1"/>
      <c r="E73" s="1"/>
      <c r="F73" s="1"/>
    </row>
    <row r="74" spans="1:6">
      <c r="A74" s="1"/>
      <c r="B74" s="1"/>
      <c r="C74" s="1"/>
      <c r="D74" s="1"/>
      <c r="E74" s="1"/>
      <c r="F74" s="1"/>
    </row>
    <row r="75" spans="1:6">
      <c r="A75" s="1"/>
      <c r="B75" s="1"/>
      <c r="C75" s="1"/>
      <c r="D75" s="1"/>
      <c r="E75" s="1"/>
      <c r="F75" s="1"/>
    </row>
    <row r="76" spans="1:6">
      <c r="A76" s="1"/>
      <c r="B76" s="1"/>
      <c r="C76" s="1"/>
      <c r="D76" s="1"/>
      <c r="E76" s="1"/>
      <c r="F76" s="1"/>
    </row>
    <row r="77" spans="1:6">
      <c r="A77" s="1"/>
      <c r="B77" s="1"/>
      <c r="C77" s="1"/>
      <c r="D77" s="1"/>
      <c r="E77" s="1"/>
      <c r="F77" s="1"/>
    </row>
    <row r="78" spans="1:6">
      <c r="A78" s="1"/>
      <c r="B78" s="1"/>
      <c r="C78" s="1"/>
      <c r="D78" s="1"/>
      <c r="E78" s="1"/>
      <c r="F78" s="1"/>
    </row>
    <row r="79" spans="1:6">
      <c r="A79" s="1"/>
      <c r="B79" s="1"/>
      <c r="C79" s="1"/>
      <c r="D79" s="1"/>
      <c r="E79" s="1"/>
      <c r="F79" s="1"/>
    </row>
    <row r="80" spans="1:6">
      <c r="A80" s="1"/>
      <c r="B80" s="1"/>
      <c r="C80" s="1"/>
      <c r="D80" s="1"/>
      <c r="E80" s="1"/>
      <c r="F80" s="1"/>
    </row>
    <row r="81" spans="1:6">
      <c r="A81" s="1"/>
      <c r="B81" s="1"/>
      <c r="C81" s="1"/>
      <c r="D81" s="1"/>
      <c r="E81" s="1"/>
      <c r="F81" s="1"/>
    </row>
    <row r="82" spans="1:6">
      <c r="A82" s="1"/>
      <c r="B82" s="1"/>
      <c r="C82" s="1"/>
      <c r="D82" s="1"/>
      <c r="E82" s="1"/>
      <c r="F82" s="1"/>
    </row>
    <row r="83" spans="1:6">
      <c r="A83" s="1"/>
      <c r="B83" s="1"/>
      <c r="C83" s="1"/>
      <c r="D83" s="1"/>
      <c r="E83" s="1"/>
      <c r="F83" s="1"/>
    </row>
    <row r="84" spans="1:6">
      <c r="A84" s="1"/>
      <c r="B84" s="1"/>
      <c r="C84" s="1"/>
      <c r="D84" s="1"/>
      <c r="E84" s="1"/>
      <c r="F84" s="1"/>
    </row>
    <row r="85" spans="1:6">
      <c r="A85" s="1"/>
      <c r="B85" s="1"/>
      <c r="C85" s="1"/>
      <c r="D85" s="1"/>
      <c r="E85" s="1"/>
      <c r="F85" s="1"/>
    </row>
    <row r="86" spans="1:6">
      <c r="A86" s="1"/>
      <c r="B86" s="1"/>
      <c r="C86" s="1"/>
      <c r="D86" s="1"/>
      <c r="E86" s="1"/>
      <c r="F86" s="1"/>
    </row>
    <row r="87" spans="1:6">
      <c r="A87" s="1"/>
      <c r="B87" s="1"/>
      <c r="C87" s="1"/>
      <c r="D87" s="1"/>
      <c r="E87" s="1"/>
      <c r="F87" s="1"/>
    </row>
    <row r="88" spans="1:6">
      <c r="A88" s="1"/>
      <c r="B88" s="1"/>
      <c r="C88" s="1"/>
      <c r="D88" s="1"/>
      <c r="E88" s="1"/>
      <c r="F88" s="1"/>
    </row>
    <row r="89" spans="1:6">
      <c r="A89" s="1"/>
      <c r="B89" s="1"/>
      <c r="C89" s="1"/>
      <c r="D89" s="1"/>
      <c r="E89" s="1"/>
      <c r="F89" s="1"/>
    </row>
    <row r="90" spans="1:6">
      <c r="A90" s="1"/>
      <c r="B90" s="1"/>
      <c r="C90" s="1"/>
      <c r="D90" s="1"/>
      <c r="E90" s="1"/>
      <c r="F90" s="1"/>
    </row>
    <row r="91" spans="1:6">
      <c r="A91" s="1"/>
      <c r="B91" s="1"/>
      <c r="C91" s="1"/>
      <c r="D91" s="1"/>
      <c r="E91" s="1"/>
      <c r="F91" s="1"/>
    </row>
    <row r="92" spans="1:6">
      <c r="A92" s="1"/>
      <c r="B92" s="1"/>
      <c r="C92" s="1"/>
      <c r="D92" s="1"/>
      <c r="E92" s="1"/>
      <c r="F92" s="1"/>
    </row>
    <row r="93" spans="1:6">
      <c r="A93" s="1"/>
      <c r="B93" s="1"/>
      <c r="C93" s="1"/>
      <c r="D93" s="1"/>
      <c r="E93" s="1"/>
      <c r="F93" s="1"/>
    </row>
    <row r="94" spans="1:6">
      <c r="A94" s="1"/>
      <c r="B94" s="1"/>
      <c r="C94" s="1"/>
      <c r="D94" s="1"/>
      <c r="E94" s="1"/>
      <c r="F94" s="1"/>
    </row>
    <row r="95" spans="1:6">
      <c r="A95" s="1"/>
      <c r="B95" s="1"/>
      <c r="C95" s="1"/>
      <c r="D95" s="1"/>
      <c r="E95" s="1"/>
      <c r="F95" s="1"/>
    </row>
    <row r="96" spans="1:6">
      <c r="A96" s="1"/>
      <c r="B96" s="1"/>
      <c r="C96" s="1"/>
      <c r="D96" s="1"/>
      <c r="E96" s="1"/>
      <c r="F96" s="1"/>
    </row>
    <row r="97" spans="1:6">
      <c r="A97" s="1"/>
      <c r="B97" s="1"/>
      <c r="C97" s="1"/>
      <c r="D97" s="1"/>
      <c r="E97" s="1"/>
      <c r="F97" s="1"/>
    </row>
    <row r="98" spans="1:6">
      <c r="A98" s="1"/>
      <c r="B98" s="1"/>
      <c r="C98" s="1"/>
      <c r="D98" s="1"/>
      <c r="E98" s="1"/>
      <c r="F98" s="1"/>
    </row>
    <row r="99" spans="1:6">
      <c r="A99" s="1"/>
      <c r="B99" s="1"/>
      <c r="C99" s="1"/>
      <c r="D99" s="1"/>
      <c r="E99" s="1"/>
      <c r="F99" s="1"/>
    </row>
    <row r="100" spans="1:6">
      <c r="A100" s="1"/>
      <c r="B100" s="1"/>
      <c r="C100" s="1"/>
      <c r="D100" s="1"/>
      <c r="E100" s="1"/>
      <c r="F100" s="1"/>
    </row>
    <row r="101" spans="1:6">
      <c r="A101" s="1"/>
      <c r="B101" s="1"/>
      <c r="C101" s="1"/>
      <c r="D101" s="1"/>
      <c r="E101" s="1"/>
      <c r="F101" s="1"/>
    </row>
    <row r="102" spans="1:6">
      <c r="A102" s="1"/>
      <c r="B102" s="1"/>
      <c r="C102" s="1"/>
      <c r="D102" s="1"/>
      <c r="E102" s="1"/>
      <c r="F102" s="1"/>
    </row>
    <row r="103" spans="1:6">
      <c r="A103" s="1"/>
      <c r="B103" s="1"/>
      <c r="C103" s="1"/>
      <c r="D103" s="1"/>
      <c r="E103" s="1"/>
      <c r="F103" s="1"/>
    </row>
    <row r="104" spans="1:6">
      <c r="A104" s="1"/>
      <c r="B104" s="1"/>
      <c r="C104" s="1"/>
      <c r="D104" s="1"/>
      <c r="E104" s="1"/>
      <c r="F104" s="1"/>
    </row>
    <row r="105" spans="1:6">
      <c r="A105" s="1"/>
      <c r="B105" s="1"/>
      <c r="C105" s="1"/>
      <c r="D105" s="1"/>
      <c r="E105" s="1"/>
      <c r="F105" s="1"/>
    </row>
    <row r="106" spans="1:6">
      <c r="A106" s="1"/>
      <c r="B106" s="1"/>
      <c r="C106" s="1"/>
      <c r="D106" s="1"/>
      <c r="E106" s="1"/>
      <c r="F106" s="1"/>
    </row>
    <row r="107" spans="1:6">
      <c r="A107" s="1"/>
      <c r="B107" s="1"/>
      <c r="C107" s="1"/>
      <c r="D107" s="1"/>
      <c r="E107" s="1"/>
      <c r="F107" s="1"/>
    </row>
    <row r="108" spans="1:6">
      <c r="A108" s="1"/>
      <c r="B108" s="1"/>
      <c r="C108" s="1"/>
      <c r="D108" s="1"/>
      <c r="E108" s="1"/>
      <c r="F108" s="1"/>
    </row>
    <row r="109" spans="1:6">
      <c r="A109" s="1"/>
      <c r="B109" s="1"/>
      <c r="C109" s="1"/>
      <c r="D109" s="1"/>
      <c r="E109" s="1"/>
      <c r="F109" s="1"/>
    </row>
    <row r="110" spans="1:6">
      <c r="A110" s="1"/>
      <c r="B110" s="1"/>
      <c r="C110" s="1"/>
      <c r="D110" s="1"/>
      <c r="E110" s="1"/>
      <c r="F110" s="1"/>
    </row>
    <row r="111" spans="1:6">
      <c r="A111" s="1"/>
      <c r="B111" s="1"/>
      <c r="C111" s="1"/>
      <c r="D111" s="1"/>
      <c r="E111" s="1"/>
      <c r="F111" s="1"/>
    </row>
    <row r="112" spans="1:6">
      <c r="A112" s="1"/>
      <c r="B112" s="1"/>
      <c r="C112" s="1"/>
      <c r="D112" s="1"/>
      <c r="E112" s="1"/>
      <c r="F112" s="1"/>
    </row>
    <row r="113" spans="1:6">
      <c r="A113" s="1"/>
      <c r="B113" s="1"/>
      <c r="C113" s="1"/>
      <c r="D113" s="1"/>
      <c r="E113" s="1"/>
      <c r="F113" s="1"/>
    </row>
    <row r="114" spans="1:6">
      <c r="A114" s="1"/>
      <c r="B114" s="1"/>
      <c r="C114" s="1"/>
      <c r="D114" s="1"/>
      <c r="E114" s="1"/>
      <c r="F114" s="1"/>
    </row>
    <row r="115" spans="1:6">
      <c r="A115" s="1"/>
      <c r="B115" s="1"/>
      <c r="C115" s="1"/>
      <c r="D115" s="1"/>
      <c r="E115" s="1"/>
      <c r="F115" s="1"/>
    </row>
    <row r="116" spans="1:6">
      <c r="A116" s="1"/>
      <c r="B116" s="1"/>
      <c r="C116" s="1"/>
      <c r="D116" s="1"/>
      <c r="E116" s="1"/>
      <c r="F116" s="1"/>
    </row>
    <row r="117" spans="1:6">
      <c r="A117" s="1"/>
      <c r="B117" s="1"/>
      <c r="C117" s="1"/>
      <c r="D117" s="1"/>
      <c r="E117" s="1"/>
      <c r="F117" s="1"/>
    </row>
    <row r="118" spans="1:6">
      <c r="A118" s="1"/>
      <c r="B118" s="1"/>
      <c r="C118" s="1"/>
      <c r="D118" s="1"/>
      <c r="E118" s="1"/>
      <c r="F118" s="1"/>
    </row>
    <row r="119" spans="1:6">
      <c r="A119" s="1"/>
      <c r="B119" s="1"/>
      <c r="C119" s="1"/>
      <c r="D119" s="1"/>
      <c r="E119" s="1"/>
      <c r="F119" s="1"/>
    </row>
    <row r="120" spans="1:6">
      <c r="A120" s="1"/>
      <c r="B120" s="1"/>
      <c r="C120" s="1"/>
      <c r="D120" s="1"/>
      <c r="E120" s="1"/>
      <c r="F120" s="1"/>
    </row>
    <row r="121" spans="1:6">
      <c r="A121" s="1"/>
      <c r="B121" s="1"/>
      <c r="C121" s="1"/>
      <c r="D121" s="1"/>
      <c r="E121" s="1"/>
      <c r="F121" s="1"/>
    </row>
    <row r="122" spans="1:6">
      <c r="A122" s="1"/>
      <c r="B122" s="1"/>
      <c r="C122" s="1"/>
      <c r="D122" s="1"/>
      <c r="E122" s="1"/>
      <c r="F122" s="1"/>
    </row>
    <row r="123" spans="1:6">
      <c r="A123" s="1"/>
      <c r="B123" s="1"/>
      <c r="C123" s="1"/>
      <c r="D123" s="1"/>
      <c r="E123" s="1"/>
      <c r="F123" s="1"/>
    </row>
    <row r="124" spans="1:6">
      <c r="A124" s="1"/>
      <c r="B124" s="1"/>
      <c r="C124" s="1"/>
      <c r="D124" s="1"/>
      <c r="E124" s="1"/>
      <c r="F124" s="1"/>
    </row>
    <row r="125" spans="1:6">
      <c r="A125" s="1"/>
      <c r="B125" s="1"/>
      <c r="C125" s="1"/>
      <c r="D125" s="1"/>
      <c r="E125" s="1"/>
      <c r="F125" s="1"/>
    </row>
    <row r="126" spans="1:6">
      <c r="A126" s="1"/>
      <c r="B126" s="1"/>
      <c r="C126" s="1"/>
      <c r="D126" s="1"/>
      <c r="E126" s="1"/>
      <c r="F126" s="1"/>
    </row>
    <row r="127" spans="1:6">
      <c r="A127" s="1"/>
      <c r="B127" s="1"/>
      <c r="C127" s="1"/>
      <c r="D127" s="1"/>
      <c r="E127" s="1"/>
      <c r="F127" s="1"/>
    </row>
    <row r="128" spans="1:6">
      <c r="A128" s="1"/>
      <c r="B128" s="1"/>
      <c r="C128" s="1"/>
      <c r="D128" s="1"/>
      <c r="E128" s="1"/>
      <c r="F128" s="1"/>
    </row>
    <row r="129" spans="1:6">
      <c r="A129" s="1"/>
      <c r="B129" s="1"/>
      <c r="C129" s="1"/>
      <c r="D129" s="1"/>
      <c r="E129" s="1"/>
      <c r="F129" s="1"/>
    </row>
    <row r="130" spans="1:6">
      <c r="A130" s="1"/>
      <c r="B130" s="1"/>
      <c r="C130" s="1"/>
      <c r="D130" s="1"/>
      <c r="E130" s="1"/>
      <c r="F130" s="1"/>
    </row>
    <row r="131" spans="1:6">
      <c r="A131" s="1"/>
      <c r="B131" s="1"/>
      <c r="C131" s="1"/>
      <c r="D131" s="1"/>
      <c r="E131" s="1"/>
      <c r="F131" s="1"/>
    </row>
    <row r="132" spans="1:6">
      <c r="A132" s="1"/>
      <c r="B132" s="1"/>
      <c r="C132" s="1"/>
      <c r="D132" s="1"/>
      <c r="E132" s="1"/>
      <c r="F132" s="1"/>
    </row>
    <row r="133" spans="1:6">
      <c r="A133" s="1"/>
      <c r="B133" s="1"/>
      <c r="C133" s="1"/>
      <c r="D133" s="1"/>
      <c r="E133" s="1"/>
      <c r="F133" s="1"/>
    </row>
    <row r="134" spans="1:6">
      <c r="A134" s="1"/>
      <c r="B134" s="1"/>
      <c r="C134" s="1"/>
      <c r="D134" s="1"/>
      <c r="E134" s="1"/>
      <c r="F134" s="1"/>
    </row>
    <row r="135" spans="1:6">
      <c r="A135" s="1"/>
      <c r="B135" s="1"/>
      <c r="C135" s="1"/>
      <c r="D135" s="1"/>
      <c r="E135" s="1"/>
      <c r="F135" s="1"/>
    </row>
    <row r="136" spans="1:6">
      <c r="A136" s="1"/>
      <c r="B136" s="1"/>
      <c r="C136" s="1"/>
      <c r="D136" s="1"/>
      <c r="E136" s="1"/>
      <c r="F136" s="1"/>
    </row>
    <row r="137" spans="1:6">
      <c r="A137" s="1"/>
      <c r="B137" s="1"/>
      <c r="C137" s="1"/>
      <c r="D137" s="1"/>
      <c r="E137" s="1"/>
      <c r="F137" s="1"/>
    </row>
    <row r="138" spans="1:6">
      <c r="A138" s="1"/>
      <c r="B138" s="1"/>
      <c r="C138" s="1"/>
      <c r="D138" s="1"/>
      <c r="E138" s="1"/>
      <c r="F138" s="1"/>
    </row>
    <row r="139" spans="1:6">
      <c r="A139" s="1"/>
      <c r="B139" s="1"/>
      <c r="C139" s="1"/>
      <c r="D139" s="1"/>
      <c r="E139" s="1"/>
      <c r="F139" s="1"/>
    </row>
    <row r="140" spans="1:6">
      <c r="A140" s="1"/>
      <c r="B140" s="1"/>
      <c r="C140" s="1"/>
      <c r="D140" s="1"/>
      <c r="E140" s="1"/>
      <c r="F140" s="1"/>
    </row>
    <row r="141" spans="1:6">
      <c r="A141" s="1"/>
      <c r="B141" s="1"/>
      <c r="C141" s="1"/>
      <c r="D141" s="1"/>
      <c r="E141" s="1"/>
      <c r="F141" s="1"/>
    </row>
    <row r="142" spans="1:6">
      <c r="A142" s="1"/>
      <c r="B142" s="1"/>
      <c r="C142" s="1"/>
      <c r="D142" s="1"/>
      <c r="E142" s="1"/>
      <c r="F142" s="1"/>
    </row>
    <row r="143" spans="1:6">
      <c r="A143" s="1"/>
      <c r="B143" s="1"/>
      <c r="C143" s="1"/>
      <c r="D143" s="1"/>
      <c r="E143" s="1"/>
      <c r="F143" s="1"/>
    </row>
    <row r="144" spans="1:6">
      <c r="A144" s="1"/>
      <c r="B144" s="1"/>
      <c r="C144" s="1"/>
      <c r="D144" s="1"/>
      <c r="E144" s="1"/>
      <c r="F144" s="1"/>
    </row>
    <row r="145" spans="1:6">
      <c r="A145" s="1"/>
      <c r="B145" s="1"/>
      <c r="C145" s="1"/>
      <c r="D145" s="1"/>
      <c r="E145" s="1"/>
      <c r="F145" s="1"/>
    </row>
    <row r="146" spans="1:6">
      <c r="A146" s="1"/>
      <c r="B146" s="1"/>
      <c r="C146" s="1"/>
      <c r="D146" s="1"/>
      <c r="E146" s="1"/>
      <c r="F146" s="1"/>
    </row>
    <row r="147" spans="1:6">
      <c r="A147" s="1"/>
      <c r="B147" s="1"/>
      <c r="C147" s="1"/>
      <c r="D147" s="1"/>
      <c r="E147" s="1"/>
      <c r="F147" s="1"/>
    </row>
    <row r="148" spans="1:6">
      <c r="A148" s="1"/>
      <c r="B148" s="1"/>
      <c r="C148" s="1"/>
      <c r="D148" s="1"/>
      <c r="E148" s="1"/>
      <c r="F148" s="1"/>
    </row>
    <row r="149" spans="1:6">
      <c r="A149" s="1"/>
      <c r="B149" s="1"/>
      <c r="C149" s="1"/>
      <c r="D149" s="1"/>
      <c r="E149" s="1"/>
      <c r="F149" s="1"/>
    </row>
    <row r="150" spans="1:6">
      <c r="A150" s="1"/>
      <c r="B150" s="1"/>
      <c r="C150" s="1"/>
      <c r="D150" s="1"/>
      <c r="E150" s="1"/>
      <c r="F150" s="1"/>
    </row>
    <row r="151" spans="1:6">
      <c r="A151" s="1"/>
      <c r="B151" s="1"/>
      <c r="C151" s="1"/>
      <c r="D151" s="1"/>
      <c r="E151" s="1"/>
      <c r="F151" s="1"/>
    </row>
    <row r="152" spans="1:6">
      <c r="A152" s="1"/>
      <c r="B152" s="1"/>
      <c r="C152" s="1"/>
      <c r="D152" s="1"/>
      <c r="E152" s="1"/>
      <c r="F152" s="1"/>
    </row>
    <row r="153" spans="1:6">
      <c r="A153" s="1"/>
      <c r="B153" s="1"/>
      <c r="C153" s="1"/>
      <c r="D153" s="1"/>
      <c r="E153" s="1"/>
      <c r="F153" s="1"/>
    </row>
    <row r="154" spans="1:6">
      <c r="A154" s="1"/>
      <c r="B154" s="1"/>
      <c r="C154" s="1"/>
      <c r="D154" s="1"/>
      <c r="E154" s="1"/>
      <c r="F154" s="1"/>
    </row>
    <row r="155" spans="1:6">
      <c r="A155" s="1"/>
      <c r="B155" s="1"/>
      <c r="C155" s="1"/>
      <c r="D155" s="1"/>
      <c r="E155" s="1"/>
      <c r="F155" s="1"/>
    </row>
    <row r="156" spans="1:6">
      <c r="A156" s="1"/>
      <c r="B156" s="1"/>
      <c r="C156" s="1"/>
      <c r="D156" s="1"/>
      <c r="E156" s="1"/>
      <c r="F156" s="1"/>
    </row>
    <row r="157" spans="1:6">
      <c r="A157" s="1"/>
      <c r="B157" s="1"/>
      <c r="C157" s="1"/>
      <c r="D157" s="1"/>
      <c r="E157" s="1"/>
      <c r="F157" s="1"/>
    </row>
    <row r="158" spans="1:6">
      <c r="A158" s="1"/>
      <c r="B158" s="1"/>
      <c r="C158" s="1"/>
      <c r="D158" s="1"/>
      <c r="E158" s="1"/>
      <c r="F158" s="1"/>
    </row>
    <row r="159" spans="1:6">
      <c r="A159" s="1"/>
      <c r="B159" s="1"/>
      <c r="C159" s="1"/>
      <c r="D159" s="1"/>
      <c r="E159" s="1"/>
      <c r="F159" s="1"/>
    </row>
    <row r="160" spans="1:6">
      <c r="A160" s="1"/>
      <c r="B160" s="1"/>
      <c r="C160" s="1"/>
      <c r="D160" s="1"/>
      <c r="E160" s="1"/>
      <c r="F160" s="1"/>
    </row>
    <row r="161" spans="1:6">
      <c r="A161" s="1"/>
      <c r="B161" s="1"/>
      <c r="C161" s="1"/>
      <c r="D161" s="1"/>
      <c r="E161" s="1"/>
      <c r="F161" s="1"/>
    </row>
    <row r="162" spans="1:6">
      <c r="A162" s="1"/>
      <c r="B162" s="1"/>
      <c r="C162" s="1"/>
      <c r="D162" s="1"/>
      <c r="E162" s="1"/>
      <c r="F162" s="1"/>
    </row>
    <row r="163" spans="1:6">
      <c r="A163" s="1"/>
      <c r="B163" s="1"/>
      <c r="C163" s="1"/>
      <c r="D163" s="1"/>
      <c r="E163" s="1"/>
      <c r="F163" s="1"/>
    </row>
    <row r="164" spans="1:6">
      <c r="A164" s="1"/>
      <c r="B164" s="1"/>
      <c r="C164" s="1"/>
      <c r="D164" s="1"/>
      <c r="E164" s="1"/>
      <c r="F164" s="1"/>
    </row>
    <row r="165" spans="1:6">
      <c r="A165" s="1"/>
      <c r="B165" s="1"/>
      <c r="C165" s="1"/>
      <c r="D165" s="1"/>
      <c r="E165" s="1"/>
      <c r="F165" s="1"/>
    </row>
    <row r="166" spans="1:6">
      <c r="A166" s="1"/>
      <c r="B166" s="1"/>
      <c r="C166" s="1"/>
      <c r="D166" s="1"/>
      <c r="E166" s="1"/>
      <c r="F166" s="1"/>
    </row>
    <row r="167" spans="1:6">
      <c r="A167" s="1"/>
      <c r="B167" s="1"/>
      <c r="C167" s="1"/>
      <c r="D167" s="1"/>
      <c r="E167" s="1"/>
      <c r="F167" s="1"/>
    </row>
    <row r="168" spans="1:6">
      <c r="A168" s="1"/>
      <c r="B168" s="1"/>
      <c r="C168" s="1"/>
      <c r="D168" s="1"/>
      <c r="E168" s="1"/>
      <c r="F168" s="1"/>
    </row>
    <row r="169" spans="1:6">
      <c r="A169" s="1"/>
      <c r="B169" s="1"/>
      <c r="C169" s="1"/>
      <c r="D169" s="1"/>
      <c r="E169" s="1"/>
      <c r="F169" s="1"/>
    </row>
    <row r="170" spans="1:6">
      <c r="A170" s="1"/>
      <c r="B170" s="1"/>
      <c r="C170" s="1"/>
      <c r="D170" s="1"/>
      <c r="E170" s="1"/>
      <c r="F170" s="1"/>
    </row>
    <row r="171" spans="1:6">
      <c r="A171" s="1"/>
      <c r="B171" s="1"/>
      <c r="C171" s="1"/>
      <c r="D171" s="1"/>
      <c r="E171" s="1"/>
      <c r="F171" s="1"/>
    </row>
    <row r="172" spans="1:6">
      <c r="A172" s="1"/>
      <c r="B172" s="1"/>
      <c r="C172" s="1"/>
      <c r="D172" s="1"/>
      <c r="E172" s="1"/>
      <c r="F172" s="1"/>
    </row>
    <row r="173" spans="1:6">
      <c r="A173" s="1"/>
      <c r="B173" s="1"/>
      <c r="C173" s="1"/>
      <c r="D173" s="1"/>
      <c r="E173" s="1"/>
      <c r="F173" s="1"/>
    </row>
    <row r="174" spans="1:6">
      <c r="A174" s="1"/>
      <c r="B174" s="1"/>
      <c r="C174" s="1"/>
      <c r="D174" s="1"/>
      <c r="E174" s="1"/>
      <c r="F174" s="1"/>
    </row>
    <row r="175" spans="1:6">
      <c r="A175" s="1"/>
      <c r="B175" s="1"/>
      <c r="C175" s="1"/>
      <c r="D175" s="1"/>
      <c r="E175" s="1"/>
      <c r="F175" s="1"/>
    </row>
    <row r="176" spans="1:6">
      <c r="A176" s="1"/>
      <c r="B176" s="1"/>
      <c r="C176" s="1"/>
      <c r="D176" s="1"/>
      <c r="E176" s="1"/>
      <c r="F176" s="1"/>
    </row>
    <row r="177" spans="1:6">
      <c r="A177" s="1"/>
      <c r="B177" s="1"/>
      <c r="C177" s="1"/>
      <c r="D177" s="1"/>
      <c r="E177" s="1"/>
      <c r="F177" s="1"/>
    </row>
    <row r="178" spans="1:6">
      <c r="A178" s="1"/>
      <c r="B178" s="1"/>
      <c r="C178" s="1"/>
      <c r="D178" s="1"/>
      <c r="E178" s="1"/>
      <c r="F178" s="1"/>
    </row>
    <row r="179" spans="1:6">
      <c r="A179" s="1"/>
      <c r="B179" s="1"/>
      <c r="C179" s="1"/>
      <c r="D179" s="1"/>
      <c r="E179" s="1"/>
      <c r="F179" s="1"/>
    </row>
    <row r="180" spans="1:6">
      <c r="A180" s="1"/>
      <c r="B180" s="1"/>
      <c r="C180" s="1"/>
      <c r="D180" s="1"/>
      <c r="E180" s="1"/>
      <c r="F180" s="1"/>
    </row>
    <row r="181" spans="1:6">
      <c r="A181" s="1"/>
      <c r="B181" s="1"/>
      <c r="C181" s="1"/>
      <c r="D181" s="1"/>
      <c r="E181" s="1"/>
      <c r="F181" s="1"/>
    </row>
    <row r="182" spans="1:6">
      <c r="A182" s="1"/>
      <c r="B182" s="1"/>
      <c r="C182" s="1"/>
      <c r="D182" s="1"/>
      <c r="E182" s="1"/>
      <c r="F182" s="1"/>
    </row>
    <row r="183" spans="1:6">
      <c r="A183" s="1"/>
      <c r="B183" s="1"/>
      <c r="C183" s="1"/>
      <c r="D183" s="1"/>
      <c r="E183" s="1"/>
      <c r="F183" s="1"/>
    </row>
    <row r="184" spans="1:6">
      <c r="A184" s="1"/>
      <c r="B184" s="1"/>
      <c r="C184" s="1"/>
      <c r="D184" s="1"/>
      <c r="E184" s="1"/>
      <c r="F184" s="1"/>
    </row>
    <row r="185" spans="1:6">
      <c r="A185" s="1"/>
      <c r="B185" s="1"/>
      <c r="C185" s="1"/>
      <c r="D185" s="1"/>
      <c r="E185" s="1"/>
      <c r="F185" s="1"/>
    </row>
    <row r="186" spans="1:6">
      <c r="A186" s="1"/>
      <c r="B186" s="1"/>
      <c r="C186" s="1"/>
      <c r="D186" s="1"/>
      <c r="E186" s="1"/>
      <c r="F186" s="1"/>
    </row>
    <row r="187" spans="1:6">
      <c r="A187" s="1"/>
      <c r="B187" s="1"/>
      <c r="C187" s="1"/>
      <c r="D187" s="1"/>
      <c r="E187" s="1"/>
      <c r="F187" s="1"/>
    </row>
    <row r="188" spans="1:6">
      <c r="A188" s="1"/>
      <c r="B188" s="1"/>
      <c r="C188" s="1"/>
      <c r="D188" s="1"/>
      <c r="E188" s="1"/>
      <c r="F188" s="1"/>
    </row>
    <row r="189" spans="1:6">
      <c r="A189" s="1"/>
      <c r="B189" s="1"/>
      <c r="C189" s="1"/>
      <c r="D189" s="1"/>
      <c r="E189" s="1"/>
      <c r="F189" s="1"/>
    </row>
    <row r="190" spans="1:6">
      <c r="A190" s="1"/>
      <c r="B190" s="1"/>
      <c r="C190" s="1"/>
      <c r="D190" s="1"/>
      <c r="E190" s="1"/>
      <c r="F190" s="1"/>
    </row>
    <row r="191" spans="1:6">
      <c r="A191" s="1"/>
      <c r="B191" s="1"/>
      <c r="C191" s="1"/>
      <c r="D191" s="1"/>
      <c r="E191" s="1"/>
      <c r="F191" s="1"/>
    </row>
    <row r="192" spans="1:6">
      <c r="A192" s="1"/>
      <c r="B192" s="1"/>
      <c r="C192" s="1"/>
      <c r="D192" s="1"/>
      <c r="E192" s="1"/>
      <c r="F192" s="1"/>
    </row>
    <row r="193" spans="1:6">
      <c r="A193" s="1"/>
      <c r="B193" s="1"/>
      <c r="C193" s="1"/>
      <c r="D193" s="1"/>
      <c r="E193" s="1"/>
      <c r="F193" s="1"/>
    </row>
    <row r="194" spans="1:6">
      <c r="A194" s="1"/>
      <c r="B194" s="1"/>
      <c r="C194" s="1"/>
      <c r="D194" s="1"/>
      <c r="E194" s="1"/>
      <c r="F194" s="1"/>
    </row>
    <row r="195" spans="1:6">
      <c r="A195" s="1"/>
      <c r="B195" s="1"/>
      <c r="C195" s="1"/>
      <c r="D195" s="1"/>
      <c r="E195" s="1"/>
      <c r="F195" s="1"/>
    </row>
    <row r="196" spans="1:6">
      <c r="A196" s="1"/>
      <c r="B196" s="1"/>
      <c r="C196" s="1"/>
      <c r="D196" s="1"/>
      <c r="E196" s="1"/>
      <c r="F196" s="1"/>
    </row>
    <row r="197" spans="1:6">
      <c r="A197" s="1"/>
      <c r="B197" s="1"/>
      <c r="C197" s="1"/>
      <c r="D197" s="1"/>
      <c r="E197" s="1"/>
      <c r="F197" s="1"/>
    </row>
    <row r="198" spans="1:6">
      <c r="A198" s="1"/>
      <c r="B198" s="1"/>
      <c r="C198" s="1"/>
      <c r="D198" s="1"/>
      <c r="E198" s="1"/>
      <c r="F198" s="1"/>
    </row>
    <row r="199" spans="1:6">
      <c r="A199" s="1"/>
      <c r="B199" s="1"/>
      <c r="C199" s="1"/>
      <c r="D199" s="1"/>
      <c r="E199" s="1"/>
      <c r="F199" s="1"/>
    </row>
    <row r="200" spans="1:6">
      <c r="A200" s="1"/>
      <c r="B200" s="1"/>
      <c r="C200" s="1"/>
      <c r="D200" s="1"/>
      <c r="E200" s="1"/>
      <c r="F200" s="1"/>
    </row>
    <row r="201" spans="1:6">
      <c r="A201" s="1"/>
      <c r="B201" s="1"/>
      <c r="C201" s="1"/>
      <c r="D201" s="1"/>
      <c r="E201" s="1"/>
      <c r="F201" s="1"/>
    </row>
    <row r="202" spans="1:6">
      <c r="A202" s="1"/>
      <c r="B202" s="1"/>
      <c r="C202" s="1"/>
      <c r="D202" s="1"/>
      <c r="E202" s="1"/>
      <c r="F202" s="1"/>
    </row>
    <row r="203" spans="1:6">
      <c r="A203" s="1"/>
      <c r="B203" s="1"/>
      <c r="C203" s="1"/>
      <c r="D203" s="1"/>
      <c r="E203" s="1"/>
      <c r="F203" s="1"/>
    </row>
    <row r="204" spans="1:6">
      <c r="A204" s="1"/>
      <c r="B204" s="1"/>
      <c r="C204" s="1"/>
      <c r="D204" s="1"/>
      <c r="E204" s="1"/>
      <c r="F204" s="1"/>
    </row>
    <row r="205" spans="1:6">
      <c r="A205" s="1"/>
      <c r="B205" s="1"/>
      <c r="C205" s="1"/>
      <c r="D205" s="1"/>
      <c r="E205" s="1"/>
      <c r="F205" s="1"/>
    </row>
    <row r="206" spans="1:6">
      <c r="A206" s="1"/>
      <c r="B206" s="1"/>
      <c r="C206" s="1"/>
      <c r="D206" s="1"/>
      <c r="E206" s="1"/>
      <c r="F206" s="1"/>
    </row>
    <row r="207" spans="1:6">
      <c r="A207" s="1"/>
      <c r="B207" s="1"/>
      <c r="C207" s="1"/>
      <c r="D207" s="1"/>
      <c r="E207" s="1"/>
      <c r="F207" s="1"/>
    </row>
    <row r="208" spans="1:6">
      <c r="A208" s="1"/>
      <c r="B208" s="1"/>
      <c r="C208" s="1"/>
      <c r="D208" s="1"/>
      <c r="E208" s="1"/>
      <c r="F208" s="1"/>
    </row>
    <row r="209" spans="1:6">
      <c r="A209" s="1"/>
      <c r="B209" s="1"/>
      <c r="C209" s="1"/>
      <c r="D209" s="1"/>
      <c r="E209" s="1"/>
      <c r="F209" s="1"/>
    </row>
    <row r="210" spans="1:6">
      <c r="A210" s="1"/>
      <c r="B210" s="1"/>
      <c r="C210" s="1"/>
      <c r="D210" s="1"/>
      <c r="E210" s="1"/>
      <c r="F210" s="1"/>
    </row>
    <row r="211" spans="1:6">
      <c r="A211" s="1"/>
      <c r="B211" s="1"/>
      <c r="C211" s="1"/>
      <c r="D211" s="1"/>
      <c r="E211" s="1"/>
      <c r="F211" s="1"/>
    </row>
    <row r="212" spans="1:6">
      <c r="A212" s="1"/>
      <c r="B212" s="1"/>
      <c r="C212" s="1"/>
      <c r="D212" s="1"/>
      <c r="E212" s="1"/>
      <c r="F212" s="1"/>
    </row>
    <row r="213" spans="1:6">
      <c r="A213" s="1"/>
      <c r="B213" s="1"/>
      <c r="C213" s="1"/>
      <c r="D213" s="1"/>
      <c r="E213" s="1"/>
      <c r="F213" s="1"/>
    </row>
    <row r="214" spans="1:6">
      <c r="A214" s="1"/>
      <c r="B214" s="1"/>
      <c r="C214" s="1"/>
      <c r="D214" s="1"/>
      <c r="E214" s="1"/>
      <c r="F214" s="1"/>
    </row>
    <row r="215" spans="1:6">
      <c r="A215" s="1"/>
      <c r="B215" s="1"/>
      <c r="C215" s="1"/>
      <c r="D215" s="1"/>
      <c r="E215" s="1"/>
      <c r="F215" s="1"/>
    </row>
    <row r="216" spans="1:6">
      <c r="A216" s="1"/>
      <c r="B216" s="1"/>
      <c r="C216" s="1"/>
      <c r="D216" s="1"/>
      <c r="E216" s="1"/>
      <c r="F216" s="1"/>
    </row>
    <row r="217" spans="1:6">
      <c r="A217" s="1"/>
      <c r="B217" s="1"/>
      <c r="C217" s="1"/>
      <c r="D217" s="1"/>
      <c r="E217" s="1"/>
      <c r="F217" s="1"/>
    </row>
    <row r="218" spans="1:6">
      <c r="A218" s="1"/>
      <c r="B218" s="1"/>
      <c r="C218" s="1"/>
      <c r="D218" s="1"/>
      <c r="E218" s="1"/>
      <c r="F218" s="1"/>
    </row>
    <row r="219" spans="1:6">
      <c r="A219" s="1"/>
      <c r="B219" s="1"/>
      <c r="C219" s="1"/>
      <c r="D219" s="1"/>
      <c r="E219" s="1"/>
      <c r="F219" s="1"/>
    </row>
    <row r="220" spans="1:6">
      <c r="A220" s="1"/>
      <c r="B220" s="1"/>
      <c r="C220" s="1"/>
      <c r="D220" s="1"/>
      <c r="E220" s="1"/>
      <c r="F220" s="1"/>
    </row>
    <row r="221" spans="1:6">
      <c r="A221" s="1"/>
      <c r="B221" s="1"/>
      <c r="C221" s="1"/>
      <c r="D221" s="1"/>
      <c r="E221" s="1"/>
      <c r="F221" s="1"/>
    </row>
    <row r="222" spans="1:6">
      <c r="A222" s="1"/>
      <c r="B222" s="1"/>
      <c r="C222" s="1"/>
      <c r="D222" s="1"/>
      <c r="E222" s="1"/>
      <c r="F222" s="1"/>
    </row>
    <row r="223" spans="1:6">
      <c r="A223" s="1"/>
      <c r="B223" s="1"/>
      <c r="C223" s="1"/>
      <c r="D223" s="1"/>
      <c r="E223" s="1"/>
      <c r="F223" s="1"/>
    </row>
    <row r="224" spans="1:6">
      <c r="A224" s="1"/>
      <c r="B224" s="1"/>
      <c r="C224" s="1"/>
      <c r="D224" s="1"/>
      <c r="E224" s="1"/>
      <c r="F224" s="1"/>
    </row>
    <row r="225" spans="1:6">
      <c r="A225" s="1"/>
      <c r="B225" s="1"/>
      <c r="C225" s="1"/>
      <c r="D225" s="1"/>
      <c r="E225" s="1"/>
      <c r="F225" s="1"/>
    </row>
    <row r="226" spans="1:6">
      <c r="A226" s="1"/>
      <c r="B226" s="1"/>
      <c r="C226" s="1"/>
      <c r="D226" s="1"/>
      <c r="E226" s="1"/>
      <c r="F226" s="1"/>
    </row>
    <row r="227" spans="1:6">
      <c r="A227" s="1"/>
      <c r="B227" s="1"/>
      <c r="C227" s="1"/>
      <c r="D227" s="1"/>
      <c r="E227" s="1"/>
      <c r="F227" s="1"/>
    </row>
    <row r="228" spans="1:6">
      <c r="A228" s="1"/>
      <c r="B228" s="1"/>
      <c r="C228" s="1"/>
      <c r="D228" s="1"/>
      <c r="E228" s="1"/>
      <c r="F228" s="1"/>
    </row>
    <row r="229" spans="1:6">
      <c r="A229" s="1"/>
      <c r="B229" s="1"/>
      <c r="C229" s="1"/>
      <c r="D229" s="1"/>
      <c r="E229" s="1"/>
      <c r="F229" s="1"/>
    </row>
    <row r="230" spans="1:6">
      <c r="A230" s="1"/>
      <c r="B230" s="1"/>
      <c r="C230" s="1"/>
      <c r="D230" s="1"/>
      <c r="E230" s="1"/>
      <c r="F230" s="1"/>
    </row>
    <row r="231" spans="1:6">
      <c r="A231" s="1"/>
      <c r="B231" s="1"/>
      <c r="C231" s="1"/>
      <c r="D231" s="1"/>
      <c r="E231" s="1"/>
      <c r="F231" s="1"/>
    </row>
    <row r="232" spans="1:6">
      <c r="A232" s="1"/>
      <c r="B232" s="1"/>
      <c r="C232" s="1"/>
      <c r="D232" s="1"/>
      <c r="E232" s="1"/>
      <c r="F232" s="1"/>
    </row>
    <row r="233" spans="1:6">
      <c r="A233" s="1"/>
      <c r="B233" s="1"/>
      <c r="C233" s="1"/>
      <c r="D233" s="1"/>
      <c r="E233" s="1"/>
      <c r="F233" s="1"/>
    </row>
    <row r="234" spans="1:6">
      <c r="A234" s="1"/>
      <c r="B234" s="1"/>
      <c r="C234" s="1"/>
      <c r="D234" s="1"/>
      <c r="E234" s="1"/>
      <c r="F234" s="1"/>
    </row>
    <row r="235" spans="1:6">
      <c r="A235" s="1"/>
      <c r="B235" s="1"/>
      <c r="C235" s="1"/>
      <c r="D235" s="1"/>
      <c r="E235" s="1"/>
      <c r="F235" s="1"/>
    </row>
    <row r="236" spans="1:6">
      <c r="A236" s="1"/>
      <c r="B236" s="1"/>
      <c r="C236" s="1"/>
      <c r="D236" s="1"/>
      <c r="E236" s="1"/>
      <c r="F236" s="1"/>
    </row>
    <row r="237" spans="1:6">
      <c r="A237" s="1"/>
      <c r="B237" s="1"/>
      <c r="C237" s="1"/>
      <c r="D237" s="1"/>
      <c r="E237" s="1"/>
      <c r="F237" s="1"/>
    </row>
    <row r="238" spans="1:6">
      <c r="A238" s="1"/>
      <c r="B238" s="1"/>
      <c r="C238" s="1"/>
      <c r="D238" s="1"/>
      <c r="E238" s="1"/>
      <c r="F238" s="1"/>
    </row>
    <row r="239" spans="1:6">
      <c r="A239" s="1"/>
      <c r="B239" s="1"/>
      <c r="C239" s="1"/>
      <c r="D239" s="1"/>
      <c r="E239" s="1"/>
      <c r="F239" s="1"/>
    </row>
    <row r="240" spans="1:6">
      <c r="A240" s="1"/>
      <c r="B240" s="1"/>
      <c r="C240" s="1"/>
      <c r="D240" s="1"/>
      <c r="E240" s="1"/>
      <c r="F240" s="1"/>
    </row>
    <row r="241" spans="1:6">
      <c r="A241" s="1"/>
      <c r="B241" s="1"/>
      <c r="C241" s="1"/>
      <c r="D241" s="1"/>
      <c r="E241" s="1"/>
      <c r="F241" s="1"/>
    </row>
    <row r="242" spans="1:6">
      <c r="A242" s="1"/>
      <c r="B242" s="1"/>
      <c r="C242" s="1"/>
      <c r="D242" s="1"/>
      <c r="E242" s="1"/>
      <c r="F242" s="1"/>
    </row>
    <row r="243" spans="1:6">
      <c r="A243" s="1"/>
      <c r="B243" s="1"/>
      <c r="C243" s="1"/>
      <c r="D243" s="1"/>
      <c r="E243" s="1"/>
      <c r="F243" s="1"/>
    </row>
    <row r="244" spans="1:6">
      <c r="A244" s="1"/>
      <c r="B244" s="1"/>
      <c r="C244" s="1"/>
      <c r="D244" s="1"/>
      <c r="E244" s="1"/>
      <c r="F244" s="1"/>
    </row>
    <row r="245" spans="1:6">
      <c r="A245" s="1"/>
      <c r="B245" s="1"/>
      <c r="C245" s="1"/>
      <c r="D245" s="1"/>
      <c r="E245" s="1"/>
      <c r="F245" s="1"/>
    </row>
    <row r="246" spans="1:6">
      <c r="A246" s="1"/>
      <c r="B246" s="1"/>
      <c r="C246" s="1"/>
      <c r="D246" s="1"/>
      <c r="E246" s="1"/>
      <c r="F246" s="1"/>
    </row>
    <row r="247" spans="1:6">
      <c r="A247" s="1"/>
      <c r="B247" s="1"/>
      <c r="C247" s="1"/>
      <c r="D247" s="1"/>
      <c r="E247" s="1"/>
      <c r="F247" s="1"/>
    </row>
    <row r="248" spans="1:6">
      <c r="A248" s="1"/>
      <c r="B248" s="1"/>
      <c r="C248" s="1"/>
      <c r="D248" s="1"/>
      <c r="E248" s="1"/>
      <c r="F248" s="1"/>
    </row>
    <row r="249" spans="1:6">
      <c r="A249" s="1"/>
      <c r="B249" s="1"/>
      <c r="C249" s="1"/>
      <c r="D249" s="1"/>
      <c r="E249" s="1"/>
      <c r="F249" s="1"/>
    </row>
    <row r="250" spans="1:6">
      <c r="A250" s="1"/>
      <c r="B250" s="1"/>
      <c r="C250" s="1"/>
      <c r="D250" s="1"/>
      <c r="E250" s="1"/>
      <c r="F250" s="1"/>
    </row>
    <row r="251" spans="1:6">
      <c r="A251" s="1"/>
      <c r="B251" s="1"/>
      <c r="C251" s="1"/>
      <c r="D251" s="1"/>
      <c r="E251" s="1"/>
      <c r="F251" s="1"/>
    </row>
    <row r="252" spans="1:6">
      <c r="A252" s="1"/>
      <c r="B252" s="1"/>
      <c r="C252" s="1"/>
      <c r="D252" s="1"/>
      <c r="E252" s="1"/>
      <c r="F252" s="1"/>
    </row>
    <row r="253" spans="1:6">
      <c r="A253" s="1"/>
      <c r="B253" s="1"/>
      <c r="C253" s="1"/>
      <c r="D253" s="1"/>
      <c r="E253" s="1"/>
      <c r="F253" s="1"/>
    </row>
    <row r="254" spans="1:6">
      <c r="A254" s="1"/>
      <c r="B254" s="1"/>
      <c r="C254" s="1"/>
      <c r="D254" s="1"/>
      <c r="E254" s="1"/>
      <c r="F254" s="1"/>
    </row>
    <row r="255" spans="1:6">
      <c r="A255" s="1"/>
      <c r="B255" s="1"/>
      <c r="C255" s="1"/>
      <c r="D255" s="1"/>
      <c r="E255" s="1"/>
      <c r="F255" s="1"/>
    </row>
    <row r="256" spans="1:6">
      <c r="A256" s="1"/>
      <c r="B256" s="1"/>
      <c r="C256" s="1"/>
      <c r="D256" s="1"/>
      <c r="E256" s="1"/>
      <c r="F256" s="1"/>
    </row>
    <row r="257" spans="1:6">
      <c r="A257" s="1"/>
      <c r="B257" s="1"/>
      <c r="C257" s="1"/>
      <c r="D257" s="1"/>
      <c r="E257" s="1"/>
      <c r="F257" s="1"/>
    </row>
    <row r="258" spans="1:6">
      <c r="A258" s="1"/>
      <c r="B258" s="1"/>
      <c r="C258" s="1"/>
      <c r="D258" s="1"/>
      <c r="E258" s="1"/>
      <c r="F258" s="1"/>
    </row>
    <row r="259" spans="1:6">
      <c r="A259" s="1"/>
      <c r="B259" s="1"/>
      <c r="C259" s="1"/>
      <c r="D259" s="1"/>
      <c r="E259" s="1"/>
      <c r="F259" s="1"/>
    </row>
    <row r="260" spans="1:6">
      <c r="A260" s="1"/>
      <c r="B260" s="1"/>
      <c r="C260" s="1"/>
      <c r="D260" s="1"/>
      <c r="E260" s="1"/>
      <c r="F260" s="1"/>
    </row>
    <row r="261" spans="1:6">
      <c r="A261" s="1"/>
      <c r="B261" s="1"/>
      <c r="C261" s="1"/>
      <c r="D261" s="1"/>
      <c r="E261" s="1"/>
      <c r="F261" s="1"/>
    </row>
    <row r="262" spans="1:6">
      <c r="A262" s="1"/>
      <c r="B262" s="1"/>
      <c r="C262" s="1"/>
      <c r="D262" s="1"/>
      <c r="E262" s="1"/>
      <c r="F262" s="1"/>
    </row>
    <row r="263" spans="1:6">
      <c r="A263" s="1"/>
      <c r="B263" s="1"/>
      <c r="C263" s="1"/>
      <c r="D263" s="1"/>
      <c r="E263" s="1"/>
      <c r="F263" s="1"/>
    </row>
    <row r="264" spans="1:6">
      <c r="A264" s="1"/>
      <c r="B264" s="1"/>
      <c r="C264" s="1"/>
      <c r="D264" s="1"/>
      <c r="E264" s="1"/>
      <c r="F264" s="1"/>
    </row>
    <row r="265" spans="1:6">
      <c r="A265" s="1"/>
      <c r="B265" s="1"/>
      <c r="C265" s="1"/>
      <c r="D265" s="1"/>
      <c r="E265" s="1"/>
      <c r="F265" s="1"/>
    </row>
    <row r="266" spans="1:6">
      <c r="A266" s="1"/>
      <c r="B266" s="1"/>
      <c r="C266" s="1"/>
      <c r="D266" s="1"/>
      <c r="E266" s="1"/>
      <c r="F266" s="1"/>
    </row>
    <row r="267" spans="1:6">
      <c r="A267" s="1"/>
      <c r="B267" s="1"/>
      <c r="C267" s="1"/>
      <c r="D267" s="1"/>
      <c r="E267" s="1"/>
      <c r="F267" s="1"/>
    </row>
    <row r="268" spans="1:6">
      <c r="A268" s="1"/>
      <c r="B268" s="1"/>
      <c r="C268" s="1"/>
      <c r="D268" s="1"/>
      <c r="E268" s="1"/>
      <c r="F268" s="1"/>
    </row>
    <row r="269" spans="1:6">
      <c r="A269" s="1"/>
      <c r="B269" s="1"/>
      <c r="C269" s="1"/>
      <c r="D269" s="1"/>
      <c r="E269" s="1"/>
      <c r="F269" s="1"/>
    </row>
    <row r="270" spans="1:6">
      <c r="A270" s="1"/>
      <c r="B270" s="1"/>
      <c r="C270" s="1"/>
      <c r="D270" s="1"/>
      <c r="E270" s="1"/>
      <c r="F270" s="1"/>
    </row>
    <row r="271" spans="1:6">
      <c r="A271" s="1"/>
      <c r="B271" s="1"/>
      <c r="C271" s="1"/>
      <c r="D271" s="1"/>
      <c r="E271" s="1"/>
      <c r="F271" s="1"/>
    </row>
    <row r="272" spans="1:6">
      <c r="A272" s="1"/>
      <c r="B272" s="1"/>
      <c r="C272" s="1"/>
      <c r="D272" s="1"/>
      <c r="E272" s="1"/>
      <c r="F272" s="1"/>
    </row>
    <row r="273" spans="1:6">
      <c r="A273" s="1"/>
      <c r="B273" s="1"/>
      <c r="C273" s="1"/>
      <c r="D273" s="1"/>
      <c r="E273" s="1"/>
      <c r="F273" s="1"/>
    </row>
    <row r="274" spans="1:6">
      <c r="A274" s="1"/>
      <c r="B274" s="1"/>
      <c r="C274" s="1"/>
      <c r="D274" s="1"/>
      <c r="E274" s="1"/>
      <c r="F274" s="1"/>
    </row>
    <row r="275" spans="1:6">
      <c r="A275" s="1"/>
      <c r="B275" s="1"/>
      <c r="C275" s="1"/>
      <c r="D275" s="1"/>
      <c r="E275" s="1"/>
      <c r="F275" s="1"/>
    </row>
    <row r="276" spans="1:6">
      <c r="A276" s="1"/>
      <c r="B276" s="1"/>
      <c r="C276" s="1"/>
      <c r="D276" s="1"/>
      <c r="E276" s="1"/>
      <c r="F276" s="1"/>
    </row>
    <row r="277" spans="1:6">
      <c r="A277" s="1"/>
      <c r="B277" s="1"/>
      <c r="C277" s="1"/>
      <c r="D277" s="1"/>
      <c r="E277" s="1"/>
      <c r="F277" s="1"/>
    </row>
    <row r="278" spans="1:6">
      <c r="A278" s="1"/>
      <c r="B278" s="1"/>
      <c r="C278" s="1"/>
      <c r="D278" s="1"/>
      <c r="E278" s="1"/>
      <c r="F278" s="1"/>
    </row>
    <row r="279" spans="1:6">
      <c r="A279" s="1"/>
      <c r="B279" s="1"/>
      <c r="C279" s="1"/>
      <c r="D279" s="1"/>
      <c r="E279" s="1"/>
      <c r="F279" s="1"/>
    </row>
    <row r="280" spans="1:6">
      <c r="A280" s="1"/>
      <c r="B280" s="1"/>
      <c r="C280" s="1"/>
      <c r="D280" s="1"/>
      <c r="E280" s="1"/>
      <c r="F280" s="1"/>
    </row>
    <row r="281" spans="1:6">
      <c r="A281" s="1"/>
      <c r="B281" s="1"/>
      <c r="C281" s="1"/>
      <c r="D281" s="1"/>
      <c r="E281" s="1"/>
      <c r="F281" s="1"/>
    </row>
    <row r="282" spans="1:6">
      <c r="A282" s="1"/>
      <c r="B282" s="1"/>
      <c r="C282" s="1"/>
      <c r="D282" s="1"/>
      <c r="E282" s="1"/>
      <c r="F282" s="1"/>
    </row>
    <row r="283" spans="1:6">
      <c r="A283" s="1"/>
      <c r="B283" s="1"/>
      <c r="C283" s="1"/>
      <c r="D283" s="1"/>
      <c r="E283" s="1"/>
      <c r="F283" s="1"/>
    </row>
    <row r="284" spans="1:6">
      <c r="A284" s="1"/>
      <c r="B284" s="1"/>
      <c r="C284" s="1"/>
      <c r="D284" s="1"/>
      <c r="E284" s="1"/>
      <c r="F284" s="1"/>
    </row>
    <row r="285" spans="1:6">
      <c r="A285" s="1"/>
      <c r="B285" s="1"/>
      <c r="C285" s="1"/>
      <c r="D285" s="1"/>
      <c r="E285" s="1"/>
      <c r="F285" s="1"/>
    </row>
    <row r="286" spans="1:6">
      <c r="A286" s="1"/>
      <c r="B286" s="1"/>
      <c r="C286" s="1"/>
      <c r="D286" s="1"/>
      <c r="E286" s="1"/>
      <c r="F286" s="1"/>
    </row>
    <row r="287" spans="1:6">
      <c r="A287" s="1"/>
      <c r="B287" s="1"/>
      <c r="C287" s="1"/>
      <c r="D287" s="1"/>
      <c r="E287" s="1"/>
      <c r="F287" s="1"/>
    </row>
    <row r="288" spans="1:6">
      <c r="A288" s="1"/>
      <c r="B288" s="1"/>
      <c r="C288" s="1"/>
      <c r="D288" s="1"/>
      <c r="E288" s="1"/>
      <c r="F288" s="1"/>
    </row>
    <row r="289" spans="1:6">
      <c r="A289" s="1"/>
      <c r="B289" s="1"/>
      <c r="C289" s="1"/>
      <c r="D289" s="1"/>
      <c r="E289" s="1"/>
      <c r="F289" s="1"/>
    </row>
    <row r="290" spans="1:6">
      <c r="A290" s="1"/>
      <c r="B290" s="1"/>
      <c r="C290" s="1"/>
      <c r="D290" s="1"/>
      <c r="E290" s="1"/>
      <c r="F290" s="1"/>
    </row>
    <row r="291" spans="1:6">
      <c r="A291" s="1"/>
      <c r="B291" s="1"/>
      <c r="C291" s="1"/>
      <c r="D291" s="1"/>
      <c r="E291" s="1"/>
      <c r="F291" s="1"/>
    </row>
    <row r="292" spans="1:6">
      <c r="A292" s="1"/>
      <c r="B292" s="1"/>
      <c r="C292" s="1"/>
      <c r="D292" s="1"/>
      <c r="E292" s="1"/>
      <c r="F292" s="1"/>
    </row>
    <row r="293" spans="1:6">
      <c r="A293" s="1"/>
      <c r="B293" s="1"/>
      <c r="C293" s="1"/>
      <c r="D293" s="1"/>
      <c r="E293" s="1"/>
      <c r="F293" s="1"/>
    </row>
    <row r="294" spans="1:6">
      <c r="A294" s="1"/>
      <c r="B294" s="1"/>
      <c r="C294" s="1"/>
      <c r="D294" s="1"/>
      <c r="E294" s="1"/>
      <c r="F294" s="1"/>
    </row>
    <row r="295" spans="1:6">
      <c r="A295" s="1"/>
      <c r="B295" s="1"/>
      <c r="C295" s="1"/>
      <c r="D295" s="1"/>
      <c r="E295" s="1"/>
      <c r="F295" s="1"/>
    </row>
    <row r="296" spans="1:6">
      <c r="A296" s="1"/>
      <c r="B296" s="1"/>
      <c r="C296" s="1"/>
      <c r="D296" s="1"/>
      <c r="E296" s="1"/>
      <c r="F296" s="1"/>
    </row>
    <row r="297" spans="1:6">
      <c r="A297" s="1"/>
      <c r="B297" s="1"/>
      <c r="C297" s="1"/>
      <c r="D297" s="1"/>
      <c r="E297" s="1"/>
      <c r="F297" s="1"/>
    </row>
    <row r="298" spans="1:6">
      <c r="A298" s="1"/>
      <c r="B298" s="1"/>
      <c r="C298" s="1"/>
      <c r="D298" s="1"/>
      <c r="E298" s="1"/>
      <c r="F298" s="1"/>
    </row>
    <row r="299" spans="1:6">
      <c r="A299" s="1"/>
      <c r="B299" s="1"/>
      <c r="C299" s="1"/>
      <c r="D299" s="1"/>
      <c r="E299" s="1"/>
      <c r="F299" s="1"/>
    </row>
    <row r="300" spans="1:6">
      <c r="A300" s="1"/>
      <c r="B300" s="1"/>
      <c r="C300" s="1"/>
      <c r="D300" s="1"/>
      <c r="E300" s="1"/>
      <c r="F300" s="1"/>
    </row>
    <row r="301" spans="1:6">
      <c r="A301" s="1"/>
      <c r="B301" s="1"/>
      <c r="C301" s="1"/>
      <c r="D301" s="1"/>
      <c r="E301" s="1"/>
      <c r="F301" s="1"/>
    </row>
    <row r="302" spans="1:6">
      <c r="A302" s="1"/>
      <c r="B302" s="1"/>
      <c r="C302" s="1"/>
      <c r="D302" s="1"/>
      <c r="E302" s="1"/>
      <c r="F302" s="1"/>
    </row>
    <row r="303" spans="1:6">
      <c r="A303" s="1"/>
      <c r="B303" s="1"/>
      <c r="C303" s="1"/>
      <c r="D303" s="1"/>
      <c r="E303" s="1"/>
      <c r="F303" s="1"/>
    </row>
    <row r="304" spans="1:6">
      <c r="A304" s="1"/>
      <c r="B304" s="1"/>
      <c r="C304" s="1"/>
      <c r="D304" s="1"/>
      <c r="E304" s="1"/>
      <c r="F304" s="1"/>
    </row>
    <row r="305" spans="1:6">
      <c r="A305" s="1"/>
      <c r="B305" s="1"/>
      <c r="C305" s="1"/>
      <c r="D305" s="1"/>
      <c r="E305" s="1"/>
      <c r="F305" s="1"/>
    </row>
    <row r="306" spans="1:6">
      <c r="A306" s="1"/>
      <c r="B306" s="1"/>
      <c r="C306" s="1"/>
      <c r="D306" s="1"/>
      <c r="E306" s="1"/>
      <c r="F306" s="1"/>
    </row>
    <row r="307" spans="1:6">
      <c r="A307" s="1"/>
      <c r="B307" s="1"/>
      <c r="C307" s="1"/>
      <c r="D307" s="1"/>
      <c r="E307" s="1"/>
      <c r="F307" s="1"/>
    </row>
    <row r="308" spans="1:6">
      <c r="A308" s="1"/>
      <c r="B308" s="1"/>
      <c r="C308" s="1"/>
      <c r="D308" s="1"/>
      <c r="E308" s="1"/>
      <c r="F308" s="1"/>
    </row>
    <row r="309" spans="1:6">
      <c r="A309" s="1"/>
      <c r="B309" s="1"/>
      <c r="C309" s="1"/>
      <c r="D309" s="1"/>
      <c r="E309" s="1"/>
      <c r="F309" s="1"/>
    </row>
    <row r="310" spans="1:6">
      <c r="A310" s="1"/>
      <c r="B310" s="1"/>
      <c r="C310" s="1"/>
      <c r="D310" s="1"/>
      <c r="E310" s="1"/>
      <c r="F310" s="1"/>
    </row>
    <row r="311" spans="1:6">
      <c r="A311" s="1"/>
      <c r="B311" s="1"/>
      <c r="C311" s="1"/>
      <c r="D311" s="1"/>
      <c r="E311" s="1"/>
      <c r="F311" s="1"/>
    </row>
    <row r="312" spans="1:6">
      <c r="A312" s="1"/>
      <c r="B312" s="1"/>
      <c r="C312" s="1"/>
      <c r="D312" s="1"/>
      <c r="E312" s="1"/>
      <c r="F312" s="1"/>
    </row>
    <row r="313" spans="1:6">
      <c r="A313" s="1"/>
      <c r="B313" s="1"/>
      <c r="C313" s="1"/>
      <c r="D313" s="1"/>
      <c r="E313" s="1"/>
      <c r="F313" s="1"/>
    </row>
    <row r="314" spans="1:6">
      <c r="A314" s="1"/>
      <c r="B314" s="1"/>
      <c r="C314" s="1"/>
      <c r="D314" s="1"/>
      <c r="E314" s="1"/>
      <c r="F314" s="1"/>
    </row>
    <row r="315" spans="1:6">
      <c r="A315" s="1"/>
      <c r="B315" s="1"/>
      <c r="C315" s="1"/>
      <c r="D315" s="1"/>
      <c r="E315" s="1"/>
      <c r="F315" s="1"/>
    </row>
    <row r="316" spans="1:6">
      <c r="A316" s="1"/>
      <c r="B316" s="1"/>
      <c r="C316" s="1"/>
      <c r="D316" s="1"/>
      <c r="E316" s="1"/>
      <c r="F316" s="1"/>
    </row>
    <row r="317" spans="1:6">
      <c r="A317" s="1"/>
      <c r="B317" s="1"/>
      <c r="C317" s="1"/>
      <c r="D317" s="1"/>
      <c r="E317" s="1"/>
      <c r="F317" s="1"/>
    </row>
    <row r="318" spans="1:6">
      <c r="A318" s="1"/>
      <c r="B318" s="1"/>
      <c r="C318" s="1"/>
      <c r="D318" s="1"/>
      <c r="E318" s="1"/>
      <c r="F318" s="1"/>
    </row>
    <row r="319" spans="1:6">
      <c r="A319" s="1"/>
      <c r="B319" s="1"/>
      <c r="C319" s="1"/>
      <c r="D319" s="1"/>
      <c r="E319" s="1"/>
      <c r="F319" s="1"/>
    </row>
    <row r="320" spans="1:6">
      <c r="A320" s="1"/>
      <c r="B320" s="1"/>
      <c r="C320" s="1"/>
      <c r="D320" s="1"/>
      <c r="E320" s="1"/>
      <c r="F320" s="1"/>
    </row>
    <row r="321" spans="1:6">
      <c r="A321" s="1"/>
      <c r="B321" s="1"/>
      <c r="C321" s="1"/>
      <c r="D321" s="1"/>
      <c r="E321" s="1"/>
      <c r="F321" s="1"/>
    </row>
    <row r="322" spans="1:6">
      <c r="A322" s="1"/>
      <c r="B322" s="1"/>
      <c r="C322" s="1"/>
      <c r="D322" s="1"/>
      <c r="E322" s="1"/>
      <c r="F322" s="1"/>
    </row>
    <row r="323" spans="1:6">
      <c r="A323" s="1"/>
      <c r="B323" s="1"/>
      <c r="C323" s="1"/>
      <c r="D323" s="1"/>
      <c r="E323" s="1"/>
      <c r="F323" s="1"/>
    </row>
    <row r="324" spans="1:6">
      <c r="A324" s="1"/>
      <c r="B324" s="1"/>
      <c r="C324" s="1"/>
      <c r="D324" s="1"/>
      <c r="E324" s="1"/>
      <c r="F324" s="1"/>
    </row>
    <row r="325" spans="1:6">
      <c r="A325" s="1"/>
      <c r="B325" s="1"/>
      <c r="C325" s="1"/>
      <c r="D325" s="1"/>
      <c r="E325" s="1"/>
      <c r="F325" s="1"/>
    </row>
    <row r="326" spans="1:6">
      <c r="A326" s="1"/>
      <c r="B326" s="1"/>
      <c r="C326" s="1"/>
      <c r="D326" s="1"/>
      <c r="E326" s="1"/>
      <c r="F326" s="1"/>
    </row>
    <row r="327" spans="1:6">
      <c r="A327" s="1"/>
      <c r="B327" s="1"/>
      <c r="C327" s="1"/>
      <c r="D327" s="1"/>
      <c r="E327" s="1"/>
      <c r="F327" s="1"/>
    </row>
    <row r="328" spans="1:6">
      <c r="A328" s="1"/>
      <c r="B328" s="1"/>
      <c r="C328" s="1"/>
      <c r="D328" s="1"/>
      <c r="E328" s="1"/>
      <c r="F328" s="1"/>
    </row>
    <row r="329" spans="1:6">
      <c r="A329" s="1"/>
      <c r="B329" s="1"/>
      <c r="C329" s="1"/>
      <c r="D329" s="1"/>
      <c r="E329" s="1"/>
      <c r="F329" s="1"/>
    </row>
    <row r="330" spans="1:6">
      <c r="A330" s="1"/>
      <c r="B330" s="1"/>
      <c r="C330" s="1"/>
      <c r="D330" s="1"/>
      <c r="E330" s="1"/>
      <c r="F330" s="1"/>
    </row>
    <row r="331" spans="1:6">
      <c r="A331" s="1"/>
      <c r="B331" s="1"/>
      <c r="C331" s="1"/>
      <c r="D331" s="1"/>
      <c r="E331" s="1"/>
      <c r="F331" s="1"/>
    </row>
    <row r="332" spans="1:6">
      <c r="A332" s="1"/>
      <c r="B332" s="1"/>
      <c r="C332" s="1"/>
      <c r="D332" s="1"/>
      <c r="E332" s="1"/>
      <c r="F332" s="1"/>
    </row>
    <row r="333" spans="1:6">
      <c r="A333" s="1"/>
      <c r="B333" s="1"/>
      <c r="C333" s="1"/>
      <c r="D333" s="1"/>
      <c r="E333" s="1"/>
      <c r="F333" s="1"/>
    </row>
    <row r="334" spans="1:6">
      <c r="A334" s="1"/>
      <c r="B334" s="1"/>
      <c r="C334" s="1"/>
      <c r="D334" s="1"/>
      <c r="E334" s="1"/>
      <c r="F334" s="1"/>
    </row>
    <row r="335" spans="1:6">
      <c r="A335" s="1"/>
      <c r="B335" s="1"/>
      <c r="C335" s="1"/>
      <c r="D335" s="1"/>
      <c r="E335" s="1"/>
      <c r="F335" s="1"/>
    </row>
    <row r="336" spans="1:6">
      <c r="A336" s="1"/>
      <c r="B336" s="1"/>
      <c r="C336" s="1"/>
      <c r="D336" s="1"/>
      <c r="E336" s="1"/>
      <c r="F336" s="1"/>
    </row>
    <row r="337" spans="1:6">
      <c r="A337" s="1"/>
      <c r="B337" s="1"/>
      <c r="C337" s="1"/>
      <c r="D337" s="1"/>
      <c r="E337" s="1"/>
      <c r="F337" s="1"/>
    </row>
    <row r="338" spans="1:6">
      <c r="A338" s="1"/>
      <c r="B338" s="1"/>
      <c r="C338" s="1"/>
      <c r="D338" s="1"/>
      <c r="E338" s="1"/>
      <c r="F338" s="1"/>
    </row>
    <row r="339" spans="1:6">
      <c r="A339" s="1"/>
      <c r="B339" s="1"/>
      <c r="C339" s="1"/>
      <c r="D339" s="1"/>
      <c r="E339" s="1"/>
      <c r="F339" s="1"/>
    </row>
    <row r="340" spans="1:6">
      <c r="A340" s="1"/>
      <c r="B340" s="1"/>
      <c r="C340" s="1"/>
      <c r="D340" s="1"/>
      <c r="E340" s="1"/>
      <c r="F340" s="1"/>
    </row>
    <row r="341" spans="1:6">
      <c r="A341" s="1"/>
      <c r="B341" s="1"/>
      <c r="C341" s="1"/>
      <c r="D341" s="1"/>
      <c r="E341" s="1"/>
      <c r="F341" s="1"/>
    </row>
    <row r="342" spans="1:6">
      <c r="A342" s="1"/>
      <c r="B342" s="1"/>
      <c r="C342" s="1"/>
      <c r="D342" s="1"/>
      <c r="E342" s="1"/>
      <c r="F342" s="1"/>
    </row>
    <row r="343" spans="1:6">
      <c r="A343" s="1"/>
      <c r="B343" s="1"/>
      <c r="C343" s="1"/>
      <c r="D343" s="1"/>
      <c r="E343" s="1"/>
      <c r="F343" s="1"/>
    </row>
    <row r="344" spans="1:6">
      <c r="A344" s="1"/>
      <c r="B344" s="1"/>
      <c r="C344" s="1"/>
      <c r="D344" s="1"/>
      <c r="E344" s="1"/>
      <c r="F344" s="1"/>
    </row>
    <row r="345" spans="1:6">
      <c r="A345" s="1"/>
      <c r="B345" s="1"/>
      <c r="C345" s="1"/>
      <c r="D345" s="1"/>
      <c r="E345" s="1"/>
      <c r="F345" s="1"/>
    </row>
    <row r="346" spans="1:6">
      <c r="A346" s="1"/>
      <c r="B346" s="1"/>
      <c r="C346" s="1"/>
      <c r="D346" s="1"/>
      <c r="E346" s="1"/>
      <c r="F346" s="1"/>
    </row>
    <row r="347" spans="1:6">
      <c r="A347" s="1"/>
      <c r="B347" s="1"/>
      <c r="C347" s="1"/>
      <c r="D347" s="1"/>
      <c r="E347" s="1"/>
      <c r="F347" s="1"/>
    </row>
    <row r="348" spans="1:6">
      <c r="A348" s="1"/>
      <c r="B348" s="1"/>
      <c r="C348" s="1"/>
      <c r="D348" s="1"/>
      <c r="E348" s="1"/>
      <c r="F348" s="1"/>
    </row>
    <row r="349" spans="1:6">
      <c r="A349" s="1"/>
      <c r="B349" s="1"/>
      <c r="C349" s="1"/>
      <c r="D349" s="1"/>
      <c r="E349" s="1"/>
      <c r="F349" s="1"/>
    </row>
    <row r="350" spans="1:6">
      <c r="A350" s="1"/>
      <c r="B350" s="1"/>
      <c r="C350" s="1"/>
      <c r="D350" s="1"/>
      <c r="E350" s="1"/>
      <c r="F350" s="1"/>
    </row>
    <row r="351" spans="1:6">
      <c r="A351" s="1"/>
      <c r="B351" s="1"/>
      <c r="C351" s="1"/>
      <c r="D351" s="1"/>
      <c r="E351" s="1"/>
      <c r="F351" s="1"/>
    </row>
    <row r="352" spans="1:6">
      <c r="A352" s="1"/>
      <c r="B352" s="1"/>
      <c r="C352" s="1"/>
      <c r="D352" s="1"/>
      <c r="E352" s="1"/>
      <c r="F352" s="1"/>
    </row>
    <row r="353" spans="1:6">
      <c r="A353" s="1"/>
      <c r="B353" s="1"/>
      <c r="C353" s="1"/>
      <c r="D353" s="1"/>
      <c r="E353" s="1"/>
      <c r="F353" s="1"/>
    </row>
    <row r="354" spans="1:6">
      <c r="A354" s="1"/>
      <c r="B354" s="1"/>
      <c r="C354" s="1"/>
      <c r="D354" s="1"/>
      <c r="E354" s="1"/>
      <c r="F354" s="1"/>
    </row>
    <row r="355" spans="1:6">
      <c r="A355" s="1"/>
      <c r="B355" s="1"/>
      <c r="C355" s="1"/>
      <c r="D355" s="1"/>
      <c r="E355" s="1"/>
      <c r="F355" s="1"/>
    </row>
    <row r="356" spans="1:6">
      <c r="A356" s="1"/>
      <c r="B356" s="1"/>
      <c r="C356" s="1"/>
      <c r="D356" s="1"/>
      <c r="E356" s="1"/>
      <c r="F356" s="1"/>
    </row>
    <row r="357" spans="1:6">
      <c r="A357" s="1"/>
      <c r="B357" s="1"/>
      <c r="C357" s="1"/>
      <c r="D357" s="1"/>
      <c r="E357" s="1"/>
      <c r="F357" s="1"/>
    </row>
    <row r="358" spans="1:6">
      <c r="A358" s="1"/>
      <c r="B358" s="1"/>
      <c r="C358" s="1"/>
      <c r="D358" s="1"/>
      <c r="E358" s="1"/>
      <c r="F358" s="1"/>
    </row>
    <row r="359" spans="1:6">
      <c r="A359" s="1"/>
      <c r="B359" s="1"/>
      <c r="C359" s="1"/>
      <c r="D359" s="1"/>
      <c r="E359" s="1"/>
      <c r="F359" s="1"/>
    </row>
    <row r="360" spans="1:6">
      <c r="A360" s="1"/>
      <c r="B360" s="1"/>
      <c r="C360" s="1"/>
      <c r="D360" s="1"/>
      <c r="E360" s="1"/>
      <c r="F360" s="1"/>
    </row>
    <row r="361" spans="1:6">
      <c r="A361" s="1"/>
      <c r="B361" s="1"/>
      <c r="C361" s="1"/>
      <c r="D361" s="1"/>
      <c r="E361" s="1"/>
      <c r="F361" s="1"/>
    </row>
    <row r="362" spans="1:6">
      <c r="A362" s="1"/>
      <c r="B362" s="1"/>
      <c r="C362" s="1"/>
      <c r="D362" s="1"/>
      <c r="E362" s="1"/>
      <c r="F362" s="1"/>
    </row>
    <row r="363" spans="1:6">
      <c r="A363" s="1"/>
      <c r="B363" s="1"/>
      <c r="C363" s="1"/>
      <c r="D363" s="1"/>
      <c r="E363" s="1"/>
      <c r="F363" s="1"/>
    </row>
    <row r="364" spans="1:6">
      <c r="A364" s="1"/>
      <c r="B364" s="1"/>
      <c r="C364" s="1"/>
      <c r="D364" s="1"/>
      <c r="E364" s="1"/>
      <c r="F364" s="1"/>
    </row>
    <row r="365" spans="1:6">
      <c r="A365" s="1"/>
      <c r="B365" s="1"/>
      <c r="C365" s="1"/>
      <c r="D365" s="1"/>
      <c r="E365" s="1"/>
      <c r="F365" s="1"/>
    </row>
    <row r="366" spans="1:6">
      <c r="A366" s="1"/>
      <c r="B366" s="1"/>
      <c r="C366" s="1"/>
      <c r="D366" s="1"/>
      <c r="E366" s="1"/>
      <c r="F366" s="1"/>
    </row>
    <row r="367" spans="1:6">
      <c r="A367" s="1"/>
      <c r="B367" s="1"/>
      <c r="C367" s="1"/>
      <c r="D367" s="1"/>
      <c r="E367" s="1"/>
      <c r="F367" s="1"/>
    </row>
    <row r="368" spans="1:6">
      <c r="A368" s="1"/>
      <c r="B368" s="1"/>
      <c r="C368" s="1"/>
      <c r="D368" s="1"/>
      <c r="E368" s="1"/>
      <c r="F368" s="1"/>
    </row>
    <row r="369" spans="1:6">
      <c r="A369" s="1"/>
      <c r="B369" s="1"/>
      <c r="C369" s="1"/>
      <c r="D369" s="1"/>
      <c r="E369" s="1"/>
      <c r="F369" s="1"/>
    </row>
    <row r="370" spans="1:6">
      <c r="A370" s="1"/>
      <c r="B370" s="1"/>
      <c r="C370" s="1"/>
      <c r="D370" s="1"/>
      <c r="E370" s="1"/>
      <c r="F370" s="1"/>
    </row>
    <row r="371" spans="1:6">
      <c r="A371" s="1"/>
      <c r="B371" s="1"/>
      <c r="C371" s="1"/>
      <c r="D371" s="1"/>
      <c r="E371" s="1"/>
      <c r="F371" s="1"/>
    </row>
    <row r="372" spans="1:6">
      <c r="A372" s="1"/>
      <c r="B372" s="1"/>
      <c r="C372" s="1"/>
      <c r="D372" s="1"/>
      <c r="E372" s="1"/>
      <c r="F372" s="1"/>
    </row>
    <row r="373" spans="1:6">
      <c r="A373" s="1"/>
      <c r="B373" s="1"/>
      <c r="C373" s="1"/>
      <c r="D373" s="1"/>
      <c r="E373" s="1"/>
      <c r="F373" s="1"/>
    </row>
    <row r="374" spans="1:6">
      <c r="A374" s="1"/>
      <c r="B374" s="1"/>
      <c r="C374" s="1"/>
      <c r="D374" s="1"/>
      <c r="E374" s="1"/>
      <c r="F374" s="1"/>
    </row>
    <row r="375" spans="1:6">
      <c r="A375" s="1"/>
      <c r="B375" s="1"/>
      <c r="C375" s="1"/>
      <c r="D375" s="1"/>
      <c r="E375" s="1"/>
      <c r="F375" s="1"/>
    </row>
    <row r="376" spans="1:6">
      <c r="A376" s="1"/>
      <c r="B376" s="1"/>
      <c r="C376" s="1"/>
      <c r="D376" s="1"/>
      <c r="E376" s="1"/>
      <c r="F376" s="1"/>
    </row>
    <row r="377" spans="1:6">
      <c r="A377" s="1"/>
      <c r="B377" s="1"/>
      <c r="C377" s="1"/>
      <c r="D377" s="1"/>
      <c r="E377" s="1"/>
      <c r="F377" s="1"/>
    </row>
    <row r="378" spans="1:6">
      <c r="A378" s="1"/>
      <c r="B378" s="1"/>
      <c r="C378" s="1"/>
      <c r="D378" s="1"/>
      <c r="E378" s="1"/>
      <c r="F378" s="1"/>
    </row>
    <row r="379" spans="1:6">
      <c r="A379" s="1"/>
      <c r="B379" s="1"/>
      <c r="C379" s="1"/>
      <c r="D379" s="1"/>
      <c r="E379" s="1"/>
      <c r="F379" s="1"/>
    </row>
    <row r="380" spans="1:6">
      <c r="A380" s="1"/>
      <c r="B380" s="1"/>
      <c r="C380" s="1"/>
      <c r="D380" s="1"/>
      <c r="E380" s="1"/>
      <c r="F380" s="1"/>
    </row>
    <row r="381" spans="1:6">
      <c r="A381" s="1"/>
      <c r="B381" s="1"/>
      <c r="C381" s="1"/>
      <c r="D381" s="1"/>
      <c r="E381" s="1"/>
      <c r="F381" s="1"/>
    </row>
    <row r="382" spans="1:6">
      <c r="A382" s="1"/>
      <c r="B382" s="1"/>
      <c r="C382" s="1"/>
      <c r="D382" s="1"/>
      <c r="E382" s="1"/>
      <c r="F382" s="1"/>
    </row>
    <row r="383" spans="1:6">
      <c r="A383" s="1"/>
      <c r="B383" s="1"/>
      <c r="C383" s="1"/>
      <c r="D383" s="1"/>
      <c r="E383" s="1"/>
      <c r="F383" s="1"/>
    </row>
    <row r="384" spans="1:6">
      <c r="A384" s="1"/>
      <c r="B384" s="1"/>
      <c r="C384" s="1"/>
      <c r="D384" s="1"/>
      <c r="E384" s="1"/>
      <c r="F384" s="1"/>
    </row>
    <row r="385" spans="1:6">
      <c r="A385" s="1"/>
      <c r="B385" s="1"/>
      <c r="C385" s="1"/>
      <c r="D385" s="1"/>
      <c r="E385" s="1"/>
      <c r="F385" s="1"/>
    </row>
    <row r="386" spans="1:6">
      <c r="A386" s="1"/>
      <c r="B386" s="1"/>
      <c r="C386" s="1"/>
      <c r="D386" s="1"/>
      <c r="E386" s="1"/>
      <c r="F386" s="1"/>
    </row>
    <row r="387" spans="1:6">
      <c r="A387" s="1"/>
      <c r="B387" s="1"/>
      <c r="C387" s="1"/>
      <c r="D387" s="1"/>
      <c r="E387" s="1"/>
      <c r="F387" s="1"/>
    </row>
    <row r="388" spans="1:6">
      <c r="A388" s="1"/>
      <c r="B388" s="1"/>
      <c r="C388" s="1"/>
      <c r="D388" s="1"/>
      <c r="E388" s="1"/>
      <c r="F388" s="1"/>
    </row>
    <row r="389" spans="1:6">
      <c r="A389" s="1"/>
      <c r="B389" s="1"/>
      <c r="C389" s="1"/>
      <c r="D389" s="1"/>
      <c r="E389" s="1"/>
      <c r="F389" s="1"/>
    </row>
    <row r="390" spans="1:6">
      <c r="A390" s="1"/>
      <c r="B390" s="1"/>
      <c r="C390" s="1"/>
      <c r="D390" s="1"/>
      <c r="E390" s="1"/>
      <c r="F390" s="1"/>
    </row>
    <row r="391" spans="1:6">
      <c r="A391" s="1"/>
      <c r="B391" s="1"/>
      <c r="C391" s="1"/>
      <c r="D391" s="1"/>
      <c r="E391" s="1"/>
      <c r="F391" s="1"/>
    </row>
    <row r="392" spans="1:6">
      <c r="A392" s="1"/>
      <c r="B392" s="1"/>
      <c r="C392" s="1"/>
      <c r="D392" s="1"/>
      <c r="E392" s="1"/>
      <c r="F392" s="1"/>
    </row>
    <row r="393" spans="1:6">
      <c r="A393" s="1"/>
      <c r="B393" s="1"/>
      <c r="C393" s="1"/>
      <c r="D393" s="1"/>
      <c r="E393" s="1"/>
      <c r="F393" s="1"/>
    </row>
    <row r="394" spans="1:6">
      <c r="A394" s="1"/>
      <c r="B394" s="1"/>
      <c r="C394" s="1"/>
      <c r="D394" s="1"/>
      <c r="E394" s="1"/>
      <c r="F394" s="1"/>
    </row>
    <row r="395" spans="1:6">
      <c r="A395" s="1"/>
      <c r="B395" s="1"/>
      <c r="C395" s="1"/>
      <c r="D395" s="1"/>
      <c r="E395" s="1"/>
      <c r="F395" s="1"/>
    </row>
    <row r="396" spans="1:6">
      <c r="A396" s="1"/>
      <c r="B396" s="1"/>
      <c r="C396" s="1"/>
      <c r="D396" s="1"/>
      <c r="E396" s="1"/>
      <c r="F396" s="1"/>
    </row>
    <row r="397" spans="1:6">
      <c r="A397" s="1"/>
      <c r="B397" s="1"/>
      <c r="C397" s="1"/>
      <c r="D397" s="1"/>
      <c r="E397" s="1"/>
      <c r="F397" s="1"/>
    </row>
    <row r="398" spans="1:6">
      <c r="A398" s="1"/>
      <c r="B398" s="1"/>
      <c r="C398" s="1"/>
      <c r="D398" s="1"/>
      <c r="E398" s="1"/>
      <c r="F398" s="1"/>
    </row>
    <row r="399" spans="1:6">
      <c r="A399" s="1"/>
      <c r="B399" s="1"/>
      <c r="C399" s="1"/>
      <c r="D399" s="1"/>
      <c r="E399" s="1"/>
      <c r="F399" s="1"/>
    </row>
    <row r="400" spans="1:6">
      <c r="A400" s="1"/>
      <c r="B400" s="1"/>
      <c r="C400" s="1"/>
      <c r="D400" s="1"/>
      <c r="E400" s="1"/>
      <c r="F400" s="1"/>
    </row>
    <row r="401" spans="1:6">
      <c r="A401" s="1"/>
      <c r="B401" s="1"/>
      <c r="C401" s="1"/>
      <c r="D401" s="1"/>
      <c r="E401" s="1"/>
      <c r="F401" s="1"/>
    </row>
    <row r="402" spans="1:6">
      <c r="A402" s="1"/>
      <c r="B402" s="1"/>
      <c r="C402" s="1"/>
      <c r="D402" s="1"/>
      <c r="E402" s="1"/>
      <c r="F402" s="1"/>
    </row>
    <row r="403" spans="1:6">
      <c r="A403" s="1"/>
      <c r="B403" s="1"/>
      <c r="C403" s="1"/>
      <c r="D403" s="1"/>
      <c r="E403" s="1"/>
      <c r="F403" s="1"/>
    </row>
    <row r="404" spans="1:6">
      <c r="A404" s="1"/>
      <c r="B404" s="1"/>
      <c r="C404" s="1"/>
      <c r="D404" s="1"/>
      <c r="E404" s="1"/>
      <c r="F404" s="1"/>
    </row>
    <row r="405" spans="1:6">
      <c r="A405" s="1"/>
      <c r="B405" s="1"/>
      <c r="C405" s="1"/>
      <c r="D405" s="1"/>
      <c r="E405" s="1"/>
      <c r="F405" s="1"/>
    </row>
    <row r="406" spans="1:6">
      <c r="A406" s="1"/>
      <c r="B406" s="1"/>
      <c r="C406" s="1"/>
      <c r="D406" s="1"/>
      <c r="E406" s="1"/>
      <c r="F406" s="1"/>
    </row>
    <row r="407" spans="1:6">
      <c r="A407" s="1"/>
      <c r="B407" s="1"/>
      <c r="C407" s="1"/>
      <c r="D407" s="1"/>
      <c r="E407" s="1"/>
      <c r="F407" s="1"/>
    </row>
    <row r="408" spans="1:6">
      <c r="A408" s="1"/>
      <c r="B408" s="1"/>
      <c r="C408" s="1"/>
      <c r="D408" s="1"/>
      <c r="E408" s="1"/>
      <c r="F408" s="1"/>
    </row>
    <row r="409" spans="1:6">
      <c r="A409" s="1"/>
      <c r="B409" s="1"/>
      <c r="C409" s="1"/>
      <c r="D409" s="1"/>
      <c r="E409" s="1"/>
      <c r="F409" s="1"/>
    </row>
    <row r="410" spans="1:6">
      <c r="A410" s="1"/>
      <c r="B410" s="1"/>
      <c r="C410" s="1"/>
      <c r="D410" s="1"/>
      <c r="E410" s="1"/>
      <c r="F410" s="1"/>
    </row>
    <row r="411" spans="1:6">
      <c r="A411" s="1"/>
      <c r="B411" s="1"/>
      <c r="C411" s="1"/>
      <c r="D411" s="1"/>
      <c r="E411" s="1"/>
      <c r="F411" s="1"/>
    </row>
    <row r="412" spans="1:6">
      <c r="A412" s="1"/>
      <c r="B412" s="1"/>
      <c r="C412" s="1"/>
      <c r="D412" s="1"/>
      <c r="E412" s="1"/>
      <c r="F412" s="1"/>
    </row>
    <row r="413" spans="1:6">
      <c r="A413" s="1"/>
      <c r="B413" s="1"/>
      <c r="C413" s="1"/>
      <c r="D413" s="1"/>
      <c r="E413" s="1"/>
      <c r="F413" s="1"/>
    </row>
    <row r="414" spans="1:6">
      <c r="A414" s="1"/>
      <c r="B414" s="1"/>
      <c r="C414" s="1"/>
      <c r="D414" s="1"/>
      <c r="E414" s="1"/>
      <c r="F414" s="1"/>
    </row>
    <row r="415" spans="1:6">
      <c r="A415" s="1"/>
      <c r="B415" s="1"/>
      <c r="C415" s="1"/>
      <c r="D415" s="1"/>
      <c r="E415" s="1"/>
      <c r="F415" s="1"/>
    </row>
    <row r="416" spans="1:6">
      <c r="A416" s="1"/>
      <c r="B416" s="1"/>
      <c r="C416" s="1"/>
      <c r="D416" s="1"/>
      <c r="E416" s="1"/>
      <c r="F416" s="1"/>
    </row>
    <row r="417" spans="1:6">
      <c r="A417" s="1"/>
      <c r="B417" s="1"/>
      <c r="C417" s="1"/>
      <c r="D417" s="1"/>
      <c r="E417" s="1"/>
      <c r="F417" s="1"/>
    </row>
    <row r="418" spans="1:6">
      <c r="A418" s="1"/>
      <c r="B418" s="1"/>
      <c r="C418" s="1"/>
      <c r="D418" s="1"/>
      <c r="E418" s="1"/>
      <c r="F418" s="1"/>
    </row>
    <row r="419" spans="1:6">
      <c r="A419" s="1"/>
      <c r="B419" s="1"/>
      <c r="C419" s="1"/>
      <c r="D419" s="1"/>
      <c r="E419" s="1"/>
      <c r="F419" s="1"/>
    </row>
    <row r="420" spans="1:6">
      <c r="A420" s="1"/>
      <c r="B420" s="1"/>
      <c r="C420" s="1"/>
      <c r="D420" s="1"/>
      <c r="E420" s="1"/>
      <c r="F420" s="1"/>
    </row>
    <row r="421" spans="1:6">
      <c r="A421" s="1"/>
      <c r="B421" s="1"/>
      <c r="C421" s="1"/>
      <c r="D421" s="1"/>
      <c r="E421" s="1"/>
      <c r="F421" s="1"/>
    </row>
    <row r="422" spans="1:6">
      <c r="A422" s="1"/>
      <c r="B422" s="1"/>
      <c r="C422" s="1"/>
      <c r="D422" s="1"/>
      <c r="E422" s="1"/>
      <c r="F422" s="1"/>
    </row>
    <row r="423" spans="1:6">
      <c r="A423" s="1"/>
      <c r="B423" s="1"/>
      <c r="C423" s="1"/>
      <c r="D423" s="1"/>
      <c r="E423" s="1"/>
      <c r="F423" s="1"/>
    </row>
    <row r="424" spans="1:6">
      <c r="A424" s="1"/>
      <c r="B424" s="1"/>
      <c r="C424" s="1"/>
      <c r="D424" s="1"/>
      <c r="E424" s="1"/>
      <c r="F424" s="1"/>
    </row>
    <row r="425" spans="1:6">
      <c r="A425" s="1"/>
      <c r="B425" s="1"/>
      <c r="C425" s="1"/>
      <c r="D425" s="1"/>
      <c r="E425" s="1"/>
      <c r="F425" s="1"/>
    </row>
    <row r="426" spans="1:6">
      <c r="A426" s="1"/>
      <c r="B426" s="1"/>
      <c r="C426" s="1"/>
      <c r="D426" s="1"/>
      <c r="E426" s="1"/>
      <c r="F426" s="1"/>
    </row>
    <row r="427" spans="1:6">
      <c r="A427" s="1"/>
      <c r="B427" s="1"/>
      <c r="C427" s="1"/>
      <c r="D427" s="1"/>
      <c r="E427" s="1"/>
      <c r="F427" s="1"/>
    </row>
    <row r="428" spans="1:6">
      <c r="A428" s="1"/>
      <c r="B428" s="1"/>
      <c r="C428" s="1"/>
      <c r="D428" s="1"/>
      <c r="E428" s="1"/>
      <c r="F428" s="1"/>
    </row>
    <row r="429" spans="1:6">
      <c r="A429" s="1"/>
      <c r="B429" s="1"/>
      <c r="C429" s="1"/>
      <c r="D429" s="1"/>
      <c r="E429" s="1"/>
      <c r="F429" s="1"/>
    </row>
    <row r="430" spans="1:6">
      <c r="A430" s="1"/>
      <c r="B430" s="1"/>
      <c r="C430" s="1"/>
      <c r="D430" s="1"/>
      <c r="E430" s="1"/>
      <c r="F430" s="1"/>
    </row>
    <row r="431" spans="1:6">
      <c r="A431" s="1"/>
      <c r="B431" s="1"/>
      <c r="C431" s="1"/>
      <c r="D431" s="1"/>
      <c r="E431" s="1"/>
      <c r="F431" s="1"/>
    </row>
    <row r="432" spans="1:6">
      <c r="A432" s="1"/>
      <c r="B432" s="1"/>
      <c r="C432" s="1"/>
      <c r="D432" s="1"/>
      <c r="E432" s="1"/>
      <c r="F432" s="1"/>
    </row>
    <row r="433" spans="1:6">
      <c r="A433" s="1"/>
      <c r="B433" s="1"/>
      <c r="C433" s="1"/>
      <c r="D433" s="1"/>
      <c r="E433" s="1"/>
      <c r="F433" s="1"/>
    </row>
    <row r="434" spans="1:6">
      <c r="A434" s="1"/>
      <c r="B434" s="1"/>
      <c r="C434" s="1"/>
      <c r="D434" s="1"/>
      <c r="E434" s="1"/>
      <c r="F434" s="1"/>
    </row>
    <row r="435" spans="1:6">
      <c r="A435" s="1"/>
      <c r="B435" s="1"/>
      <c r="C435" s="1"/>
      <c r="D435" s="1"/>
      <c r="E435" s="1"/>
      <c r="F435" s="1"/>
    </row>
    <row r="436" spans="1:6">
      <c r="A436" s="1"/>
      <c r="B436" s="1"/>
      <c r="C436" s="1"/>
      <c r="D436" s="1"/>
      <c r="E436" s="1"/>
      <c r="F436" s="1"/>
    </row>
    <row r="437" spans="1:6">
      <c r="A437" s="1"/>
      <c r="B437" s="1"/>
      <c r="C437" s="1"/>
      <c r="D437" s="1"/>
      <c r="E437" s="1"/>
      <c r="F437" s="1"/>
    </row>
    <row r="438" spans="1:6">
      <c r="A438" s="1"/>
      <c r="B438" s="1"/>
      <c r="C438" s="1"/>
      <c r="D438" s="1"/>
      <c r="E438" s="1"/>
      <c r="F438" s="1"/>
    </row>
    <row r="439" spans="1:6">
      <c r="A439" s="1"/>
      <c r="B439" s="1"/>
      <c r="C439" s="1"/>
      <c r="D439" s="1"/>
      <c r="E439" s="1"/>
      <c r="F439" s="1"/>
    </row>
    <row r="440" spans="1:6">
      <c r="A440" s="1"/>
      <c r="B440" s="1"/>
      <c r="C440" s="1"/>
      <c r="D440" s="1"/>
      <c r="E440" s="1"/>
      <c r="F440" s="1"/>
    </row>
    <row r="441" spans="1:6">
      <c r="A441" s="1"/>
      <c r="B441" s="1"/>
      <c r="C441" s="1"/>
      <c r="D441" s="1"/>
      <c r="E441" s="1"/>
      <c r="F441" s="1"/>
    </row>
    <row r="442" spans="1:6">
      <c r="A442" s="1"/>
      <c r="B442" s="1"/>
      <c r="C442" s="1"/>
      <c r="D442" s="1"/>
      <c r="E442" s="1"/>
      <c r="F442" s="1"/>
    </row>
    <row r="443" spans="1:6">
      <c r="A443" s="1"/>
      <c r="B443" s="1"/>
      <c r="C443" s="1"/>
      <c r="D443" s="1"/>
      <c r="E443" s="1"/>
      <c r="F443" s="1"/>
    </row>
    <row r="444" spans="1:6">
      <c r="A444" s="1"/>
      <c r="B444" s="1"/>
      <c r="C444" s="1"/>
      <c r="D444" s="1"/>
      <c r="E444" s="1"/>
      <c r="F444" s="1"/>
    </row>
    <row r="445" spans="1:6">
      <c r="A445" s="1"/>
      <c r="B445" s="1"/>
      <c r="C445" s="1"/>
      <c r="D445" s="1"/>
      <c r="E445" s="1"/>
      <c r="F445" s="1"/>
    </row>
    <row r="446" spans="1:6">
      <c r="A446" s="1"/>
      <c r="B446" s="1"/>
      <c r="C446" s="1"/>
      <c r="D446" s="1"/>
      <c r="E446" s="1"/>
      <c r="F446" s="1"/>
    </row>
    <row r="447" spans="1:6">
      <c r="A447" s="1"/>
      <c r="B447" s="1"/>
      <c r="C447" s="1"/>
      <c r="D447" s="1"/>
      <c r="E447" s="1"/>
      <c r="F447" s="1"/>
    </row>
    <row r="448" spans="1:6">
      <c r="A448" s="1"/>
      <c r="B448" s="1"/>
      <c r="C448" s="1"/>
      <c r="D448" s="1"/>
      <c r="E448" s="1"/>
      <c r="F448" s="1"/>
    </row>
    <row r="449" spans="1:6">
      <c r="A449" s="1"/>
      <c r="B449" s="1"/>
      <c r="C449" s="1"/>
      <c r="D449" s="1"/>
      <c r="E449" s="1"/>
      <c r="F449" s="1"/>
    </row>
    <row r="450" spans="1:6">
      <c r="A450" s="1"/>
      <c r="B450" s="1"/>
      <c r="C450" s="1"/>
      <c r="D450" s="1"/>
      <c r="E450" s="1"/>
      <c r="F450" s="1"/>
    </row>
    <row r="451" spans="1:6">
      <c r="A451" s="1"/>
      <c r="B451" s="1"/>
      <c r="C451" s="1"/>
      <c r="D451" s="1"/>
      <c r="E451" s="1"/>
      <c r="F451" s="1"/>
    </row>
    <row r="452" spans="1:6">
      <c r="A452" s="1"/>
      <c r="B452" s="1"/>
      <c r="C452" s="1"/>
      <c r="D452" s="1"/>
      <c r="E452" s="1"/>
      <c r="F452" s="1"/>
    </row>
    <row r="453" spans="1:6">
      <c r="A453" s="1"/>
      <c r="B453" s="1"/>
      <c r="C453" s="1"/>
      <c r="D453" s="1"/>
      <c r="E453" s="1"/>
      <c r="F453" s="1"/>
    </row>
    <row r="454" spans="1:6">
      <c r="A454" s="1"/>
      <c r="B454" s="1"/>
      <c r="C454" s="1"/>
      <c r="D454" s="1"/>
      <c r="E454" s="1"/>
      <c r="F454" s="1"/>
    </row>
    <row r="455" spans="1:6">
      <c r="A455" s="1"/>
      <c r="B455" s="1"/>
      <c r="C455" s="1"/>
      <c r="D455" s="1"/>
      <c r="E455" s="1"/>
      <c r="F455" s="1"/>
    </row>
    <row r="456" spans="1:6">
      <c r="A456" s="1"/>
      <c r="B456" s="1"/>
      <c r="C456" s="1"/>
      <c r="D456" s="1"/>
      <c r="E456" s="1"/>
      <c r="F456" s="1"/>
    </row>
    <row r="457" spans="1:6">
      <c r="A457" s="1"/>
      <c r="B457" s="1"/>
      <c r="C457" s="1"/>
      <c r="D457" s="1"/>
      <c r="E457" s="1"/>
      <c r="F457" s="1"/>
    </row>
    <row r="458" spans="1:6">
      <c r="A458" s="1"/>
      <c r="B458" s="1"/>
      <c r="C458" s="1"/>
      <c r="D458" s="1"/>
      <c r="E458" s="1"/>
      <c r="F458" s="1"/>
    </row>
    <row r="459" spans="1:6">
      <c r="A459" s="1"/>
      <c r="B459" s="1"/>
      <c r="C459" s="1"/>
      <c r="D459" s="1"/>
      <c r="E459" s="1"/>
      <c r="F459" s="1"/>
    </row>
    <row r="460" spans="1:6">
      <c r="A460" s="1"/>
      <c r="B460" s="1"/>
      <c r="C460" s="1"/>
      <c r="D460" s="1"/>
      <c r="E460" s="1"/>
      <c r="F460" s="1"/>
    </row>
    <row r="461" spans="1:6">
      <c r="A461" s="1"/>
      <c r="B461" s="1"/>
      <c r="C461" s="1"/>
      <c r="D461" s="1"/>
      <c r="E461" s="1"/>
      <c r="F461" s="1"/>
    </row>
    <row r="462" spans="1:6">
      <c r="A462" s="1"/>
      <c r="B462" s="1"/>
      <c r="C462" s="1"/>
      <c r="D462" s="1"/>
      <c r="E462" s="1"/>
      <c r="F462" s="1"/>
    </row>
    <row r="463" spans="1:6">
      <c r="A463" s="1"/>
      <c r="B463" s="1"/>
      <c r="C463" s="1"/>
      <c r="D463" s="1"/>
      <c r="E463" s="1"/>
      <c r="F463" s="1"/>
    </row>
    <row r="464" spans="1:6">
      <c r="A464" s="1"/>
      <c r="B464" s="1"/>
      <c r="C464" s="1"/>
      <c r="D464" s="1"/>
      <c r="E464" s="1"/>
      <c r="F464" s="1"/>
    </row>
    <row r="465" spans="1:6">
      <c r="A465" s="1"/>
      <c r="B465" s="1"/>
      <c r="C465" s="1"/>
      <c r="D465" s="1"/>
      <c r="E465" s="1"/>
      <c r="F465" s="1"/>
    </row>
    <row r="466" spans="1:6">
      <c r="A466" s="1"/>
      <c r="B466" s="1"/>
      <c r="C466" s="1"/>
      <c r="D466" s="1"/>
      <c r="E466" s="1"/>
      <c r="F466" s="1"/>
    </row>
    <row r="467" spans="1:6">
      <c r="A467" s="1"/>
      <c r="B467" s="1"/>
      <c r="C467" s="1"/>
      <c r="D467" s="1"/>
      <c r="E467" s="1"/>
      <c r="F467" s="1"/>
    </row>
    <row r="468" spans="1:6">
      <c r="A468" s="1"/>
      <c r="B468" s="1"/>
      <c r="C468" s="1"/>
      <c r="D468" s="1"/>
      <c r="E468" s="1"/>
      <c r="F468" s="1"/>
    </row>
    <row r="469" spans="1:6">
      <c r="A469" s="1"/>
      <c r="B469" s="1"/>
      <c r="C469" s="1"/>
      <c r="D469" s="1"/>
      <c r="E469" s="1"/>
      <c r="F469" s="1"/>
    </row>
    <row r="470" spans="1:6">
      <c r="A470" s="1"/>
      <c r="B470" s="1"/>
      <c r="C470" s="1"/>
      <c r="D470" s="1"/>
      <c r="E470" s="1"/>
      <c r="F470" s="1"/>
    </row>
    <row r="471" spans="1:6">
      <c r="A471" s="1"/>
      <c r="B471" s="1"/>
      <c r="C471" s="1"/>
      <c r="D471" s="1"/>
      <c r="E471" s="1"/>
      <c r="F471" s="1"/>
    </row>
    <row r="472" spans="1:6">
      <c r="A472" s="1"/>
      <c r="B472" s="1"/>
      <c r="C472" s="1"/>
      <c r="D472" s="1"/>
      <c r="E472" s="1"/>
      <c r="F472" s="1"/>
    </row>
    <row r="473" spans="1:6">
      <c r="A473" s="1"/>
      <c r="B473" s="1"/>
      <c r="C473" s="1"/>
      <c r="D473" s="1"/>
      <c r="E473" s="1"/>
      <c r="F473" s="1"/>
    </row>
    <row r="474" spans="1:6">
      <c r="A474" s="1"/>
      <c r="B474" s="1"/>
      <c r="C474" s="1"/>
      <c r="D474" s="1"/>
      <c r="E474" s="1"/>
      <c r="F474" s="1"/>
    </row>
    <row r="475" spans="1:6">
      <c r="A475" s="1"/>
      <c r="B475" s="1"/>
      <c r="C475" s="1"/>
      <c r="D475" s="1"/>
      <c r="E475" s="1"/>
      <c r="F475" s="1"/>
    </row>
    <row r="476" spans="1:6">
      <c r="A476" s="1"/>
      <c r="B476" s="1"/>
      <c r="C476" s="1"/>
      <c r="D476" s="1"/>
      <c r="E476" s="1"/>
      <c r="F476" s="1"/>
    </row>
    <row r="477" spans="1:6">
      <c r="A477" s="1"/>
      <c r="B477" s="1"/>
      <c r="C477" s="1"/>
      <c r="D477" s="1"/>
      <c r="E477" s="1"/>
      <c r="F477" s="1"/>
    </row>
    <row r="478" spans="1:6">
      <c r="A478" s="1"/>
      <c r="B478" s="1"/>
      <c r="C478" s="1"/>
      <c r="D478" s="1"/>
      <c r="E478" s="1"/>
      <c r="F478" s="1"/>
    </row>
    <row r="479" spans="1:6">
      <c r="A479" s="1"/>
      <c r="B479" s="1"/>
      <c r="C479" s="1"/>
      <c r="D479" s="1"/>
      <c r="E479" s="1"/>
      <c r="F479" s="1"/>
    </row>
    <row r="480" spans="1:6">
      <c r="A480" s="1"/>
      <c r="B480" s="1"/>
      <c r="C480" s="1"/>
      <c r="D480" s="1"/>
      <c r="E480" s="1"/>
      <c r="F480" s="1"/>
    </row>
    <row r="481" spans="1:6">
      <c r="A481" s="1"/>
      <c r="B481" s="1"/>
      <c r="C481" s="1"/>
      <c r="D481" s="1"/>
      <c r="E481" s="1"/>
      <c r="F481" s="1"/>
    </row>
    <row r="482" spans="1:6">
      <c r="A482" s="1"/>
      <c r="B482" s="1"/>
      <c r="C482" s="1"/>
      <c r="D482" s="1"/>
      <c r="E482" s="1"/>
      <c r="F482" s="1"/>
    </row>
    <row r="483" spans="1:6">
      <c r="A483" s="1"/>
      <c r="B483" s="1"/>
      <c r="C483" s="1"/>
      <c r="D483" s="1"/>
      <c r="E483" s="1"/>
      <c r="F483" s="1"/>
    </row>
    <row r="484" spans="1:6">
      <c r="A484" s="1"/>
      <c r="B484" s="1"/>
      <c r="C484" s="1"/>
      <c r="D484" s="1"/>
      <c r="E484" s="1"/>
      <c r="F484" s="1"/>
    </row>
    <row r="485" spans="1:6">
      <c r="A485" s="1"/>
      <c r="B485" s="1"/>
      <c r="C485" s="1"/>
      <c r="D485" s="1"/>
      <c r="E485" s="1"/>
      <c r="F485" s="1"/>
    </row>
    <row r="486" spans="1:6">
      <c r="A486" s="1"/>
      <c r="B486" s="1"/>
      <c r="C486" s="1"/>
      <c r="D486" s="1"/>
      <c r="E486" s="1"/>
      <c r="F486" s="1"/>
    </row>
    <row r="487" spans="1:6">
      <c r="A487" s="1"/>
      <c r="B487" s="1"/>
      <c r="C487" s="1"/>
      <c r="D487" s="1"/>
      <c r="E487" s="1"/>
      <c r="F487" s="1"/>
    </row>
    <row r="488" spans="1:6">
      <c r="A488" s="1"/>
      <c r="B488" s="1"/>
      <c r="C488" s="1"/>
      <c r="D488" s="1"/>
      <c r="E488" s="1"/>
      <c r="F488" s="1"/>
    </row>
    <row r="489" spans="1:6">
      <c r="A489" s="1"/>
      <c r="B489" s="1"/>
      <c r="C489" s="1"/>
      <c r="D489" s="1"/>
      <c r="E489" s="1"/>
      <c r="F489" s="1"/>
    </row>
    <row r="490" spans="1:6">
      <c r="A490" s="1"/>
      <c r="B490" s="1"/>
      <c r="C490" s="1"/>
      <c r="D490" s="1"/>
      <c r="E490" s="1"/>
      <c r="F490" s="1"/>
    </row>
    <row r="491" spans="1:6">
      <c r="A491" s="1"/>
      <c r="B491" s="1"/>
      <c r="C491" s="1"/>
      <c r="D491" s="1"/>
      <c r="E491" s="1"/>
      <c r="F491" s="1"/>
    </row>
    <row r="492" spans="1:6">
      <c r="A492" s="1"/>
      <c r="B492" s="1"/>
      <c r="C492" s="1"/>
      <c r="D492" s="1"/>
      <c r="E492" s="1"/>
      <c r="F492" s="1"/>
    </row>
    <row r="493" spans="1:6">
      <c r="A493" s="1"/>
      <c r="B493" s="1"/>
      <c r="C493" s="1"/>
      <c r="D493" s="1"/>
      <c r="E493" s="1"/>
      <c r="F493" s="1"/>
    </row>
    <row r="494" spans="1:6">
      <c r="A494" s="1"/>
      <c r="B494" s="1"/>
      <c r="C494" s="1"/>
      <c r="D494" s="1"/>
      <c r="E494" s="1"/>
      <c r="F494" s="1"/>
    </row>
    <row r="495" spans="1:6">
      <c r="A495" s="1"/>
      <c r="B495" s="1"/>
      <c r="C495" s="1"/>
      <c r="D495" s="1"/>
      <c r="E495" s="1"/>
      <c r="F495" s="1"/>
    </row>
    <row r="496" spans="1:6">
      <c r="A496" s="1"/>
      <c r="B496" s="1"/>
      <c r="C496" s="1"/>
      <c r="D496" s="1"/>
      <c r="E496" s="1"/>
      <c r="F496" s="1"/>
    </row>
    <row r="497" spans="1:6">
      <c r="A497" s="1"/>
      <c r="B497" s="1"/>
      <c r="C497" s="1"/>
      <c r="D497" s="1"/>
      <c r="E497" s="1"/>
      <c r="F497" s="1"/>
    </row>
    <row r="498" spans="1:6">
      <c r="A498" s="1"/>
      <c r="B498" s="1"/>
      <c r="C498" s="1"/>
      <c r="D498" s="1"/>
      <c r="E498" s="1"/>
      <c r="F498" s="1"/>
    </row>
    <row r="499" spans="1:6">
      <c r="A499" s="1"/>
      <c r="B499" s="1"/>
      <c r="C499" s="1"/>
      <c r="D499" s="1"/>
      <c r="E499" s="1"/>
      <c r="F499" s="1"/>
    </row>
    <row r="500" spans="1:6">
      <c r="A500" s="1"/>
      <c r="B500" s="1"/>
      <c r="C500" s="1"/>
      <c r="D500" s="1"/>
      <c r="E500" s="1"/>
      <c r="F500" s="1"/>
    </row>
    <row r="501" spans="1:6">
      <c r="A501" s="1"/>
      <c r="B501" s="1"/>
      <c r="C501" s="1"/>
      <c r="D501" s="1"/>
      <c r="E501" s="1"/>
      <c r="F501" s="1"/>
    </row>
    <row r="502" spans="1:6">
      <c r="A502" s="1"/>
      <c r="B502" s="1"/>
      <c r="C502" s="1"/>
      <c r="D502" s="1"/>
      <c r="E502" s="1"/>
      <c r="F502" s="1"/>
    </row>
    <row r="503" spans="1:6">
      <c r="A503" s="1"/>
      <c r="B503" s="1"/>
      <c r="C503" s="1"/>
      <c r="D503" s="1"/>
      <c r="E503" s="1"/>
      <c r="F503" s="1"/>
    </row>
    <row r="504" spans="1:6">
      <c r="A504" s="1"/>
      <c r="B504" s="1"/>
      <c r="C504" s="1"/>
      <c r="D504" s="1"/>
      <c r="E504" s="1"/>
      <c r="F504" s="1"/>
    </row>
    <row r="505" spans="1:6">
      <c r="A505" s="1"/>
      <c r="B505" s="1"/>
      <c r="C505" s="1"/>
      <c r="D505" s="1"/>
      <c r="E505" s="1"/>
      <c r="F505" s="1"/>
    </row>
    <row r="506" spans="1:6">
      <c r="A506" s="1"/>
      <c r="B506" s="1"/>
      <c r="C506" s="1"/>
      <c r="D506" s="1"/>
      <c r="E506" s="1"/>
      <c r="F506" s="1"/>
    </row>
    <row r="507" spans="1:6">
      <c r="A507" s="1"/>
      <c r="B507" s="1"/>
      <c r="C507" s="1"/>
      <c r="D507" s="1"/>
      <c r="E507" s="1"/>
      <c r="F507" s="1"/>
    </row>
    <row r="508" spans="1:6">
      <c r="A508" s="1"/>
      <c r="B508" s="1"/>
      <c r="C508" s="1"/>
      <c r="D508" s="1"/>
      <c r="E508" s="1"/>
      <c r="F508" s="1"/>
    </row>
    <row r="509" spans="1:6">
      <c r="A509" s="1"/>
      <c r="B509" s="1"/>
      <c r="C509" s="1"/>
      <c r="D509" s="1"/>
      <c r="E509" s="1"/>
      <c r="F509" s="1"/>
    </row>
    <row r="510" spans="1:6">
      <c r="A510" s="1"/>
      <c r="B510" s="1"/>
      <c r="C510" s="1"/>
      <c r="D510" s="1"/>
      <c r="E510" s="1"/>
      <c r="F510" s="1"/>
    </row>
    <row r="511" spans="1:6">
      <c r="A511" s="1"/>
      <c r="B511" s="1"/>
      <c r="C511" s="1"/>
      <c r="D511" s="1"/>
      <c r="E511" s="1"/>
      <c r="F511" s="1"/>
    </row>
    <row r="512" spans="1:6">
      <c r="A512" s="1"/>
      <c r="B512" s="1"/>
      <c r="C512" s="1"/>
      <c r="D512" s="1"/>
      <c r="E512" s="1"/>
      <c r="F512" s="1"/>
    </row>
    <row r="513" spans="1:6">
      <c r="A513" s="1"/>
      <c r="B513" s="1"/>
      <c r="C513" s="1"/>
      <c r="D513" s="1"/>
      <c r="E513" s="1"/>
      <c r="F513" s="1"/>
    </row>
    <row r="514" spans="1:6">
      <c r="A514" s="1"/>
      <c r="B514" s="1"/>
      <c r="C514" s="1"/>
      <c r="D514" s="1"/>
      <c r="E514" s="1"/>
      <c r="F514" s="1"/>
    </row>
    <row r="515" spans="1:6">
      <c r="A515" s="1"/>
      <c r="B515" s="1"/>
      <c r="C515" s="1"/>
      <c r="D515" s="1"/>
      <c r="E515" s="1"/>
      <c r="F515" s="1"/>
    </row>
    <row r="516" spans="1:6">
      <c r="A516" s="1"/>
      <c r="B516" s="1"/>
      <c r="C516" s="1"/>
      <c r="D516" s="1"/>
      <c r="E516" s="1"/>
      <c r="F516" s="1"/>
    </row>
    <row r="517" spans="1:6">
      <c r="A517" s="1"/>
      <c r="B517" s="1"/>
      <c r="C517" s="1"/>
      <c r="D517" s="1"/>
      <c r="E517" s="1"/>
      <c r="F517" s="1"/>
    </row>
    <row r="518" spans="1:6">
      <c r="A518" s="1"/>
      <c r="B518" s="1"/>
      <c r="C518" s="1"/>
      <c r="D518" s="1"/>
      <c r="E518" s="1"/>
      <c r="F518" s="1"/>
    </row>
    <row r="519" spans="1:6">
      <c r="A519" s="1"/>
      <c r="B519" s="1"/>
      <c r="C519" s="1"/>
      <c r="D519" s="1"/>
      <c r="E519" s="1"/>
      <c r="F519" s="1"/>
    </row>
    <row r="520" spans="1:6">
      <c r="A520" s="1"/>
      <c r="B520" s="1"/>
      <c r="C520" s="1"/>
      <c r="D520" s="1"/>
      <c r="E520" s="1"/>
      <c r="F520" s="1"/>
    </row>
    <row r="521" spans="1:6">
      <c r="A521" s="1"/>
      <c r="B521" s="1"/>
      <c r="C521" s="1"/>
      <c r="D521" s="1"/>
      <c r="E521" s="1"/>
      <c r="F521" s="1"/>
    </row>
    <row r="522" spans="1:6">
      <c r="A522" s="1"/>
      <c r="B522" s="1"/>
      <c r="C522" s="1"/>
      <c r="D522" s="1"/>
      <c r="E522" s="1"/>
      <c r="F522" s="1"/>
    </row>
    <row r="523" spans="1:6">
      <c r="A523" s="1"/>
      <c r="B523" s="1"/>
      <c r="C523" s="1"/>
      <c r="D523" s="1"/>
      <c r="E523" s="1"/>
      <c r="F523" s="1"/>
    </row>
    <row r="524" spans="1:6">
      <c r="A524" s="1"/>
      <c r="B524" s="1"/>
      <c r="C524" s="1"/>
      <c r="D524" s="1"/>
      <c r="E524" s="1"/>
      <c r="F524" s="1"/>
    </row>
    <row r="525" spans="1:6">
      <c r="A525" s="1"/>
      <c r="B525" s="1"/>
      <c r="C525" s="1"/>
      <c r="D525" s="1"/>
      <c r="E525" s="1"/>
      <c r="F525" s="1"/>
    </row>
    <row r="526" spans="1:6">
      <c r="A526" s="1"/>
      <c r="B526" s="1"/>
      <c r="C526" s="1"/>
      <c r="D526" s="1"/>
      <c r="E526" s="1"/>
      <c r="F526" s="1"/>
    </row>
    <row r="527" spans="1:6">
      <c r="A527" s="1"/>
      <c r="B527" s="1"/>
      <c r="C527" s="1"/>
      <c r="D527" s="1"/>
      <c r="E527" s="1"/>
      <c r="F527" s="1"/>
    </row>
    <row r="528" spans="1:6">
      <c r="A528" s="1"/>
      <c r="B528" s="1"/>
      <c r="C528" s="1"/>
      <c r="D528" s="1"/>
      <c r="E528" s="1"/>
      <c r="F528" s="1"/>
    </row>
    <row r="529" spans="1:6">
      <c r="A529" s="1"/>
      <c r="B529" s="1"/>
      <c r="C529" s="1"/>
      <c r="D529" s="1"/>
      <c r="E529" s="1"/>
      <c r="F529" s="1"/>
    </row>
    <row r="530" spans="1:6">
      <c r="A530" s="1"/>
      <c r="B530" s="1"/>
      <c r="C530" s="1"/>
      <c r="D530" s="1"/>
      <c r="E530" s="1"/>
      <c r="F530" s="1"/>
    </row>
    <row r="531" spans="1:6">
      <c r="A531" s="1"/>
      <c r="B531" s="1"/>
      <c r="C531" s="1"/>
      <c r="D531" s="1"/>
      <c r="E531" s="1"/>
      <c r="F531" s="1"/>
    </row>
    <row r="532" spans="1:6">
      <c r="A532" s="1"/>
      <c r="B532" s="1"/>
      <c r="C532" s="1"/>
      <c r="D532" s="1"/>
      <c r="E532" s="1"/>
      <c r="F532" s="1"/>
    </row>
    <row r="533" spans="1:6">
      <c r="A533" s="1"/>
      <c r="B533" s="1"/>
      <c r="C533" s="1"/>
      <c r="D533" s="1"/>
      <c r="E533" s="1"/>
      <c r="F533" s="1"/>
    </row>
    <row r="534" spans="1:6">
      <c r="A534" s="1"/>
      <c r="B534" s="1"/>
      <c r="C534" s="1"/>
      <c r="D534" s="1"/>
      <c r="E534" s="1"/>
      <c r="F534" s="1"/>
    </row>
    <row r="535" spans="1:6">
      <c r="A535" s="1"/>
      <c r="B535" s="1"/>
      <c r="C535" s="1"/>
      <c r="D535" s="1"/>
      <c r="E535" s="1"/>
      <c r="F535" s="1"/>
    </row>
    <row r="536" spans="1:6">
      <c r="A536" s="1"/>
      <c r="B536" s="1"/>
      <c r="C536" s="1"/>
      <c r="D536" s="1"/>
      <c r="E536" s="1"/>
      <c r="F536" s="1"/>
    </row>
    <row r="537" spans="1:6">
      <c r="A537" s="1"/>
      <c r="B537" s="1"/>
      <c r="C537" s="1"/>
      <c r="D537" s="1"/>
      <c r="E537" s="1"/>
      <c r="F537" s="1"/>
    </row>
    <row r="538" spans="1:6">
      <c r="A538" s="1"/>
      <c r="B538" s="1"/>
      <c r="C538" s="1"/>
      <c r="D538" s="1"/>
      <c r="E538" s="1"/>
      <c r="F538" s="1"/>
    </row>
    <row r="539" spans="1:6">
      <c r="A539" s="1"/>
      <c r="B539" s="1"/>
      <c r="C539" s="1"/>
      <c r="D539" s="1"/>
      <c r="E539" s="1"/>
      <c r="F539" s="1"/>
    </row>
    <row r="540" spans="1:6">
      <c r="A540" s="1"/>
      <c r="B540" s="1"/>
      <c r="C540" s="1"/>
      <c r="D540" s="1"/>
      <c r="E540" s="1"/>
      <c r="F540" s="1"/>
    </row>
    <row r="541" spans="1:6">
      <c r="A541" s="1"/>
      <c r="B541" s="1"/>
      <c r="C541" s="1"/>
      <c r="D541" s="1"/>
      <c r="E541" s="1"/>
      <c r="F541" s="1"/>
    </row>
    <row r="542" spans="1:6">
      <c r="A542" s="1"/>
      <c r="B542" s="1"/>
      <c r="C542" s="1"/>
      <c r="D542" s="1"/>
      <c r="E542" s="1"/>
      <c r="F542" s="1"/>
    </row>
    <row r="543" spans="1:6">
      <c r="A543" s="1"/>
      <c r="B543" s="1"/>
      <c r="C543" s="1"/>
      <c r="D543" s="1"/>
      <c r="E543" s="1"/>
      <c r="F543" s="1"/>
    </row>
    <row r="544" spans="1:6">
      <c r="A544" s="1"/>
      <c r="B544" s="1"/>
      <c r="C544" s="1"/>
      <c r="D544" s="1"/>
      <c r="E544" s="1"/>
      <c r="F544" s="1"/>
    </row>
    <row r="545" spans="1:6">
      <c r="A545" s="1"/>
      <c r="B545" s="1"/>
      <c r="C545" s="1"/>
      <c r="D545" s="1"/>
      <c r="E545" s="1"/>
      <c r="F545" s="1"/>
    </row>
    <row r="546" spans="1:6">
      <c r="A546" s="1"/>
      <c r="B546" s="1"/>
      <c r="C546" s="1"/>
      <c r="D546" s="1"/>
      <c r="E546" s="1"/>
      <c r="F546" s="1"/>
    </row>
    <row r="547" spans="1:6">
      <c r="A547" s="1"/>
      <c r="B547" s="1"/>
      <c r="C547" s="1"/>
      <c r="D547" s="1"/>
      <c r="E547" s="1"/>
      <c r="F547" s="1"/>
    </row>
    <row r="548" spans="1:6">
      <c r="A548" s="1"/>
      <c r="B548" s="1"/>
      <c r="C548" s="1"/>
      <c r="D548" s="1"/>
      <c r="E548" s="1"/>
      <c r="F548" s="1"/>
    </row>
    <row r="549" spans="1:6">
      <c r="A549" s="1"/>
      <c r="B549" s="1"/>
      <c r="C549" s="1"/>
      <c r="D549" s="1"/>
      <c r="E549" s="1"/>
      <c r="F549" s="1"/>
    </row>
    <row r="550" spans="1:6">
      <c r="A550" s="1"/>
      <c r="B550" s="1"/>
      <c r="C550" s="1"/>
      <c r="D550" s="1"/>
      <c r="E550" s="1"/>
      <c r="F550" s="1"/>
    </row>
    <row r="551" spans="1:6">
      <c r="A551" s="1"/>
      <c r="B551" s="1"/>
      <c r="C551" s="1"/>
      <c r="D551" s="1"/>
      <c r="E551" s="1"/>
      <c r="F551" s="1"/>
    </row>
    <row r="552" spans="1:6">
      <c r="A552" s="1"/>
      <c r="B552" s="1"/>
      <c r="C552" s="1"/>
      <c r="D552" s="1"/>
      <c r="E552" s="1"/>
      <c r="F552" s="1"/>
    </row>
    <row r="553" spans="1:6">
      <c r="A553" s="1"/>
      <c r="B553" s="1"/>
      <c r="C553" s="1"/>
      <c r="D553" s="1"/>
      <c r="E553" s="1"/>
      <c r="F553" s="1"/>
    </row>
    <row r="554" spans="1:6">
      <c r="A554" s="1"/>
      <c r="B554" s="1"/>
      <c r="C554" s="1"/>
      <c r="D554" s="1"/>
      <c r="E554" s="1"/>
      <c r="F554" s="1"/>
    </row>
    <row r="555" spans="1:6">
      <c r="A555" s="1"/>
      <c r="B555" s="1"/>
      <c r="C555" s="1"/>
      <c r="D555" s="1"/>
      <c r="E555" s="1"/>
      <c r="F555" s="1"/>
    </row>
    <row r="556" spans="1:6">
      <c r="A556" s="1"/>
      <c r="B556" s="1"/>
      <c r="C556" s="1"/>
      <c r="D556" s="1"/>
      <c r="E556" s="1"/>
      <c r="F556" s="1"/>
    </row>
    <row r="557" spans="1:6">
      <c r="A557" s="1"/>
      <c r="B557" s="1"/>
      <c r="C557" s="1"/>
      <c r="D557" s="1"/>
      <c r="E557" s="1"/>
      <c r="F557" s="1"/>
    </row>
    <row r="558" spans="1:6">
      <c r="A558" s="1"/>
      <c r="B558" s="1"/>
      <c r="C558" s="1"/>
      <c r="D558" s="1"/>
      <c r="E558" s="1"/>
      <c r="F558" s="1"/>
    </row>
    <row r="559" spans="1:6">
      <c r="A559" s="1"/>
      <c r="B559" s="1"/>
      <c r="C559" s="1"/>
      <c r="D559" s="1"/>
      <c r="E559" s="1"/>
      <c r="F559" s="1"/>
    </row>
    <row r="560" spans="1:6">
      <c r="A560" s="1"/>
      <c r="B560" s="1"/>
      <c r="C560" s="1"/>
      <c r="D560" s="1"/>
      <c r="E560" s="1"/>
      <c r="F560" s="1"/>
    </row>
    <row r="561" spans="1:6">
      <c r="A561" s="1"/>
      <c r="B561" s="1"/>
      <c r="C561" s="1"/>
      <c r="D561" s="1"/>
      <c r="E561" s="1"/>
      <c r="F561" s="1"/>
    </row>
    <row r="562" spans="1:6">
      <c r="A562" s="1"/>
      <c r="B562" s="1"/>
      <c r="C562" s="1"/>
      <c r="D562" s="1"/>
      <c r="E562" s="1"/>
      <c r="F562" s="1"/>
    </row>
    <row r="563" spans="1:6">
      <c r="A563" s="1"/>
      <c r="B563" s="1"/>
      <c r="C563" s="1"/>
      <c r="D563" s="1"/>
      <c r="E563" s="1"/>
      <c r="F563" s="1"/>
    </row>
    <row r="564" spans="1:6">
      <c r="A564" s="1"/>
      <c r="B564" s="1"/>
      <c r="C564" s="1"/>
      <c r="D564" s="1"/>
      <c r="E564" s="1"/>
      <c r="F564" s="1"/>
    </row>
    <row r="565" spans="1:6">
      <c r="A565" s="1"/>
      <c r="B565" s="1"/>
      <c r="C565" s="1"/>
      <c r="D565" s="1"/>
      <c r="E565" s="1"/>
      <c r="F565" s="1"/>
    </row>
    <row r="566" spans="1:6">
      <c r="A566" s="1"/>
      <c r="B566" s="1"/>
      <c r="C566" s="1"/>
      <c r="D566" s="1"/>
      <c r="E566" s="1"/>
      <c r="F566" s="1"/>
    </row>
    <row r="567" spans="1:6">
      <c r="A567" s="1"/>
      <c r="B567" s="1"/>
      <c r="C567" s="1"/>
      <c r="D567" s="1"/>
      <c r="E567" s="1"/>
      <c r="F567" s="1"/>
    </row>
    <row r="568" spans="1:6">
      <c r="A568" s="1"/>
      <c r="B568" s="1"/>
      <c r="C568" s="1"/>
      <c r="D568" s="1"/>
      <c r="E568" s="1"/>
      <c r="F568" s="1"/>
    </row>
    <row r="569" spans="1:6">
      <c r="A569" s="1"/>
      <c r="B569" s="1"/>
      <c r="C569" s="1"/>
      <c r="D569" s="1"/>
      <c r="E569" s="1"/>
      <c r="F569" s="1"/>
    </row>
    <row r="570" spans="1:6">
      <c r="A570" s="1"/>
      <c r="B570" s="1"/>
      <c r="C570" s="1"/>
      <c r="D570" s="1"/>
      <c r="E570" s="1"/>
      <c r="F570" s="1"/>
    </row>
    <row r="571" spans="1:6">
      <c r="A571" s="1"/>
      <c r="B571" s="1"/>
      <c r="C571" s="1"/>
      <c r="D571" s="1"/>
      <c r="E571" s="1"/>
      <c r="F571" s="1"/>
    </row>
    <row r="572" spans="1:6">
      <c r="A572" s="1"/>
      <c r="B572" s="1"/>
      <c r="C572" s="1"/>
      <c r="D572" s="1"/>
      <c r="E572" s="1"/>
      <c r="F572" s="1"/>
    </row>
    <row r="573" spans="1:6">
      <c r="A573" s="1"/>
      <c r="B573" s="1"/>
      <c r="C573" s="1"/>
      <c r="D573" s="1"/>
      <c r="E573" s="1"/>
      <c r="F573" s="1"/>
    </row>
    <row r="574" spans="1:6">
      <c r="A574" s="1"/>
      <c r="B574" s="1"/>
      <c r="C574" s="1"/>
      <c r="D574" s="1"/>
      <c r="E574" s="1"/>
      <c r="F574" s="1"/>
    </row>
    <row r="575" spans="1:6">
      <c r="A575" s="1"/>
      <c r="B575" s="1"/>
      <c r="C575" s="1"/>
      <c r="D575" s="1"/>
      <c r="E575" s="1"/>
      <c r="F575" s="1"/>
    </row>
    <row r="576" spans="1:6">
      <c r="A576" s="1"/>
      <c r="B576" s="1"/>
      <c r="C576" s="1"/>
      <c r="D576" s="1"/>
      <c r="E576" s="1"/>
      <c r="F576" s="1"/>
    </row>
    <row r="577" spans="1:6">
      <c r="A577" s="1"/>
      <c r="B577" s="1"/>
      <c r="C577" s="1"/>
      <c r="D577" s="1"/>
      <c r="E577" s="1"/>
      <c r="F577" s="1"/>
    </row>
    <row r="578" spans="1:6">
      <c r="A578" s="1"/>
      <c r="B578" s="1"/>
      <c r="C578" s="1"/>
      <c r="D578" s="1"/>
      <c r="E578" s="1"/>
      <c r="F578" s="1"/>
    </row>
    <row r="579" spans="1:6">
      <c r="A579" s="1"/>
      <c r="B579" s="1"/>
      <c r="C579" s="1"/>
      <c r="D579" s="1"/>
      <c r="E579" s="1"/>
      <c r="F579" s="1"/>
    </row>
    <row r="580" spans="1:6">
      <c r="A580" s="1"/>
      <c r="B580" s="1"/>
      <c r="C580" s="1"/>
      <c r="D580" s="1"/>
      <c r="E580" s="1"/>
      <c r="F580" s="1"/>
    </row>
    <row r="581" spans="1:6">
      <c r="A581" s="1"/>
      <c r="B581" s="1"/>
      <c r="C581" s="1"/>
      <c r="D581" s="1"/>
      <c r="E581" s="1"/>
      <c r="F581" s="1"/>
    </row>
    <row r="582" spans="1:6">
      <c r="A582" s="1"/>
      <c r="B582" s="1"/>
      <c r="C582" s="1"/>
      <c r="D582" s="1"/>
      <c r="E582" s="1"/>
      <c r="F582" s="1"/>
    </row>
    <row r="583" spans="1:6">
      <c r="A583" s="1"/>
      <c r="B583" s="1"/>
      <c r="C583" s="1"/>
      <c r="D583" s="1"/>
      <c r="E583" s="1"/>
      <c r="F583" s="1"/>
    </row>
    <row r="584" spans="1:6">
      <c r="A584" s="1"/>
      <c r="B584" s="1"/>
      <c r="C584" s="1"/>
      <c r="D584" s="1"/>
      <c r="E584" s="1"/>
      <c r="F584" s="1"/>
    </row>
    <row r="585" spans="1:6">
      <c r="A585" s="1"/>
      <c r="B585" s="1"/>
      <c r="C585" s="1"/>
      <c r="D585" s="1"/>
      <c r="E585" s="1"/>
      <c r="F585" s="1"/>
    </row>
    <row r="586" spans="1:6">
      <c r="A586" s="1"/>
      <c r="B586" s="1"/>
      <c r="C586" s="1"/>
      <c r="D586" s="1"/>
      <c r="E586" s="1"/>
      <c r="F586" s="1"/>
    </row>
    <row r="587" spans="1:6">
      <c r="A587" s="1"/>
      <c r="B587" s="1"/>
      <c r="C587" s="1"/>
      <c r="D587" s="1"/>
      <c r="E587" s="1"/>
      <c r="F587" s="1"/>
    </row>
    <row r="588" spans="1:6">
      <c r="A588" s="1"/>
      <c r="B588" s="1"/>
      <c r="C588" s="1"/>
      <c r="D588" s="1"/>
      <c r="E588" s="1"/>
      <c r="F588" s="1"/>
    </row>
    <row r="589" spans="1:6">
      <c r="A589" s="1"/>
      <c r="B589" s="1"/>
      <c r="C589" s="1"/>
      <c r="D589" s="1"/>
      <c r="E589" s="1"/>
      <c r="F589" s="1"/>
    </row>
    <row r="590" spans="1:6">
      <c r="A590" s="1"/>
      <c r="B590" s="1"/>
      <c r="C590" s="1"/>
      <c r="D590" s="1"/>
      <c r="E590" s="1"/>
      <c r="F590" s="1"/>
    </row>
    <row r="591" spans="1:6">
      <c r="A591" s="1"/>
      <c r="B591" s="1"/>
      <c r="C591" s="1"/>
      <c r="D591" s="1"/>
      <c r="E591" s="1"/>
      <c r="F591" s="1"/>
    </row>
    <row r="592" spans="1:6">
      <c r="A592" s="1"/>
      <c r="B592" s="1"/>
      <c r="C592" s="1"/>
      <c r="D592" s="1"/>
      <c r="E592" s="1"/>
      <c r="F592" s="1"/>
    </row>
    <row r="593" spans="1:6">
      <c r="A593" s="1"/>
      <c r="B593" s="1"/>
      <c r="C593" s="1"/>
      <c r="D593" s="1"/>
      <c r="E593" s="1"/>
      <c r="F593" s="1"/>
    </row>
    <row r="594" spans="1:6">
      <c r="A594" s="1"/>
      <c r="B594" s="1"/>
      <c r="C594" s="1"/>
      <c r="D594" s="1"/>
      <c r="E594" s="1"/>
      <c r="F594" s="1"/>
    </row>
    <row r="595" spans="1:6">
      <c r="A595" s="1"/>
      <c r="B595" s="1"/>
      <c r="C595" s="1"/>
      <c r="D595" s="1"/>
      <c r="E595" s="1"/>
      <c r="F595" s="1"/>
    </row>
    <row r="596" spans="1:6">
      <c r="A596" s="1"/>
      <c r="B596" s="1"/>
      <c r="C596" s="1"/>
      <c r="D596" s="1"/>
      <c r="E596" s="1"/>
      <c r="F596" s="1"/>
    </row>
    <row r="597" spans="1:6">
      <c r="A597" s="1"/>
      <c r="B597" s="1"/>
      <c r="C597" s="1"/>
      <c r="D597" s="1"/>
      <c r="E597" s="1"/>
      <c r="F597" s="1"/>
    </row>
    <row r="598" spans="1:6">
      <c r="A598" s="1"/>
      <c r="B598" s="1"/>
      <c r="C598" s="1"/>
      <c r="D598" s="1"/>
      <c r="E598" s="1"/>
      <c r="F598" s="1"/>
    </row>
    <row r="599" spans="1:6">
      <c r="A599" s="1"/>
      <c r="B599" s="1"/>
      <c r="C599" s="1"/>
      <c r="D599" s="1"/>
      <c r="E599" s="1"/>
      <c r="F599" s="1"/>
    </row>
    <row r="600" spans="1:6">
      <c r="A600" s="1"/>
      <c r="B600" s="1"/>
      <c r="C600" s="1"/>
      <c r="D600" s="1"/>
      <c r="E600" s="1"/>
      <c r="F600" s="1"/>
    </row>
    <row r="601" spans="1:6">
      <c r="A601" s="1"/>
      <c r="B601" s="1"/>
      <c r="C601" s="1"/>
      <c r="D601" s="1"/>
      <c r="E601" s="1"/>
      <c r="F601" s="1"/>
    </row>
    <row r="602" spans="1:6">
      <c r="A602" s="1"/>
      <c r="B602" s="1"/>
      <c r="C602" s="1"/>
      <c r="D602" s="1"/>
      <c r="E602" s="1"/>
      <c r="F602" s="1"/>
    </row>
    <row r="603" spans="1:6">
      <c r="A603" s="1"/>
      <c r="B603" s="1"/>
      <c r="C603" s="1"/>
      <c r="D603" s="1"/>
      <c r="E603" s="1"/>
      <c r="F603" s="1"/>
    </row>
    <row r="604" spans="1:6">
      <c r="A604" s="1"/>
      <c r="B604" s="1"/>
      <c r="C604" s="1"/>
      <c r="D604" s="1"/>
      <c r="E604" s="1"/>
      <c r="F604" s="1"/>
    </row>
    <row r="605" spans="1:6">
      <c r="A605" s="1"/>
      <c r="B605" s="1"/>
      <c r="C605" s="1"/>
      <c r="D605" s="1"/>
      <c r="E605" s="1"/>
      <c r="F605" s="1"/>
    </row>
    <row r="606" spans="1:6">
      <c r="A606" s="1"/>
      <c r="B606" s="1"/>
      <c r="C606" s="1"/>
      <c r="D606" s="1"/>
      <c r="E606" s="1"/>
      <c r="F606" s="1"/>
    </row>
    <row r="607" spans="1:6">
      <c r="A607" s="1"/>
      <c r="B607" s="1"/>
      <c r="C607" s="1"/>
      <c r="D607" s="1"/>
      <c r="E607" s="1"/>
      <c r="F607" s="1"/>
    </row>
    <row r="608" spans="1:6">
      <c r="A608" s="1"/>
      <c r="B608" s="1"/>
      <c r="C608" s="1"/>
      <c r="D608" s="1"/>
      <c r="E608" s="1"/>
      <c r="F608" s="1"/>
    </row>
    <row r="609" spans="1:6">
      <c r="A609" s="1"/>
      <c r="B609" s="1"/>
      <c r="C609" s="1"/>
      <c r="D609" s="1"/>
      <c r="E609" s="1"/>
      <c r="F609" s="1"/>
    </row>
    <row r="610" spans="1:6">
      <c r="A610" s="1"/>
      <c r="B610" s="1"/>
      <c r="C610" s="1"/>
      <c r="D610" s="1"/>
      <c r="E610" s="1"/>
      <c r="F610" s="1"/>
    </row>
    <row r="611" spans="1:6">
      <c r="A611" s="1"/>
      <c r="B611" s="1"/>
      <c r="C611" s="1"/>
      <c r="D611" s="1"/>
      <c r="E611" s="1"/>
      <c r="F611" s="1"/>
    </row>
    <row r="612" spans="1:6">
      <c r="A612" s="1"/>
      <c r="B612" s="1"/>
      <c r="C612" s="1"/>
      <c r="D612" s="1"/>
      <c r="E612" s="1"/>
      <c r="F612" s="1"/>
    </row>
    <row r="613" spans="1:6">
      <c r="A613" s="1"/>
      <c r="B613" s="1"/>
      <c r="C613" s="1"/>
      <c r="D613" s="1"/>
      <c r="E613" s="1"/>
      <c r="F613" s="1"/>
    </row>
    <row r="614" spans="1:6">
      <c r="A614" s="1"/>
      <c r="B614" s="1"/>
      <c r="C614" s="1"/>
      <c r="D614" s="1"/>
      <c r="E614" s="1"/>
      <c r="F614" s="1"/>
    </row>
    <row r="615" spans="1:6">
      <c r="A615" s="1"/>
      <c r="B615" s="1"/>
      <c r="C615" s="1"/>
      <c r="D615" s="1"/>
      <c r="E615" s="1"/>
      <c r="F615" s="1"/>
    </row>
    <row r="616" spans="1:6">
      <c r="A616" s="1"/>
      <c r="B616" s="1"/>
      <c r="C616" s="1"/>
      <c r="D616" s="1"/>
      <c r="E616" s="1"/>
      <c r="F616" s="1"/>
    </row>
    <row r="617" spans="1:6">
      <c r="A617" s="1"/>
      <c r="B617" s="1"/>
      <c r="C617" s="1"/>
      <c r="D617" s="1"/>
      <c r="E617" s="1"/>
      <c r="F617" s="1"/>
    </row>
    <row r="618" spans="1:6">
      <c r="A618" s="1"/>
      <c r="B618" s="1"/>
      <c r="C618" s="1"/>
      <c r="D618" s="1"/>
      <c r="E618" s="1"/>
      <c r="F618" s="1"/>
    </row>
    <row r="619" spans="1:6">
      <c r="A619" s="1"/>
      <c r="B619" s="1"/>
      <c r="C619" s="1"/>
      <c r="D619" s="1"/>
      <c r="E619" s="1"/>
      <c r="F619" s="1"/>
    </row>
    <row r="620" spans="1:6">
      <c r="A620" s="1"/>
      <c r="B620" s="1"/>
      <c r="C620" s="1"/>
      <c r="D620" s="1"/>
      <c r="E620" s="1"/>
      <c r="F620" s="1"/>
    </row>
    <row r="621" spans="1:6">
      <c r="A621" s="1"/>
      <c r="B621" s="1"/>
      <c r="C621" s="1"/>
      <c r="D621" s="1"/>
      <c r="E621" s="1"/>
      <c r="F621" s="1"/>
    </row>
    <row r="622" spans="1:6">
      <c r="A622" s="1"/>
      <c r="B622" s="1"/>
      <c r="C622" s="1"/>
      <c r="D622" s="1"/>
      <c r="E622" s="1"/>
      <c r="F622" s="1"/>
    </row>
    <row r="623" spans="1:6">
      <c r="A623" s="1"/>
      <c r="B623" s="1"/>
      <c r="C623" s="1"/>
      <c r="D623" s="1"/>
      <c r="E623" s="1"/>
      <c r="F623" s="1"/>
    </row>
    <row r="624" spans="1:6">
      <c r="A624" s="1"/>
      <c r="B624" s="1"/>
      <c r="C624" s="1"/>
      <c r="D624" s="1"/>
      <c r="E624" s="1"/>
      <c r="F624" s="1"/>
    </row>
    <row r="625" spans="1:6">
      <c r="A625" s="1"/>
      <c r="B625" s="1"/>
      <c r="C625" s="1"/>
      <c r="D625" s="1"/>
      <c r="E625" s="1"/>
      <c r="F625" s="1"/>
    </row>
    <row r="626" spans="1:6">
      <c r="A626" s="1"/>
      <c r="B626" s="1"/>
      <c r="C626" s="1"/>
      <c r="D626" s="1"/>
      <c r="E626" s="1"/>
      <c r="F626" s="1"/>
    </row>
    <row r="627" spans="1:6">
      <c r="A627" s="1"/>
      <c r="B627" s="1"/>
      <c r="C627" s="1"/>
      <c r="D627" s="1"/>
      <c r="E627" s="1"/>
      <c r="F627" s="1"/>
    </row>
    <row r="628" spans="1:6">
      <c r="A628" s="1"/>
      <c r="B628" s="1"/>
      <c r="C628" s="1"/>
      <c r="D628" s="1"/>
      <c r="E628" s="1"/>
      <c r="F628" s="1"/>
    </row>
    <row r="629" spans="1:6">
      <c r="A629" s="1"/>
      <c r="B629" s="1"/>
      <c r="C629" s="1"/>
      <c r="D629" s="1"/>
      <c r="E629" s="1"/>
      <c r="F629" s="1"/>
    </row>
    <row r="630" spans="1:6">
      <c r="A630" s="1"/>
      <c r="B630" s="1"/>
      <c r="C630" s="1"/>
      <c r="D630" s="1"/>
      <c r="E630" s="1"/>
      <c r="F630" s="1"/>
    </row>
    <row r="631" spans="1:6">
      <c r="A631" s="1"/>
      <c r="B631" s="1"/>
      <c r="C631" s="1"/>
      <c r="D631" s="1"/>
      <c r="E631" s="1"/>
      <c r="F631" s="1"/>
    </row>
    <row r="632" spans="1:6">
      <c r="A632" s="1"/>
      <c r="B632" s="1"/>
      <c r="C632" s="1"/>
      <c r="D632" s="1"/>
      <c r="E632" s="1"/>
      <c r="F632" s="1"/>
    </row>
    <row r="633" spans="1:6">
      <c r="A633" s="1"/>
      <c r="B633" s="1"/>
      <c r="C633" s="1"/>
      <c r="D633" s="1"/>
      <c r="E633" s="1"/>
      <c r="F633" s="1"/>
    </row>
    <row r="634" spans="1:6">
      <c r="A634" s="1"/>
      <c r="B634" s="1"/>
      <c r="C634" s="1"/>
      <c r="D634" s="1"/>
      <c r="E634" s="1"/>
      <c r="F634" s="1"/>
    </row>
    <row r="635" spans="1:6">
      <c r="A635" s="1"/>
      <c r="B635" s="1"/>
      <c r="C635" s="1"/>
      <c r="D635" s="1"/>
      <c r="E635" s="1"/>
      <c r="F635" s="1"/>
    </row>
    <row r="636" spans="1:6">
      <c r="A636" s="1"/>
      <c r="B636" s="1"/>
      <c r="C636" s="1"/>
      <c r="D636" s="1"/>
      <c r="E636" s="1"/>
      <c r="F636" s="1"/>
    </row>
    <row r="637" spans="1:6">
      <c r="A637" s="1"/>
      <c r="B637" s="1"/>
      <c r="C637" s="1"/>
      <c r="D637" s="1"/>
      <c r="E637" s="1"/>
      <c r="F637" s="1"/>
    </row>
    <row r="638" spans="1:6">
      <c r="A638" s="1"/>
      <c r="B638" s="1"/>
      <c r="C638" s="1"/>
      <c r="D638" s="1"/>
      <c r="E638" s="1"/>
      <c r="F638" s="1"/>
    </row>
    <row r="639" spans="1:6">
      <c r="A639" s="1"/>
      <c r="B639" s="1"/>
      <c r="C639" s="1"/>
      <c r="D639" s="1"/>
      <c r="E639" s="1"/>
      <c r="F639" s="1"/>
    </row>
    <row r="640" spans="1:6">
      <c r="A640" s="1"/>
      <c r="B640" s="1"/>
      <c r="C640" s="1"/>
      <c r="D640" s="1"/>
      <c r="E640" s="1"/>
      <c r="F640" s="1"/>
    </row>
    <row r="641" spans="1:6">
      <c r="A641" s="1"/>
      <c r="B641" s="1"/>
      <c r="C641" s="1"/>
      <c r="D641" s="1"/>
      <c r="E641" s="1"/>
      <c r="F641" s="1"/>
    </row>
    <row r="642" spans="1:6">
      <c r="A642" s="1"/>
      <c r="B642" s="1"/>
      <c r="C642" s="1"/>
      <c r="D642" s="1"/>
      <c r="E642" s="1"/>
      <c r="F642" s="1"/>
    </row>
    <row r="643" spans="1:6">
      <c r="A643" s="1"/>
      <c r="B643" s="1"/>
      <c r="C643" s="1"/>
      <c r="D643" s="1"/>
      <c r="E643" s="1"/>
      <c r="F643" s="1"/>
    </row>
    <row r="644" spans="1:6">
      <c r="A644" s="1"/>
      <c r="B644" s="1"/>
      <c r="C644" s="1"/>
      <c r="D644" s="1"/>
      <c r="E644" s="1"/>
      <c r="F644" s="1"/>
    </row>
    <row r="645" spans="1:6">
      <c r="A645" s="1"/>
      <c r="B645" s="1"/>
      <c r="C645" s="1"/>
      <c r="D645" s="1"/>
      <c r="E645" s="1"/>
      <c r="F645" s="1"/>
    </row>
    <row r="646" spans="1:6">
      <c r="A646" s="1"/>
      <c r="B646" s="1"/>
      <c r="C646" s="1"/>
      <c r="D646" s="1"/>
      <c r="E646" s="1"/>
      <c r="F646" s="1"/>
    </row>
    <row r="647" spans="1:6">
      <c r="A647" s="1"/>
      <c r="B647" s="1"/>
      <c r="C647" s="1"/>
      <c r="D647" s="1"/>
      <c r="E647" s="1"/>
      <c r="F647" s="1"/>
    </row>
    <row r="648" spans="1:6">
      <c r="A648" s="1"/>
      <c r="B648" s="1"/>
      <c r="C648" s="1"/>
      <c r="D648" s="1"/>
      <c r="E648" s="1"/>
      <c r="F648" s="1"/>
    </row>
    <row r="649" spans="1:6">
      <c r="A649" s="1"/>
      <c r="B649" s="1"/>
      <c r="C649" s="1"/>
      <c r="D649" s="1"/>
      <c r="E649" s="1"/>
      <c r="F649" s="1"/>
    </row>
    <row r="650" spans="1:6">
      <c r="A650" s="1"/>
      <c r="B650" s="1"/>
      <c r="C650" s="1"/>
      <c r="D650" s="1"/>
      <c r="E650" s="1"/>
      <c r="F650" s="1"/>
    </row>
    <row r="651" spans="1:6">
      <c r="A651" s="1"/>
      <c r="B651" s="1"/>
      <c r="C651" s="1"/>
      <c r="D651" s="1"/>
      <c r="E651" s="1"/>
      <c r="F651" s="1"/>
    </row>
    <row r="652" spans="1:6">
      <c r="A652" s="1"/>
      <c r="B652" s="1"/>
      <c r="C652" s="1"/>
      <c r="D652" s="1"/>
      <c r="E652" s="1"/>
      <c r="F652" s="1"/>
    </row>
    <row r="653" spans="1:6">
      <c r="A653" s="1"/>
      <c r="B653" s="1"/>
      <c r="C653" s="1"/>
      <c r="D653" s="1"/>
      <c r="E653" s="1"/>
      <c r="F653" s="1"/>
    </row>
    <row r="654" spans="1:6">
      <c r="A654" s="1"/>
      <c r="B654" s="1"/>
      <c r="C654" s="1"/>
      <c r="D654" s="1"/>
      <c r="E654" s="1"/>
      <c r="F654" s="1"/>
    </row>
    <row r="655" spans="1:6">
      <c r="A655" s="1"/>
      <c r="B655" s="1"/>
      <c r="C655" s="1"/>
      <c r="D655" s="1"/>
      <c r="E655" s="1"/>
      <c r="F655" s="1"/>
    </row>
    <row r="656" spans="1:6">
      <c r="A656" s="1"/>
      <c r="B656" s="1"/>
      <c r="C656" s="1"/>
      <c r="D656" s="1"/>
      <c r="E656" s="1"/>
      <c r="F656" s="1"/>
    </row>
    <row r="657" spans="1:6">
      <c r="A657" s="1"/>
      <c r="B657" s="1"/>
      <c r="C657" s="1"/>
      <c r="D657" s="1"/>
      <c r="E657" s="1"/>
      <c r="F657" s="1"/>
    </row>
    <row r="658" spans="1:6">
      <c r="A658" s="1"/>
      <c r="B658" s="1"/>
      <c r="C658" s="1"/>
      <c r="D658" s="1"/>
      <c r="E658" s="1"/>
      <c r="F658" s="1"/>
    </row>
    <row r="659" spans="1:6">
      <c r="A659" s="1"/>
      <c r="B659" s="1"/>
      <c r="C659" s="1"/>
      <c r="D659" s="1"/>
      <c r="E659" s="1"/>
      <c r="F659" s="1"/>
    </row>
    <row r="660" spans="1:6">
      <c r="A660" s="1"/>
      <c r="B660" s="1"/>
      <c r="C660" s="1"/>
      <c r="D660" s="1"/>
      <c r="E660" s="1"/>
      <c r="F660" s="1"/>
    </row>
    <row r="661" spans="1:6">
      <c r="A661" s="1"/>
      <c r="B661" s="1"/>
      <c r="C661" s="1"/>
      <c r="D661" s="1"/>
      <c r="E661" s="1"/>
      <c r="F661" s="1"/>
    </row>
    <row r="662" spans="1:6">
      <c r="A662" s="1"/>
      <c r="B662" s="1"/>
      <c r="C662" s="1"/>
      <c r="D662" s="1"/>
      <c r="E662" s="1"/>
      <c r="F662" s="1"/>
    </row>
    <row r="663" spans="1:6">
      <c r="A663" s="1"/>
      <c r="B663" s="1"/>
      <c r="C663" s="1"/>
      <c r="D663" s="1"/>
      <c r="E663" s="1"/>
      <c r="F663" s="1"/>
    </row>
    <row r="664" spans="1:6">
      <c r="A664" s="1"/>
      <c r="B664" s="1"/>
      <c r="C664" s="1"/>
      <c r="D664" s="1"/>
      <c r="E664" s="1"/>
      <c r="F664" s="1"/>
    </row>
    <row r="665" spans="1:6">
      <c r="A665" s="1"/>
      <c r="B665" s="1"/>
      <c r="C665" s="1"/>
      <c r="D665" s="1"/>
      <c r="E665" s="1"/>
      <c r="F665" s="1"/>
    </row>
    <row r="666" spans="1:6">
      <c r="A666" s="1"/>
      <c r="B666" s="1"/>
      <c r="C666" s="1"/>
      <c r="D666" s="1"/>
      <c r="E666" s="1"/>
      <c r="F666" s="1"/>
    </row>
    <row r="667" spans="1:6">
      <c r="A667" s="1"/>
      <c r="B667" s="1"/>
      <c r="C667" s="1"/>
      <c r="D667" s="1"/>
      <c r="E667" s="1"/>
      <c r="F667" s="1"/>
    </row>
    <row r="668" spans="1:6">
      <c r="A668" s="1"/>
      <c r="B668" s="1"/>
      <c r="C668" s="1"/>
      <c r="D668" s="1"/>
      <c r="E668" s="1"/>
      <c r="F668" s="1"/>
    </row>
    <row r="669" spans="1:6">
      <c r="A669" s="1"/>
      <c r="B669" s="1"/>
      <c r="C669" s="1"/>
      <c r="D669" s="1"/>
      <c r="E669" s="1"/>
      <c r="F669" s="1"/>
    </row>
    <row r="670" spans="1:6">
      <c r="A670" s="1"/>
      <c r="B670" s="1"/>
      <c r="C670" s="1"/>
      <c r="D670" s="1"/>
      <c r="E670" s="1"/>
      <c r="F670" s="1"/>
    </row>
    <row r="671" spans="1:6">
      <c r="A671" s="1"/>
      <c r="B671" s="1"/>
      <c r="C671" s="1"/>
      <c r="D671" s="1"/>
      <c r="E671" s="1"/>
      <c r="F671" s="1"/>
    </row>
    <row r="672" spans="1:6">
      <c r="A672" s="1"/>
      <c r="B672" s="1"/>
      <c r="C672" s="1"/>
      <c r="D672" s="1"/>
      <c r="E672" s="1"/>
      <c r="F672" s="1"/>
    </row>
    <row r="673" spans="1:6">
      <c r="A673" s="1"/>
      <c r="B673" s="1"/>
      <c r="C673" s="1"/>
      <c r="D673" s="1"/>
      <c r="E673" s="1"/>
      <c r="F673" s="1"/>
    </row>
    <row r="674" spans="1:6">
      <c r="A674" s="1"/>
      <c r="B674" s="1"/>
      <c r="C674" s="1"/>
      <c r="D674" s="1"/>
      <c r="E674" s="1"/>
      <c r="F674" s="1"/>
    </row>
    <row r="675" spans="1:6">
      <c r="A675" s="1"/>
      <c r="B675" s="1"/>
      <c r="C675" s="1"/>
      <c r="D675" s="1"/>
      <c r="E675" s="1"/>
      <c r="F675" s="1"/>
    </row>
    <row r="676" spans="1:6">
      <c r="A676" s="1"/>
      <c r="B676" s="1"/>
      <c r="C676" s="1"/>
      <c r="D676" s="1"/>
      <c r="E676" s="1"/>
      <c r="F676" s="1"/>
    </row>
    <row r="677" spans="1:6">
      <c r="A677" s="1"/>
      <c r="B677" s="1"/>
      <c r="C677" s="1"/>
      <c r="D677" s="1"/>
      <c r="E677" s="1"/>
      <c r="F677" s="1"/>
    </row>
    <row r="678" spans="1:6">
      <c r="A678" s="1"/>
      <c r="B678" s="1"/>
      <c r="C678" s="1"/>
      <c r="D678" s="1"/>
      <c r="E678" s="1"/>
      <c r="F678" s="1"/>
    </row>
    <row r="679" spans="1:6">
      <c r="A679" s="1"/>
      <c r="B679" s="1"/>
      <c r="C679" s="1"/>
      <c r="D679" s="1"/>
      <c r="E679" s="1"/>
      <c r="F679" s="1"/>
    </row>
    <row r="680" spans="1:6">
      <c r="A680" s="1"/>
      <c r="B680" s="1"/>
      <c r="C680" s="1"/>
      <c r="D680" s="1"/>
      <c r="E680" s="1"/>
      <c r="F680" s="1"/>
    </row>
    <row r="681" spans="1:6">
      <c r="A681" s="1"/>
      <c r="B681" s="1"/>
      <c r="C681" s="1"/>
      <c r="D681" s="1"/>
      <c r="E681" s="1"/>
      <c r="F681" s="1"/>
    </row>
    <row r="682" spans="1:6">
      <c r="A682" s="1"/>
      <c r="B682" s="1"/>
      <c r="C682" s="1"/>
      <c r="D682" s="1"/>
      <c r="E682" s="1"/>
      <c r="F682" s="1"/>
    </row>
    <row r="683" spans="1:6">
      <c r="A683" s="1"/>
      <c r="B683" s="1"/>
      <c r="C683" s="1"/>
      <c r="D683" s="1"/>
      <c r="E683" s="1"/>
      <c r="F683" s="1"/>
    </row>
    <row r="684" spans="1:6">
      <c r="A684" s="1"/>
      <c r="B684" s="1"/>
      <c r="C684" s="1"/>
      <c r="D684" s="1"/>
      <c r="E684" s="1"/>
      <c r="F684" s="1"/>
    </row>
    <row r="685" spans="1:6">
      <c r="A685" s="1"/>
      <c r="B685" s="1"/>
      <c r="C685" s="1"/>
      <c r="D685" s="1"/>
      <c r="E685" s="1"/>
      <c r="F685" s="1"/>
    </row>
    <row r="686" spans="1:6">
      <c r="A686" s="1"/>
      <c r="B686" s="1"/>
      <c r="C686" s="1"/>
      <c r="D686" s="1"/>
      <c r="E686" s="1"/>
      <c r="F686" s="1"/>
    </row>
    <row r="687" spans="1:6">
      <c r="A687" s="1"/>
      <c r="B687" s="1"/>
      <c r="C687" s="1"/>
      <c r="D687" s="1"/>
      <c r="E687" s="1"/>
      <c r="F687" s="1"/>
    </row>
    <row r="688" spans="1:6">
      <c r="A688" s="1"/>
      <c r="B688" s="1"/>
      <c r="C688" s="1"/>
      <c r="D688" s="1"/>
      <c r="E688" s="1"/>
      <c r="F688" s="1"/>
    </row>
    <row r="689" spans="1:6">
      <c r="A689" s="1"/>
      <c r="B689" s="1"/>
      <c r="C689" s="1"/>
      <c r="D689" s="1"/>
      <c r="E689" s="1"/>
      <c r="F689" s="1"/>
    </row>
    <row r="690" spans="1:6">
      <c r="A690" s="1"/>
      <c r="B690" s="1"/>
      <c r="C690" s="1"/>
      <c r="D690" s="1"/>
      <c r="E690" s="1"/>
      <c r="F690" s="1"/>
    </row>
    <row r="691" spans="1:6">
      <c r="A691" s="1"/>
      <c r="B691" s="1"/>
      <c r="C691" s="1"/>
      <c r="D691" s="1"/>
      <c r="E691" s="1"/>
      <c r="F691" s="1"/>
    </row>
    <row r="692" spans="1:6">
      <c r="A692" s="1"/>
      <c r="B692" s="1"/>
      <c r="C692" s="1"/>
      <c r="D692" s="1"/>
      <c r="E692" s="1"/>
      <c r="F692" s="1"/>
    </row>
    <row r="693" spans="1:6">
      <c r="A693" s="1"/>
      <c r="B693" s="1"/>
      <c r="C693" s="1"/>
      <c r="D693" s="1"/>
      <c r="E693" s="1"/>
      <c r="F693" s="1"/>
    </row>
    <row r="694" spans="1:6">
      <c r="A694" s="1"/>
      <c r="B694" s="1"/>
      <c r="C694" s="1"/>
      <c r="D694" s="1"/>
      <c r="E694" s="1"/>
      <c r="F694" s="1"/>
    </row>
    <row r="695" spans="1:6">
      <c r="A695" s="1"/>
      <c r="B695" s="1"/>
      <c r="C695" s="1"/>
      <c r="D695" s="1"/>
      <c r="E695" s="1"/>
      <c r="F695" s="1"/>
    </row>
    <row r="696" spans="1:6">
      <c r="A696" s="1"/>
      <c r="B696" s="1"/>
      <c r="C696" s="1"/>
      <c r="D696" s="1"/>
      <c r="E696" s="1"/>
      <c r="F696" s="1"/>
    </row>
    <row r="697" spans="1:6">
      <c r="A697" s="1"/>
      <c r="B697" s="1"/>
      <c r="C697" s="1"/>
      <c r="D697" s="1"/>
      <c r="E697" s="1"/>
      <c r="F697" s="1"/>
    </row>
    <row r="698" spans="1:6">
      <c r="A698" s="1"/>
      <c r="B698" s="1"/>
      <c r="C698" s="1"/>
      <c r="D698" s="1"/>
      <c r="E698" s="1"/>
      <c r="F698" s="1"/>
    </row>
    <row r="699" spans="1:6">
      <c r="A699" s="1"/>
      <c r="B699" s="1"/>
      <c r="C699" s="1"/>
      <c r="D699" s="1"/>
      <c r="E699" s="1"/>
      <c r="F699" s="1"/>
    </row>
    <row r="700" spans="1:6">
      <c r="A700" s="1"/>
      <c r="B700" s="1"/>
      <c r="C700" s="1"/>
      <c r="D700" s="1"/>
      <c r="E700" s="1"/>
      <c r="F700" s="1"/>
    </row>
    <row r="701" spans="1:6">
      <c r="A701" s="1"/>
      <c r="B701" s="1"/>
      <c r="C701" s="1"/>
      <c r="D701" s="1"/>
      <c r="E701" s="1"/>
      <c r="F701" s="1"/>
    </row>
    <row r="702" spans="1:6">
      <c r="A702" s="1"/>
      <c r="B702" s="1"/>
      <c r="C702" s="1"/>
      <c r="D702" s="1"/>
      <c r="E702" s="1"/>
      <c r="F702" s="1"/>
    </row>
    <row r="703" spans="1:6">
      <c r="A703" s="1"/>
      <c r="B703" s="1"/>
      <c r="C703" s="1"/>
      <c r="D703" s="1"/>
      <c r="E703" s="1"/>
      <c r="F703" s="1"/>
    </row>
    <row r="704" spans="1:6">
      <c r="A704" s="1"/>
      <c r="B704" s="1"/>
      <c r="C704" s="1"/>
      <c r="D704" s="1"/>
      <c r="E704" s="1"/>
      <c r="F704" s="1"/>
    </row>
    <row r="705" spans="1:6">
      <c r="A705" s="1"/>
      <c r="B705" s="1"/>
      <c r="C705" s="1"/>
      <c r="D705" s="1"/>
      <c r="E705" s="1"/>
      <c r="F705" s="1"/>
    </row>
    <row r="706" spans="1:6">
      <c r="A706" s="1"/>
      <c r="B706" s="1"/>
      <c r="C706" s="1"/>
      <c r="D706" s="1"/>
      <c r="E706" s="1"/>
      <c r="F706" s="1"/>
    </row>
    <row r="707" spans="1:6">
      <c r="A707" s="1"/>
      <c r="B707" s="1"/>
      <c r="C707" s="1"/>
      <c r="D707" s="1"/>
      <c r="E707" s="1"/>
      <c r="F707" s="1"/>
    </row>
    <row r="708" spans="1:6">
      <c r="A708" s="1"/>
      <c r="B708" s="1"/>
      <c r="C708" s="1"/>
      <c r="D708" s="1"/>
      <c r="E708" s="1"/>
      <c r="F708" s="1"/>
    </row>
    <row r="709" spans="1:6">
      <c r="A709" s="1"/>
      <c r="B709" s="1"/>
      <c r="C709" s="1"/>
      <c r="D709" s="1"/>
      <c r="E709" s="1"/>
      <c r="F709" s="1"/>
    </row>
    <row r="710" spans="1:6">
      <c r="A710" s="1"/>
      <c r="B710" s="1"/>
      <c r="C710" s="1"/>
      <c r="D710" s="1"/>
      <c r="E710" s="1"/>
      <c r="F710" s="1"/>
    </row>
    <row r="711" spans="1:6">
      <c r="A711" s="1"/>
      <c r="B711" s="1"/>
      <c r="C711" s="1"/>
      <c r="D711" s="1"/>
      <c r="E711" s="1"/>
      <c r="F711" s="1"/>
    </row>
    <row r="712" spans="1:6">
      <c r="A712" s="1"/>
      <c r="B712" s="1"/>
      <c r="C712" s="1"/>
      <c r="D712" s="1"/>
      <c r="E712" s="1"/>
      <c r="F712" s="1"/>
    </row>
    <row r="713" spans="1:6">
      <c r="A713" s="1"/>
      <c r="B713" s="1"/>
      <c r="C713" s="1"/>
      <c r="D713" s="1"/>
      <c r="E713" s="1"/>
      <c r="F713" s="1"/>
    </row>
    <row r="714" spans="1:6">
      <c r="A714" s="1"/>
      <c r="B714" s="1"/>
      <c r="C714" s="1"/>
      <c r="D714" s="1"/>
      <c r="E714" s="1"/>
      <c r="F714" s="1"/>
    </row>
    <row r="715" spans="1:6">
      <c r="A715" s="1"/>
      <c r="B715" s="1"/>
      <c r="C715" s="1"/>
      <c r="D715" s="1"/>
      <c r="E715" s="1"/>
      <c r="F715" s="1"/>
    </row>
    <row r="716" spans="1:6">
      <c r="A716" s="1"/>
      <c r="B716" s="1"/>
      <c r="C716" s="1"/>
      <c r="D716" s="1"/>
      <c r="E716" s="1"/>
      <c r="F716" s="1"/>
    </row>
    <row r="717" spans="1:6">
      <c r="A717" s="1"/>
      <c r="B717" s="1"/>
      <c r="C717" s="1"/>
      <c r="D717" s="1"/>
      <c r="E717" s="1"/>
      <c r="F717" s="1"/>
    </row>
    <row r="718" spans="1:6">
      <c r="A718" s="1"/>
      <c r="B718" s="1"/>
      <c r="C718" s="1"/>
      <c r="D718" s="1"/>
      <c r="E718" s="1"/>
      <c r="F718" s="1"/>
    </row>
    <row r="719" spans="1:6">
      <c r="A719" s="1"/>
      <c r="B719" s="1"/>
      <c r="C719" s="1"/>
      <c r="D719" s="1"/>
      <c r="E719" s="1"/>
      <c r="F719" s="1"/>
    </row>
    <row r="720" spans="1:6">
      <c r="A720" s="1"/>
      <c r="B720" s="1"/>
      <c r="C720" s="1"/>
      <c r="D720" s="1"/>
      <c r="E720" s="1"/>
      <c r="F720" s="1"/>
    </row>
    <row r="721" spans="1:6">
      <c r="A721" s="1"/>
      <c r="B721" s="1"/>
      <c r="C721" s="1"/>
      <c r="D721" s="1"/>
      <c r="E721" s="1"/>
      <c r="F721" s="1"/>
    </row>
    <row r="722" spans="1:6">
      <c r="A722" s="1"/>
      <c r="B722" s="1"/>
      <c r="C722" s="1"/>
      <c r="D722" s="1"/>
      <c r="E722" s="1"/>
      <c r="F722" s="1"/>
    </row>
    <row r="723" spans="1:6">
      <c r="A723" s="1"/>
      <c r="B723" s="1"/>
      <c r="C723" s="1"/>
      <c r="D723" s="1"/>
      <c r="E723" s="1"/>
      <c r="F723" s="1"/>
    </row>
    <row r="724" spans="1:6">
      <c r="A724" s="1"/>
      <c r="B724" s="1"/>
      <c r="C724" s="1"/>
      <c r="D724" s="1"/>
      <c r="E724" s="1"/>
      <c r="F724" s="1"/>
    </row>
    <row r="725" spans="1:6">
      <c r="A725" s="1"/>
      <c r="B725" s="1"/>
      <c r="C725" s="1"/>
      <c r="D725" s="1"/>
      <c r="E725" s="1"/>
      <c r="F725" s="1"/>
    </row>
    <row r="726" spans="1:6">
      <c r="A726" s="1"/>
      <c r="B726" s="1"/>
      <c r="C726" s="1"/>
      <c r="D726" s="1"/>
      <c r="E726" s="1"/>
      <c r="F726" s="1"/>
    </row>
    <row r="727" spans="1:6">
      <c r="A727" s="1"/>
      <c r="B727" s="1"/>
      <c r="C727" s="1"/>
      <c r="D727" s="1"/>
      <c r="E727" s="1"/>
      <c r="F727" s="1"/>
    </row>
    <row r="728" spans="1:6">
      <c r="A728" s="1"/>
      <c r="B728" s="1"/>
      <c r="C728" s="1"/>
      <c r="D728" s="1"/>
      <c r="E728" s="1"/>
      <c r="F728" s="1"/>
    </row>
    <row r="729" spans="1:6">
      <c r="A729" s="1"/>
      <c r="B729" s="1"/>
      <c r="C729" s="1"/>
      <c r="D729" s="1"/>
      <c r="E729" s="1"/>
      <c r="F729" s="1"/>
    </row>
    <row r="730" spans="1:6">
      <c r="A730" s="1"/>
      <c r="B730" s="1"/>
      <c r="C730" s="1"/>
      <c r="D730" s="1"/>
      <c r="E730" s="1"/>
      <c r="F730" s="1"/>
    </row>
    <row r="731" spans="1:6">
      <c r="A731" s="1"/>
      <c r="B731" s="1"/>
      <c r="C731" s="1"/>
      <c r="D731" s="1"/>
      <c r="E731" s="1"/>
      <c r="F731" s="1"/>
    </row>
    <row r="732" spans="1:6">
      <c r="A732" s="1"/>
      <c r="B732" s="1"/>
      <c r="C732" s="1"/>
      <c r="D732" s="1"/>
      <c r="E732" s="1"/>
      <c r="F732" s="1"/>
    </row>
    <row r="733" spans="1:6">
      <c r="A733" s="1"/>
      <c r="B733" s="1"/>
      <c r="C733" s="1"/>
      <c r="D733" s="1"/>
      <c r="E733" s="1"/>
      <c r="F733" s="1"/>
    </row>
    <row r="734" spans="1:6">
      <c r="A734" s="1"/>
      <c r="B734" s="1"/>
      <c r="C734" s="1"/>
      <c r="D734" s="1"/>
      <c r="E734" s="1"/>
      <c r="F734" s="1"/>
    </row>
    <row r="735" spans="1:6">
      <c r="A735" s="1"/>
      <c r="B735" s="1"/>
      <c r="C735" s="1"/>
      <c r="D735" s="1"/>
      <c r="E735" s="1"/>
      <c r="F735" s="1"/>
    </row>
    <row r="736" spans="1:6">
      <c r="A736" s="1"/>
      <c r="B736" s="1"/>
      <c r="C736" s="1"/>
      <c r="D736" s="1"/>
      <c r="E736" s="1"/>
      <c r="F736" s="1"/>
    </row>
    <row r="737" spans="1:6">
      <c r="A737" s="1"/>
      <c r="B737" s="1"/>
      <c r="C737" s="1"/>
      <c r="D737" s="1"/>
      <c r="E737" s="1"/>
      <c r="F737" s="1"/>
    </row>
    <row r="738" spans="1:6">
      <c r="A738" s="1"/>
      <c r="B738" s="1"/>
      <c r="C738" s="1"/>
      <c r="D738" s="1"/>
      <c r="E738" s="1"/>
      <c r="F738" s="1"/>
    </row>
    <row r="739" spans="1:6">
      <c r="A739" s="1"/>
      <c r="B739" s="1"/>
      <c r="C739" s="1"/>
      <c r="D739" s="1"/>
      <c r="E739" s="1"/>
      <c r="F739" s="1"/>
    </row>
    <row r="740" spans="1:6">
      <c r="A740" s="1"/>
      <c r="B740" s="1"/>
      <c r="C740" s="1"/>
      <c r="D740" s="1"/>
      <c r="E740" s="1"/>
      <c r="F740" s="1"/>
    </row>
    <row r="741" spans="1:6">
      <c r="A741" s="1"/>
      <c r="B741" s="1"/>
      <c r="C741" s="1"/>
      <c r="D741" s="1"/>
      <c r="E741" s="1"/>
      <c r="F741" s="1"/>
    </row>
    <row r="742" spans="1:6">
      <c r="A742" s="1"/>
      <c r="B742" s="1"/>
      <c r="C742" s="1"/>
      <c r="D742" s="1"/>
      <c r="E742" s="1"/>
      <c r="F742" s="1"/>
    </row>
    <row r="743" spans="1:6">
      <c r="A743" s="1"/>
      <c r="B743" s="1"/>
      <c r="C743" s="1"/>
      <c r="D743" s="1"/>
      <c r="E743" s="1"/>
      <c r="F743" s="1"/>
    </row>
    <row r="744" spans="1:6">
      <c r="A744" s="1"/>
      <c r="B744" s="1"/>
      <c r="C744" s="1"/>
      <c r="D744" s="1"/>
      <c r="E744" s="1"/>
      <c r="F744" s="1"/>
    </row>
    <row r="745" spans="1:6">
      <c r="A745" s="1"/>
      <c r="B745" s="1"/>
      <c r="C745" s="1"/>
      <c r="D745" s="1"/>
      <c r="E745" s="1"/>
      <c r="F745" s="1"/>
    </row>
    <row r="746" spans="1:6">
      <c r="A746" s="1"/>
      <c r="B746" s="1"/>
      <c r="C746" s="1"/>
      <c r="D746" s="1"/>
      <c r="E746" s="1"/>
      <c r="F746" s="1"/>
    </row>
    <row r="747" spans="1:6">
      <c r="A747" s="1"/>
      <c r="B747" s="1"/>
      <c r="C747" s="1"/>
      <c r="D747" s="1"/>
      <c r="E747" s="1"/>
      <c r="F747" s="1"/>
    </row>
    <row r="748" spans="1:6">
      <c r="A748" s="1"/>
      <c r="B748" s="1"/>
      <c r="C748" s="1"/>
      <c r="D748" s="1"/>
      <c r="E748" s="1"/>
      <c r="F748" s="1"/>
    </row>
    <row r="749" spans="1:6">
      <c r="A749" s="1"/>
      <c r="B749" s="1"/>
      <c r="C749" s="1"/>
      <c r="D749" s="1"/>
      <c r="E749" s="1"/>
      <c r="F749" s="1"/>
    </row>
    <row r="750" spans="1:6">
      <c r="A750" s="1"/>
      <c r="B750" s="1"/>
      <c r="C750" s="1"/>
      <c r="D750" s="1"/>
      <c r="E750" s="1"/>
      <c r="F750" s="1"/>
    </row>
    <row r="751" spans="1:6">
      <c r="A751" s="1"/>
      <c r="B751" s="1"/>
      <c r="C751" s="1"/>
      <c r="D751" s="1"/>
      <c r="E751" s="1"/>
      <c r="F751" s="1"/>
    </row>
    <row r="752" spans="1:6">
      <c r="A752" s="1"/>
      <c r="B752" s="1"/>
      <c r="C752" s="1"/>
      <c r="D752" s="1"/>
      <c r="E752" s="1"/>
      <c r="F752" s="1"/>
    </row>
    <row r="753" spans="1:6">
      <c r="A753" s="1"/>
      <c r="B753" s="1"/>
      <c r="C753" s="1"/>
      <c r="D753" s="1"/>
      <c r="E753" s="1"/>
      <c r="F753" s="1"/>
    </row>
    <row r="754" spans="1:6">
      <c r="A754" s="1"/>
      <c r="B754" s="1"/>
      <c r="C754" s="1"/>
      <c r="D754" s="1"/>
      <c r="E754" s="1"/>
      <c r="F754" s="1"/>
    </row>
    <row r="755" spans="1:6">
      <c r="A755" s="1"/>
      <c r="B755" s="1"/>
      <c r="C755" s="1"/>
      <c r="D755" s="1"/>
      <c r="E755" s="1"/>
      <c r="F755" s="1"/>
    </row>
    <row r="756" spans="1:6">
      <c r="A756" s="1"/>
      <c r="B756" s="1"/>
      <c r="C756" s="1"/>
      <c r="D756" s="1"/>
      <c r="E756" s="1"/>
      <c r="F756" s="1"/>
    </row>
    <row r="757" spans="1:6">
      <c r="A757" s="1"/>
      <c r="B757" s="1"/>
      <c r="C757" s="1"/>
      <c r="D757" s="1"/>
      <c r="E757" s="1"/>
      <c r="F757" s="1"/>
    </row>
    <row r="758" spans="1:6">
      <c r="A758" s="1"/>
      <c r="B758" s="1"/>
      <c r="C758" s="1"/>
      <c r="D758" s="1"/>
      <c r="E758" s="1"/>
      <c r="F758" s="1"/>
    </row>
    <row r="759" spans="1:6">
      <c r="A759" s="1"/>
      <c r="B759" s="1"/>
      <c r="C759" s="1"/>
      <c r="D759" s="1"/>
      <c r="E759" s="1"/>
      <c r="F759" s="1"/>
    </row>
    <row r="760" spans="1:6">
      <c r="A760" s="1"/>
      <c r="B760" s="1"/>
      <c r="C760" s="1"/>
      <c r="D760" s="1"/>
      <c r="E760" s="1"/>
      <c r="F760" s="1"/>
    </row>
    <row r="761" spans="1:6">
      <c r="A761" s="1"/>
      <c r="B761" s="1"/>
      <c r="C761" s="1"/>
      <c r="D761" s="1"/>
      <c r="E761" s="1"/>
      <c r="F761" s="1"/>
    </row>
    <row r="762" spans="1:6">
      <c r="A762" s="1"/>
      <c r="B762" s="1"/>
      <c r="C762" s="1"/>
      <c r="D762" s="1"/>
      <c r="E762" s="1"/>
      <c r="F762" s="1"/>
    </row>
    <row r="763" spans="1:6">
      <c r="A763" s="1"/>
      <c r="B763" s="1"/>
      <c r="C763" s="1"/>
      <c r="D763" s="1"/>
      <c r="E763" s="1"/>
      <c r="F763" s="1"/>
    </row>
    <row r="764" spans="1:6">
      <c r="A764" s="1"/>
      <c r="B764" s="1"/>
      <c r="C764" s="1"/>
      <c r="D764" s="1"/>
      <c r="E764" s="1"/>
      <c r="F764" s="1"/>
    </row>
    <row r="765" spans="1:6">
      <c r="A765" s="1"/>
      <c r="B765" s="1"/>
      <c r="C765" s="1"/>
      <c r="D765" s="1"/>
      <c r="E765" s="1"/>
      <c r="F765" s="1"/>
    </row>
    <row r="766" spans="1:6">
      <c r="A766" s="1"/>
      <c r="B766" s="1"/>
      <c r="C766" s="1"/>
      <c r="D766" s="1"/>
      <c r="E766" s="1"/>
      <c r="F766" s="1"/>
    </row>
    <row r="767" spans="1:6">
      <c r="A767" s="1"/>
      <c r="B767" s="1"/>
      <c r="C767" s="1"/>
      <c r="D767" s="1"/>
      <c r="E767" s="1"/>
      <c r="F767" s="1"/>
    </row>
    <row r="768" spans="1:6">
      <c r="A768" s="1"/>
      <c r="B768" s="1"/>
      <c r="C768" s="1"/>
      <c r="D768" s="1"/>
      <c r="E768" s="1"/>
      <c r="F768" s="1"/>
    </row>
    <row r="769" spans="1:6">
      <c r="A769" s="1"/>
      <c r="B769" s="1"/>
      <c r="C769" s="1"/>
      <c r="D769" s="1"/>
      <c r="E769" s="1"/>
      <c r="F769" s="1"/>
    </row>
    <row r="770" spans="1:6">
      <c r="A770" s="1"/>
      <c r="B770" s="1"/>
      <c r="C770" s="1"/>
      <c r="D770" s="1"/>
      <c r="E770" s="1"/>
      <c r="F770" s="1"/>
    </row>
    <row r="771" spans="1:6">
      <c r="A771" s="1"/>
      <c r="B771" s="1"/>
      <c r="C771" s="1"/>
      <c r="D771" s="1"/>
      <c r="E771" s="1"/>
      <c r="F771" s="1"/>
    </row>
    <row r="772" spans="1:6">
      <c r="A772" s="1"/>
      <c r="B772" s="1"/>
      <c r="C772" s="1"/>
      <c r="D772" s="1"/>
      <c r="E772" s="1"/>
      <c r="F772" s="1"/>
    </row>
    <row r="773" spans="1:6">
      <c r="A773" s="1"/>
      <c r="B773" s="1"/>
      <c r="C773" s="1"/>
      <c r="D773" s="1"/>
      <c r="E773" s="1"/>
      <c r="F773" s="1"/>
    </row>
    <row r="774" spans="1:6">
      <c r="A774" s="1"/>
      <c r="B774" s="1"/>
      <c r="C774" s="1"/>
      <c r="D774" s="1"/>
      <c r="E774" s="1"/>
      <c r="F774" s="1"/>
    </row>
    <row r="775" spans="1:6">
      <c r="A775" s="1"/>
      <c r="B775" s="1"/>
      <c r="C775" s="1"/>
      <c r="D775" s="1"/>
      <c r="E775" s="1"/>
      <c r="F775" s="1"/>
    </row>
    <row r="776" spans="1:6">
      <c r="A776" s="1"/>
      <c r="B776" s="1"/>
      <c r="C776" s="1"/>
      <c r="D776" s="1"/>
      <c r="E776" s="1"/>
      <c r="F776" s="1"/>
    </row>
    <row r="777" spans="1:6">
      <c r="A777" s="1"/>
      <c r="B777" s="1"/>
      <c r="C777" s="1"/>
      <c r="D777" s="1"/>
      <c r="E777" s="1"/>
      <c r="F777" s="1"/>
    </row>
    <row r="778" spans="1:6">
      <c r="A778" s="1"/>
      <c r="B778" s="1"/>
      <c r="C778" s="1"/>
      <c r="D778" s="1"/>
      <c r="E778" s="1"/>
      <c r="F778" s="1"/>
    </row>
    <row r="779" spans="1:6">
      <c r="A779" s="1"/>
      <c r="B779" s="1"/>
      <c r="C779" s="1"/>
      <c r="D779" s="1"/>
      <c r="E779" s="1"/>
      <c r="F779" s="1"/>
    </row>
    <row r="780" spans="1:6">
      <c r="A780" s="1"/>
      <c r="B780" s="1"/>
      <c r="C780" s="1"/>
      <c r="D780" s="1"/>
      <c r="E780" s="1"/>
      <c r="F780" s="1"/>
    </row>
    <row r="781" spans="1:6">
      <c r="A781" s="1"/>
      <c r="B781" s="1"/>
      <c r="C781" s="1"/>
      <c r="D781" s="1"/>
      <c r="E781" s="1"/>
      <c r="F781" s="1"/>
    </row>
    <row r="782" spans="1:6">
      <c r="A782" s="1"/>
      <c r="B782" s="1"/>
      <c r="C782" s="1"/>
      <c r="D782" s="1"/>
      <c r="E782" s="1"/>
      <c r="F782" s="1"/>
    </row>
    <row r="783" spans="1:6">
      <c r="A783" s="1"/>
      <c r="B783" s="1"/>
      <c r="C783" s="1"/>
      <c r="D783" s="1"/>
      <c r="E783" s="1"/>
      <c r="F783" s="1"/>
    </row>
    <row r="784" spans="1:6">
      <c r="A784" s="1"/>
      <c r="B784" s="1"/>
      <c r="C784" s="1"/>
      <c r="D784" s="1"/>
      <c r="E784" s="1"/>
      <c r="F784" s="1"/>
    </row>
    <row r="785" spans="1:6">
      <c r="A785" s="1"/>
      <c r="B785" s="1"/>
      <c r="C785" s="1"/>
      <c r="D785" s="1"/>
      <c r="E785" s="1"/>
      <c r="F785" s="1"/>
    </row>
    <row r="786" spans="1:6">
      <c r="A786" s="1"/>
      <c r="B786" s="1"/>
      <c r="C786" s="1"/>
      <c r="D786" s="1"/>
      <c r="E786" s="1"/>
      <c r="F786" s="1"/>
    </row>
    <row r="787" spans="1:6">
      <c r="A787" s="1"/>
      <c r="B787" s="1"/>
      <c r="C787" s="1"/>
      <c r="D787" s="1"/>
      <c r="E787" s="1"/>
      <c r="F787" s="1"/>
    </row>
    <row r="788" spans="1:6">
      <c r="A788" s="1"/>
      <c r="B788" s="1"/>
      <c r="C788" s="1"/>
      <c r="D788" s="1"/>
      <c r="E788" s="1"/>
      <c r="F788" s="1"/>
    </row>
    <row r="789" spans="1:6">
      <c r="A789" s="1"/>
      <c r="B789" s="1"/>
      <c r="C789" s="1"/>
      <c r="D789" s="1"/>
      <c r="E789" s="1"/>
      <c r="F789" s="1"/>
    </row>
    <row r="790" spans="1:6">
      <c r="A790" s="1"/>
      <c r="B790" s="1"/>
      <c r="C790" s="1"/>
      <c r="D790" s="1"/>
      <c r="E790" s="1"/>
      <c r="F790" s="1"/>
    </row>
    <row r="791" spans="1:6">
      <c r="A791" s="1"/>
      <c r="B791" s="1"/>
      <c r="C791" s="1"/>
      <c r="D791" s="1"/>
      <c r="E791" s="1"/>
      <c r="F791" s="1"/>
    </row>
    <row r="792" spans="1:6">
      <c r="A792" s="1"/>
      <c r="B792" s="1"/>
      <c r="C792" s="1"/>
      <c r="D792" s="1"/>
      <c r="E792" s="1"/>
      <c r="F792" s="1"/>
    </row>
    <row r="793" spans="1:6">
      <c r="A793" s="1"/>
      <c r="B793" s="1"/>
      <c r="C793" s="1"/>
      <c r="D793" s="1"/>
      <c r="E793" s="1"/>
      <c r="F793" s="1"/>
    </row>
    <row r="794" spans="1:6">
      <c r="A794" s="1"/>
      <c r="B794" s="1"/>
      <c r="C794" s="1"/>
      <c r="D794" s="1"/>
      <c r="E794" s="1"/>
      <c r="F794" s="1"/>
    </row>
    <row r="795" spans="1:6">
      <c r="A795" s="1"/>
      <c r="B795" s="1"/>
      <c r="C795" s="1"/>
      <c r="D795" s="1"/>
      <c r="E795" s="1"/>
      <c r="F795" s="1"/>
    </row>
    <row r="796" spans="1:6">
      <c r="A796" s="1"/>
      <c r="B796" s="1"/>
      <c r="C796" s="1"/>
      <c r="D796" s="1"/>
      <c r="E796" s="1"/>
      <c r="F796" s="1"/>
    </row>
  </sheetData>
  <phoneticPr fontId="6"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tn학교검색">
              <controlPr defaultSize="0" print="0" autoFill="0" autoPict="0" macro="학교검색_실행">
                <anchor moveWithCells="1" sizeWithCells="1">
                  <from>
                    <xdr:col>4</xdr:col>
                    <xdr:colOff>2118360</xdr:colOff>
                    <xdr:row>1</xdr:row>
                    <xdr:rowOff>182880</xdr:rowOff>
                  </from>
                  <to>
                    <xdr:col>5</xdr:col>
                    <xdr:colOff>190500</xdr:colOff>
                    <xdr:row>3</xdr:row>
                    <xdr:rowOff>45720</xdr:rowOff>
                  </to>
                </anchor>
              </controlPr>
            </control>
          </mc:Choice>
        </mc:AlternateContent>
        <mc:AlternateContent xmlns:mc="http://schemas.openxmlformats.org/markup-compatibility/2006">
          <mc:Choice Requires="x14">
            <control shapeId="6146" r:id="rId5" name="btn선택학교반영">
              <controlPr defaultSize="0" print="0" autoFill="0" autoPict="0" macro="선택학교_기초자료반영">
                <anchor moveWithCells="1" sizeWithCells="1">
                  <from>
                    <xdr:col>5</xdr:col>
                    <xdr:colOff>312420</xdr:colOff>
                    <xdr:row>1</xdr:row>
                    <xdr:rowOff>182880</xdr:rowOff>
                  </from>
                  <to>
                    <xdr:col>8</xdr:col>
                    <xdr:colOff>114300</xdr:colOff>
                    <xdr:row>3</xdr:row>
                    <xdr:rowOff>45720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11A69F-9DE1-42C4-B32F-2898E53CE2F1}">
  <sheetPr codeName="Sheet7"/>
  <dimension ref="A1:G793"/>
  <sheetViews>
    <sheetView workbookViewId="0"/>
  </sheetViews>
  <sheetFormatPr defaultRowHeight="17.399999999999999"/>
  <cols>
    <col min="1" max="1" width="8.69921875" customWidth="1"/>
    <col min="2" max="2" width="10.69921875" customWidth="1"/>
    <col min="3" max="4" width="8.69921875" customWidth="1"/>
    <col min="5" max="5" width="24.69921875" customWidth="1"/>
    <col min="6" max="6" width="34.69921875" customWidth="1"/>
    <col min="7" max="7" width="14.69921875" customWidth="1"/>
  </cols>
  <sheetData>
    <row r="1" spans="1:7" s="3" customFormat="1">
      <c r="A1" s="3" t="s">
        <v>859</v>
      </c>
      <c r="B1" s="3" t="s">
        <v>911</v>
      </c>
      <c r="C1" s="3" t="s">
        <v>912</v>
      </c>
      <c r="D1" s="3" t="s">
        <v>913</v>
      </c>
      <c r="E1" s="3" t="s">
        <v>86</v>
      </c>
      <c r="F1" s="3" t="s">
        <v>308</v>
      </c>
      <c r="G1" s="3" t="s">
        <v>378</v>
      </c>
    </row>
    <row r="2" spans="1:7">
      <c r="A2">
        <v>790</v>
      </c>
      <c r="B2" t="s">
        <v>914</v>
      </c>
      <c r="C2" t="s">
        <v>915</v>
      </c>
      <c r="D2" t="s">
        <v>916</v>
      </c>
      <c r="E2" t="s">
        <v>917</v>
      </c>
      <c r="F2" t="s">
        <v>918</v>
      </c>
      <c r="G2" t="s">
        <v>919</v>
      </c>
    </row>
    <row r="3" spans="1:7">
      <c r="A3">
        <v>789</v>
      </c>
      <c r="B3" t="s">
        <v>914</v>
      </c>
      <c r="C3" t="s">
        <v>920</v>
      </c>
      <c r="D3" t="s">
        <v>916</v>
      </c>
      <c r="E3" t="s">
        <v>921</v>
      </c>
      <c r="F3" t="s">
        <v>922</v>
      </c>
      <c r="G3" t="s">
        <v>923</v>
      </c>
    </row>
    <row r="4" spans="1:7">
      <c r="A4">
        <v>788</v>
      </c>
      <c r="B4" t="s">
        <v>914</v>
      </c>
      <c r="C4" t="s">
        <v>915</v>
      </c>
      <c r="D4" t="s">
        <v>916</v>
      </c>
      <c r="E4" t="s">
        <v>924</v>
      </c>
      <c r="F4" t="s">
        <v>925</v>
      </c>
      <c r="G4" t="s">
        <v>926</v>
      </c>
    </row>
    <row r="5" spans="1:7">
      <c r="A5">
        <v>787</v>
      </c>
      <c r="B5" t="s">
        <v>914</v>
      </c>
      <c r="C5" t="s">
        <v>927</v>
      </c>
      <c r="D5" t="s">
        <v>928</v>
      </c>
      <c r="E5" t="s">
        <v>929</v>
      </c>
      <c r="F5" t="s">
        <v>930</v>
      </c>
      <c r="G5" t="s">
        <v>931</v>
      </c>
    </row>
    <row r="6" spans="1:7">
      <c r="A6">
        <v>786</v>
      </c>
      <c r="B6" t="s">
        <v>914</v>
      </c>
      <c r="C6" t="s">
        <v>915</v>
      </c>
      <c r="D6" t="s">
        <v>928</v>
      </c>
      <c r="E6" t="s">
        <v>932</v>
      </c>
      <c r="F6" t="s">
        <v>933</v>
      </c>
      <c r="G6" t="s">
        <v>934</v>
      </c>
    </row>
    <row r="7" spans="1:7">
      <c r="A7">
        <v>785</v>
      </c>
      <c r="B7" t="s">
        <v>914</v>
      </c>
      <c r="C7" t="s">
        <v>915</v>
      </c>
      <c r="D7" t="s">
        <v>916</v>
      </c>
      <c r="E7" t="s">
        <v>935</v>
      </c>
      <c r="F7" t="s">
        <v>936</v>
      </c>
      <c r="G7" t="s">
        <v>937</v>
      </c>
    </row>
    <row r="8" spans="1:7">
      <c r="A8">
        <v>784</v>
      </c>
      <c r="B8" t="s">
        <v>914</v>
      </c>
      <c r="C8" t="s">
        <v>915</v>
      </c>
      <c r="D8" t="s">
        <v>916</v>
      </c>
      <c r="E8" t="s">
        <v>938</v>
      </c>
      <c r="F8" t="s">
        <v>939</v>
      </c>
      <c r="G8" t="s">
        <v>940</v>
      </c>
    </row>
    <row r="9" spans="1:7">
      <c r="A9">
        <v>783</v>
      </c>
      <c r="B9" t="s">
        <v>914</v>
      </c>
      <c r="C9" t="s">
        <v>927</v>
      </c>
      <c r="D9" t="s">
        <v>916</v>
      </c>
      <c r="E9" t="s">
        <v>941</v>
      </c>
      <c r="F9" t="s">
        <v>939</v>
      </c>
      <c r="G9" t="s">
        <v>942</v>
      </c>
    </row>
    <row r="10" spans="1:7">
      <c r="A10">
        <v>782</v>
      </c>
      <c r="B10" t="s">
        <v>914</v>
      </c>
      <c r="C10" t="s">
        <v>915</v>
      </c>
      <c r="D10" t="s">
        <v>916</v>
      </c>
      <c r="E10" t="s">
        <v>943</v>
      </c>
      <c r="F10" t="s">
        <v>944</v>
      </c>
      <c r="G10" t="s">
        <v>945</v>
      </c>
    </row>
    <row r="11" spans="1:7">
      <c r="A11">
        <v>781</v>
      </c>
      <c r="B11" t="s">
        <v>914</v>
      </c>
      <c r="C11" t="s">
        <v>915</v>
      </c>
      <c r="D11" t="s">
        <v>916</v>
      </c>
      <c r="E11" t="s">
        <v>946</v>
      </c>
      <c r="F11" t="s">
        <v>947</v>
      </c>
      <c r="G11" t="s">
        <v>948</v>
      </c>
    </row>
    <row r="12" spans="1:7">
      <c r="A12">
        <v>780</v>
      </c>
      <c r="B12" t="s">
        <v>914</v>
      </c>
      <c r="C12" t="s">
        <v>915</v>
      </c>
      <c r="D12" t="s">
        <v>928</v>
      </c>
      <c r="E12" t="s">
        <v>949</v>
      </c>
      <c r="F12" t="s">
        <v>950</v>
      </c>
      <c r="G12" t="s">
        <v>951</v>
      </c>
    </row>
    <row r="13" spans="1:7">
      <c r="A13">
        <v>779</v>
      </c>
      <c r="B13" t="s">
        <v>914</v>
      </c>
      <c r="C13" t="s">
        <v>927</v>
      </c>
      <c r="D13" t="s">
        <v>928</v>
      </c>
      <c r="E13" t="s">
        <v>952</v>
      </c>
      <c r="F13" t="s">
        <v>953</v>
      </c>
      <c r="G13" t="s">
        <v>954</v>
      </c>
    </row>
    <row r="14" spans="1:7">
      <c r="A14">
        <v>778</v>
      </c>
      <c r="B14" t="s">
        <v>914</v>
      </c>
      <c r="C14" t="s">
        <v>915</v>
      </c>
      <c r="D14" t="s">
        <v>955</v>
      </c>
      <c r="E14" t="s">
        <v>956</v>
      </c>
      <c r="F14" t="s">
        <v>957</v>
      </c>
      <c r="G14" t="s">
        <v>958</v>
      </c>
    </row>
    <row r="15" spans="1:7">
      <c r="A15">
        <v>777</v>
      </c>
      <c r="B15" t="s">
        <v>914</v>
      </c>
      <c r="C15" t="s">
        <v>915</v>
      </c>
      <c r="D15" t="s">
        <v>916</v>
      </c>
      <c r="E15" t="s">
        <v>959</v>
      </c>
      <c r="F15" t="s">
        <v>960</v>
      </c>
      <c r="G15" t="s">
        <v>961</v>
      </c>
    </row>
    <row r="16" spans="1:7">
      <c r="A16">
        <v>776</v>
      </c>
      <c r="B16" t="s">
        <v>914</v>
      </c>
      <c r="C16" t="s">
        <v>927</v>
      </c>
      <c r="D16" t="s">
        <v>916</v>
      </c>
      <c r="E16" t="s">
        <v>962</v>
      </c>
      <c r="F16" t="s">
        <v>944</v>
      </c>
      <c r="G16" t="s">
        <v>963</v>
      </c>
    </row>
    <row r="17" spans="1:7">
      <c r="A17">
        <v>775</v>
      </c>
      <c r="B17" t="s">
        <v>914</v>
      </c>
      <c r="C17" t="s">
        <v>915</v>
      </c>
      <c r="D17" t="s">
        <v>916</v>
      </c>
      <c r="E17" t="s">
        <v>964</v>
      </c>
      <c r="F17" t="s">
        <v>965</v>
      </c>
      <c r="G17" t="s">
        <v>966</v>
      </c>
    </row>
    <row r="18" spans="1:7">
      <c r="A18">
        <v>774</v>
      </c>
      <c r="B18" t="s">
        <v>914</v>
      </c>
      <c r="C18" t="s">
        <v>927</v>
      </c>
      <c r="D18" t="s">
        <v>928</v>
      </c>
      <c r="E18" t="s">
        <v>967</v>
      </c>
      <c r="F18" t="s">
        <v>968</v>
      </c>
      <c r="G18" t="s">
        <v>969</v>
      </c>
    </row>
    <row r="19" spans="1:7">
      <c r="A19">
        <v>773</v>
      </c>
      <c r="B19" t="s">
        <v>914</v>
      </c>
      <c r="C19" t="s">
        <v>915</v>
      </c>
      <c r="D19" t="s">
        <v>928</v>
      </c>
      <c r="E19" t="s">
        <v>970</v>
      </c>
      <c r="F19" t="s">
        <v>971</v>
      </c>
      <c r="G19" t="s">
        <v>972</v>
      </c>
    </row>
    <row r="20" spans="1:7">
      <c r="A20">
        <v>772</v>
      </c>
      <c r="B20" t="s">
        <v>914</v>
      </c>
      <c r="C20" t="s">
        <v>927</v>
      </c>
      <c r="D20" t="s">
        <v>928</v>
      </c>
      <c r="E20" t="s">
        <v>973</v>
      </c>
      <c r="F20" t="s">
        <v>974</v>
      </c>
      <c r="G20" t="s">
        <v>975</v>
      </c>
    </row>
    <row r="21" spans="1:7">
      <c r="A21">
        <v>771</v>
      </c>
      <c r="B21" t="s">
        <v>914</v>
      </c>
      <c r="C21" t="s">
        <v>915</v>
      </c>
      <c r="D21" t="s">
        <v>928</v>
      </c>
      <c r="E21" t="s">
        <v>976</v>
      </c>
      <c r="F21" t="s">
        <v>977</v>
      </c>
      <c r="G21" t="s">
        <v>978</v>
      </c>
    </row>
    <row r="22" spans="1:7">
      <c r="A22">
        <v>770</v>
      </c>
      <c r="B22" t="s">
        <v>914</v>
      </c>
      <c r="C22" t="s">
        <v>979</v>
      </c>
      <c r="D22" t="s">
        <v>955</v>
      </c>
      <c r="E22" t="s">
        <v>980</v>
      </c>
      <c r="F22" t="s">
        <v>981</v>
      </c>
      <c r="G22" t="s">
        <v>982</v>
      </c>
    </row>
    <row r="23" spans="1:7">
      <c r="A23">
        <v>769</v>
      </c>
      <c r="B23" t="s">
        <v>914</v>
      </c>
      <c r="C23" t="s">
        <v>915</v>
      </c>
      <c r="D23" t="s">
        <v>916</v>
      </c>
      <c r="E23" t="s">
        <v>983</v>
      </c>
      <c r="F23" t="s">
        <v>984</v>
      </c>
      <c r="G23" t="s">
        <v>985</v>
      </c>
    </row>
    <row r="24" spans="1:7">
      <c r="A24">
        <v>768</v>
      </c>
      <c r="B24" t="s">
        <v>914</v>
      </c>
      <c r="C24" t="s">
        <v>927</v>
      </c>
      <c r="D24" t="s">
        <v>916</v>
      </c>
      <c r="E24" t="s">
        <v>986</v>
      </c>
      <c r="F24" t="s">
        <v>984</v>
      </c>
      <c r="G24" t="s">
        <v>987</v>
      </c>
    </row>
    <row r="25" spans="1:7">
      <c r="A25">
        <v>767</v>
      </c>
      <c r="B25" t="s">
        <v>914</v>
      </c>
      <c r="C25" t="s">
        <v>979</v>
      </c>
      <c r="D25" t="s">
        <v>928</v>
      </c>
      <c r="E25" t="s">
        <v>988</v>
      </c>
      <c r="F25" t="s">
        <v>989</v>
      </c>
      <c r="G25" t="s">
        <v>990</v>
      </c>
    </row>
    <row r="26" spans="1:7">
      <c r="A26">
        <v>766</v>
      </c>
      <c r="B26" t="s">
        <v>914</v>
      </c>
      <c r="C26" t="s">
        <v>979</v>
      </c>
      <c r="D26" t="s">
        <v>928</v>
      </c>
      <c r="E26" t="s">
        <v>991</v>
      </c>
      <c r="F26" t="s">
        <v>992</v>
      </c>
      <c r="G26" t="s">
        <v>993</v>
      </c>
    </row>
    <row r="27" spans="1:7">
      <c r="A27">
        <v>765</v>
      </c>
      <c r="B27" t="s">
        <v>914</v>
      </c>
      <c r="C27" t="s">
        <v>927</v>
      </c>
      <c r="D27" t="s">
        <v>928</v>
      </c>
      <c r="E27" t="s">
        <v>994</v>
      </c>
      <c r="F27" t="s">
        <v>995</v>
      </c>
      <c r="G27" t="s">
        <v>996</v>
      </c>
    </row>
    <row r="28" spans="1:7">
      <c r="A28">
        <v>764</v>
      </c>
      <c r="B28" t="s">
        <v>914</v>
      </c>
      <c r="C28" t="s">
        <v>979</v>
      </c>
      <c r="D28" t="s">
        <v>928</v>
      </c>
      <c r="E28" t="s">
        <v>997</v>
      </c>
      <c r="F28" t="s">
        <v>998</v>
      </c>
      <c r="G28" t="s">
        <v>999</v>
      </c>
    </row>
    <row r="29" spans="1:7">
      <c r="A29">
        <v>763</v>
      </c>
      <c r="B29" t="s">
        <v>914</v>
      </c>
      <c r="C29" t="s">
        <v>915</v>
      </c>
      <c r="D29" t="s">
        <v>916</v>
      </c>
      <c r="E29" t="s">
        <v>1000</v>
      </c>
      <c r="F29" t="s">
        <v>1001</v>
      </c>
      <c r="G29" t="s">
        <v>1002</v>
      </c>
    </row>
    <row r="30" spans="1:7">
      <c r="A30">
        <v>762</v>
      </c>
      <c r="B30" t="s">
        <v>914</v>
      </c>
      <c r="C30" t="s">
        <v>927</v>
      </c>
      <c r="D30" t="s">
        <v>916</v>
      </c>
      <c r="E30" t="s">
        <v>1003</v>
      </c>
      <c r="F30" t="s">
        <v>1001</v>
      </c>
      <c r="G30" t="s">
        <v>1004</v>
      </c>
    </row>
    <row r="31" spans="1:7">
      <c r="A31">
        <v>761</v>
      </c>
      <c r="B31" t="s">
        <v>914</v>
      </c>
      <c r="C31" t="s">
        <v>927</v>
      </c>
      <c r="D31" t="s">
        <v>928</v>
      </c>
      <c r="E31" t="s">
        <v>1005</v>
      </c>
      <c r="F31" t="s">
        <v>1006</v>
      </c>
      <c r="G31" t="s">
        <v>1007</v>
      </c>
    </row>
    <row r="32" spans="1:7">
      <c r="A32">
        <v>760</v>
      </c>
      <c r="B32" t="s">
        <v>914</v>
      </c>
      <c r="C32" t="s">
        <v>979</v>
      </c>
      <c r="D32" t="s">
        <v>928</v>
      </c>
      <c r="E32" t="s">
        <v>1008</v>
      </c>
      <c r="F32" t="s">
        <v>1009</v>
      </c>
      <c r="G32" t="s">
        <v>1010</v>
      </c>
    </row>
    <row r="33" spans="1:7">
      <c r="A33">
        <v>759</v>
      </c>
      <c r="B33" t="s">
        <v>914</v>
      </c>
      <c r="C33" t="s">
        <v>1011</v>
      </c>
      <c r="D33" t="s">
        <v>928</v>
      </c>
      <c r="E33" t="s">
        <v>1012</v>
      </c>
      <c r="F33" t="s">
        <v>1013</v>
      </c>
      <c r="G33" t="s">
        <v>1014</v>
      </c>
    </row>
    <row r="34" spans="1:7">
      <c r="A34">
        <v>758</v>
      </c>
      <c r="B34" t="s">
        <v>914</v>
      </c>
      <c r="C34" t="s">
        <v>979</v>
      </c>
      <c r="D34" t="s">
        <v>928</v>
      </c>
      <c r="E34" t="s">
        <v>1015</v>
      </c>
      <c r="F34" t="s">
        <v>1016</v>
      </c>
      <c r="G34" t="s">
        <v>1017</v>
      </c>
    </row>
    <row r="35" spans="1:7">
      <c r="A35">
        <v>757</v>
      </c>
      <c r="B35" t="s">
        <v>914</v>
      </c>
      <c r="C35" t="s">
        <v>979</v>
      </c>
      <c r="D35" t="s">
        <v>928</v>
      </c>
      <c r="E35" t="s">
        <v>1018</v>
      </c>
      <c r="F35" t="s">
        <v>1019</v>
      </c>
      <c r="G35" t="s">
        <v>1020</v>
      </c>
    </row>
    <row r="36" spans="1:7">
      <c r="A36">
        <v>756</v>
      </c>
      <c r="B36" t="s">
        <v>914</v>
      </c>
      <c r="C36" t="s">
        <v>915</v>
      </c>
      <c r="D36" t="s">
        <v>916</v>
      </c>
      <c r="E36" t="s">
        <v>1021</v>
      </c>
      <c r="F36" t="s">
        <v>1022</v>
      </c>
      <c r="G36" t="s">
        <v>1023</v>
      </c>
    </row>
    <row r="37" spans="1:7">
      <c r="A37">
        <v>755</v>
      </c>
      <c r="B37" t="s">
        <v>914</v>
      </c>
      <c r="C37" t="s">
        <v>927</v>
      </c>
      <c r="D37" t="s">
        <v>928</v>
      </c>
      <c r="E37" t="s">
        <v>1024</v>
      </c>
      <c r="F37" t="s">
        <v>1025</v>
      </c>
      <c r="G37" t="s">
        <v>1026</v>
      </c>
    </row>
    <row r="38" spans="1:7">
      <c r="A38">
        <v>754</v>
      </c>
      <c r="B38" t="s">
        <v>914</v>
      </c>
      <c r="C38" t="s">
        <v>979</v>
      </c>
      <c r="D38" t="s">
        <v>928</v>
      </c>
      <c r="E38" t="s">
        <v>1027</v>
      </c>
      <c r="F38" t="s">
        <v>1028</v>
      </c>
      <c r="G38" t="s">
        <v>1029</v>
      </c>
    </row>
    <row r="39" spans="1:7">
      <c r="A39">
        <v>753</v>
      </c>
      <c r="B39" t="s">
        <v>914</v>
      </c>
      <c r="C39" t="s">
        <v>927</v>
      </c>
      <c r="D39" t="s">
        <v>916</v>
      </c>
      <c r="E39" t="s">
        <v>1030</v>
      </c>
      <c r="F39" t="s">
        <v>1031</v>
      </c>
      <c r="G39" t="s">
        <v>1032</v>
      </c>
    </row>
    <row r="40" spans="1:7">
      <c r="A40">
        <v>752</v>
      </c>
      <c r="B40" t="s">
        <v>914</v>
      </c>
      <c r="C40" t="s">
        <v>979</v>
      </c>
      <c r="D40" t="s">
        <v>928</v>
      </c>
      <c r="E40" t="s">
        <v>1033</v>
      </c>
      <c r="F40" t="s">
        <v>1034</v>
      </c>
      <c r="G40" t="s">
        <v>1035</v>
      </c>
    </row>
    <row r="41" spans="1:7">
      <c r="A41">
        <v>751</v>
      </c>
      <c r="B41" t="s">
        <v>914</v>
      </c>
      <c r="C41" t="s">
        <v>979</v>
      </c>
      <c r="D41" t="s">
        <v>928</v>
      </c>
      <c r="E41" t="s">
        <v>1036</v>
      </c>
      <c r="F41" t="s">
        <v>1037</v>
      </c>
      <c r="G41" t="s">
        <v>1038</v>
      </c>
    </row>
    <row r="42" spans="1:7">
      <c r="A42">
        <v>750</v>
      </c>
      <c r="B42" t="s">
        <v>914</v>
      </c>
      <c r="C42" t="s">
        <v>979</v>
      </c>
      <c r="D42" t="s">
        <v>928</v>
      </c>
      <c r="E42" t="s">
        <v>1039</v>
      </c>
      <c r="F42" t="s">
        <v>1040</v>
      </c>
      <c r="G42" t="s">
        <v>1041</v>
      </c>
    </row>
    <row r="43" spans="1:7">
      <c r="A43">
        <v>749</v>
      </c>
      <c r="B43" t="s">
        <v>914</v>
      </c>
      <c r="C43" t="s">
        <v>927</v>
      </c>
      <c r="D43" t="s">
        <v>928</v>
      </c>
      <c r="E43" t="s">
        <v>1042</v>
      </c>
      <c r="F43" t="s">
        <v>1043</v>
      </c>
      <c r="G43" t="s">
        <v>1044</v>
      </c>
    </row>
    <row r="44" spans="1:7">
      <c r="A44">
        <v>748</v>
      </c>
      <c r="B44" t="s">
        <v>914</v>
      </c>
      <c r="C44" t="s">
        <v>979</v>
      </c>
      <c r="D44" t="s">
        <v>928</v>
      </c>
      <c r="E44" t="s">
        <v>1045</v>
      </c>
      <c r="F44" t="s">
        <v>1046</v>
      </c>
      <c r="G44" t="s">
        <v>1047</v>
      </c>
    </row>
    <row r="45" spans="1:7">
      <c r="A45">
        <v>747</v>
      </c>
      <c r="B45" t="s">
        <v>914</v>
      </c>
      <c r="C45" t="s">
        <v>927</v>
      </c>
      <c r="D45" t="s">
        <v>928</v>
      </c>
      <c r="E45" t="s">
        <v>1048</v>
      </c>
      <c r="F45" t="s">
        <v>1049</v>
      </c>
      <c r="G45" t="s">
        <v>1050</v>
      </c>
    </row>
    <row r="46" spans="1:7">
      <c r="A46">
        <v>746</v>
      </c>
      <c r="B46" t="s">
        <v>914</v>
      </c>
      <c r="C46" t="s">
        <v>979</v>
      </c>
      <c r="D46" t="s">
        <v>928</v>
      </c>
      <c r="E46" t="s">
        <v>1051</v>
      </c>
      <c r="F46" t="s">
        <v>1052</v>
      </c>
      <c r="G46" t="s">
        <v>1053</v>
      </c>
    </row>
    <row r="47" spans="1:7">
      <c r="A47">
        <v>745</v>
      </c>
      <c r="B47" t="s">
        <v>914</v>
      </c>
      <c r="C47" t="s">
        <v>979</v>
      </c>
      <c r="D47" t="s">
        <v>928</v>
      </c>
      <c r="E47" t="s">
        <v>1054</v>
      </c>
      <c r="F47" t="s">
        <v>1055</v>
      </c>
      <c r="G47" t="s">
        <v>1056</v>
      </c>
    </row>
    <row r="48" spans="1:7">
      <c r="A48">
        <v>744</v>
      </c>
      <c r="B48" t="s">
        <v>914</v>
      </c>
      <c r="C48" t="s">
        <v>1011</v>
      </c>
      <c r="D48" t="s">
        <v>928</v>
      </c>
      <c r="E48" t="s">
        <v>1057</v>
      </c>
      <c r="F48" t="s">
        <v>1058</v>
      </c>
      <c r="G48" t="s">
        <v>1059</v>
      </c>
    </row>
    <row r="49" spans="1:7">
      <c r="A49">
        <v>743</v>
      </c>
      <c r="B49" t="s">
        <v>914</v>
      </c>
      <c r="C49" t="s">
        <v>979</v>
      </c>
      <c r="D49" t="s">
        <v>928</v>
      </c>
      <c r="E49" t="s">
        <v>1060</v>
      </c>
      <c r="F49" t="s">
        <v>1058</v>
      </c>
      <c r="G49" t="s">
        <v>1061</v>
      </c>
    </row>
    <row r="50" spans="1:7">
      <c r="A50">
        <v>742</v>
      </c>
      <c r="B50" t="s">
        <v>914</v>
      </c>
      <c r="C50" t="s">
        <v>979</v>
      </c>
      <c r="D50" t="s">
        <v>928</v>
      </c>
      <c r="E50" t="s">
        <v>1062</v>
      </c>
      <c r="F50" t="s">
        <v>1063</v>
      </c>
      <c r="G50" t="s">
        <v>1064</v>
      </c>
    </row>
    <row r="51" spans="1:7">
      <c r="A51">
        <v>741</v>
      </c>
      <c r="B51" t="s">
        <v>914</v>
      </c>
      <c r="C51" t="s">
        <v>979</v>
      </c>
      <c r="D51" t="s">
        <v>928</v>
      </c>
      <c r="E51" t="s">
        <v>1065</v>
      </c>
      <c r="F51" t="s">
        <v>1066</v>
      </c>
      <c r="G51" t="s">
        <v>1067</v>
      </c>
    </row>
    <row r="52" spans="1:7">
      <c r="A52">
        <v>740</v>
      </c>
      <c r="B52" t="s">
        <v>914</v>
      </c>
      <c r="C52" t="s">
        <v>979</v>
      </c>
      <c r="D52" t="s">
        <v>928</v>
      </c>
      <c r="E52" t="s">
        <v>1068</v>
      </c>
      <c r="F52" t="s">
        <v>1069</v>
      </c>
      <c r="G52" t="s">
        <v>1070</v>
      </c>
    </row>
    <row r="53" spans="1:7">
      <c r="A53">
        <v>739</v>
      </c>
      <c r="B53" t="s">
        <v>914</v>
      </c>
      <c r="C53" t="s">
        <v>979</v>
      </c>
      <c r="D53" t="s">
        <v>928</v>
      </c>
      <c r="E53" t="s">
        <v>1071</v>
      </c>
      <c r="F53" t="s">
        <v>1072</v>
      </c>
      <c r="G53" t="s">
        <v>1073</v>
      </c>
    </row>
    <row r="54" spans="1:7">
      <c r="A54">
        <v>738</v>
      </c>
      <c r="B54" t="s">
        <v>914</v>
      </c>
      <c r="C54" t="s">
        <v>979</v>
      </c>
      <c r="D54" t="s">
        <v>928</v>
      </c>
      <c r="E54" t="s">
        <v>1074</v>
      </c>
      <c r="F54" t="s">
        <v>1075</v>
      </c>
      <c r="G54" t="s">
        <v>1076</v>
      </c>
    </row>
    <row r="55" spans="1:7">
      <c r="A55">
        <v>737</v>
      </c>
      <c r="B55" t="s">
        <v>914</v>
      </c>
      <c r="C55" t="s">
        <v>979</v>
      </c>
      <c r="D55" t="s">
        <v>928</v>
      </c>
      <c r="E55" t="s">
        <v>1077</v>
      </c>
      <c r="F55" t="s">
        <v>1078</v>
      </c>
      <c r="G55" t="s">
        <v>1079</v>
      </c>
    </row>
    <row r="56" spans="1:7">
      <c r="A56">
        <v>736</v>
      </c>
      <c r="B56" t="s">
        <v>914</v>
      </c>
      <c r="C56" t="s">
        <v>979</v>
      </c>
      <c r="D56" t="s">
        <v>928</v>
      </c>
      <c r="E56" t="s">
        <v>1080</v>
      </c>
      <c r="F56" t="s">
        <v>1081</v>
      </c>
      <c r="G56" t="s">
        <v>1082</v>
      </c>
    </row>
    <row r="57" spans="1:7">
      <c r="A57">
        <v>735</v>
      </c>
      <c r="B57" t="s">
        <v>914</v>
      </c>
      <c r="C57" t="s">
        <v>1011</v>
      </c>
      <c r="D57" t="s">
        <v>928</v>
      </c>
      <c r="E57" t="s">
        <v>1083</v>
      </c>
      <c r="F57" t="s">
        <v>1084</v>
      </c>
      <c r="G57" t="s">
        <v>1085</v>
      </c>
    </row>
    <row r="58" spans="1:7">
      <c r="A58">
        <v>734</v>
      </c>
      <c r="B58" t="s">
        <v>914</v>
      </c>
      <c r="C58" t="s">
        <v>1011</v>
      </c>
      <c r="D58" t="s">
        <v>928</v>
      </c>
      <c r="E58" t="s">
        <v>1086</v>
      </c>
      <c r="F58" t="s">
        <v>1087</v>
      </c>
      <c r="G58" t="s">
        <v>1088</v>
      </c>
    </row>
    <row r="59" spans="1:7">
      <c r="A59">
        <v>733</v>
      </c>
      <c r="B59" t="s">
        <v>914</v>
      </c>
      <c r="C59" t="s">
        <v>979</v>
      </c>
      <c r="D59" t="s">
        <v>928</v>
      </c>
      <c r="E59" t="s">
        <v>1089</v>
      </c>
      <c r="F59" t="s">
        <v>1090</v>
      </c>
      <c r="G59" t="s">
        <v>1091</v>
      </c>
    </row>
    <row r="60" spans="1:7">
      <c r="A60">
        <v>732</v>
      </c>
      <c r="B60" t="s">
        <v>914</v>
      </c>
      <c r="C60" t="s">
        <v>915</v>
      </c>
      <c r="D60" t="s">
        <v>928</v>
      </c>
      <c r="E60" t="s">
        <v>1092</v>
      </c>
      <c r="F60" t="s">
        <v>1093</v>
      </c>
      <c r="G60" t="s">
        <v>1094</v>
      </c>
    </row>
    <row r="61" spans="1:7">
      <c r="A61">
        <v>731</v>
      </c>
      <c r="B61" t="s">
        <v>914</v>
      </c>
      <c r="C61" t="s">
        <v>927</v>
      </c>
      <c r="D61" t="s">
        <v>928</v>
      </c>
      <c r="E61" t="s">
        <v>1095</v>
      </c>
      <c r="F61" t="s">
        <v>1096</v>
      </c>
      <c r="G61" t="s">
        <v>1097</v>
      </c>
    </row>
    <row r="62" spans="1:7">
      <c r="A62">
        <v>730</v>
      </c>
      <c r="B62" t="s">
        <v>914</v>
      </c>
      <c r="C62" t="s">
        <v>979</v>
      </c>
      <c r="D62" t="s">
        <v>928</v>
      </c>
      <c r="E62" t="s">
        <v>1098</v>
      </c>
      <c r="F62" t="s">
        <v>1099</v>
      </c>
      <c r="G62" t="s">
        <v>1100</v>
      </c>
    </row>
    <row r="63" spans="1:7">
      <c r="A63">
        <v>729</v>
      </c>
      <c r="B63" t="s">
        <v>914</v>
      </c>
      <c r="C63" t="s">
        <v>979</v>
      </c>
      <c r="D63" t="s">
        <v>928</v>
      </c>
      <c r="E63" t="s">
        <v>1101</v>
      </c>
      <c r="F63" t="s">
        <v>1102</v>
      </c>
      <c r="G63" t="s">
        <v>1103</v>
      </c>
    </row>
    <row r="64" spans="1:7">
      <c r="A64">
        <v>728</v>
      </c>
      <c r="B64" t="s">
        <v>914</v>
      </c>
      <c r="C64" t="s">
        <v>927</v>
      </c>
      <c r="D64" t="s">
        <v>928</v>
      </c>
      <c r="E64" t="s">
        <v>1104</v>
      </c>
      <c r="F64" t="s">
        <v>1105</v>
      </c>
      <c r="G64" t="s">
        <v>1106</v>
      </c>
    </row>
    <row r="65" spans="1:7">
      <c r="A65">
        <v>727</v>
      </c>
      <c r="B65" t="s">
        <v>914</v>
      </c>
      <c r="C65" t="s">
        <v>979</v>
      </c>
      <c r="D65" t="s">
        <v>928</v>
      </c>
      <c r="E65" t="s">
        <v>1107</v>
      </c>
      <c r="F65" t="s">
        <v>1108</v>
      </c>
      <c r="G65" t="s">
        <v>1109</v>
      </c>
    </row>
    <row r="66" spans="1:7">
      <c r="A66">
        <v>726</v>
      </c>
      <c r="B66" t="s">
        <v>914</v>
      </c>
      <c r="C66" t="s">
        <v>979</v>
      </c>
      <c r="D66" t="s">
        <v>928</v>
      </c>
      <c r="E66" t="s">
        <v>1110</v>
      </c>
      <c r="F66" t="s">
        <v>1111</v>
      </c>
      <c r="G66" t="s">
        <v>1112</v>
      </c>
    </row>
    <row r="67" spans="1:7">
      <c r="A67">
        <v>725</v>
      </c>
      <c r="B67" t="s">
        <v>914</v>
      </c>
      <c r="C67" t="s">
        <v>979</v>
      </c>
      <c r="D67" t="s">
        <v>928</v>
      </c>
      <c r="E67" t="s">
        <v>1113</v>
      </c>
      <c r="F67" t="s">
        <v>1114</v>
      </c>
      <c r="G67" t="s">
        <v>1115</v>
      </c>
    </row>
    <row r="68" spans="1:7">
      <c r="A68">
        <v>724</v>
      </c>
      <c r="B68" t="s">
        <v>914</v>
      </c>
      <c r="C68" t="s">
        <v>927</v>
      </c>
      <c r="D68" t="s">
        <v>928</v>
      </c>
      <c r="E68" t="s">
        <v>1116</v>
      </c>
      <c r="F68" t="s">
        <v>1117</v>
      </c>
      <c r="G68" t="s">
        <v>1118</v>
      </c>
    </row>
    <row r="69" spans="1:7">
      <c r="A69">
        <v>723</v>
      </c>
      <c r="B69" t="s">
        <v>914</v>
      </c>
      <c r="C69" t="s">
        <v>979</v>
      </c>
      <c r="D69" t="s">
        <v>928</v>
      </c>
      <c r="E69" t="s">
        <v>1119</v>
      </c>
      <c r="F69" t="s">
        <v>1120</v>
      </c>
      <c r="G69" t="s">
        <v>1121</v>
      </c>
    </row>
    <row r="70" spans="1:7">
      <c r="A70">
        <v>722</v>
      </c>
      <c r="B70" t="s">
        <v>914</v>
      </c>
      <c r="C70" t="s">
        <v>920</v>
      </c>
      <c r="D70" t="s">
        <v>928</v>
      </c>
      <c r="E70" t="s">
        <v>1122</v>
      </c>
      <c r="F70" t="s">
        <v>1123</v>
      </c>
      <c r="G70" t="s">
        <v>1124</v>
      </c>
    </row>
    <row r="71" spans="1:7">
      <c r="A71">
        <v>721</v>
      </c>
      <c r="B71" t="s">
        <v>914</v>
      </c>
      <c r="C71" t="s">
        <v>915</v>
      </c>
      <c r="D71" t="s">
        <v>916</v>
      </c>
      <c r="E71" t="s">
        <v>1125</v>
      </c>
      <c r="F71" t="s">
        <v>1126</v>
      </c>
      <c r="G71" t="s">
        <v>1127</v>
      </c>
    </row>
    <row r="72" spans="1:7">
      <c r="A72">
        <v>720</v>
      </c>
      <c r="B72" t="s">
        <v>914</v>
      </c>
      <c r="C72" t="s">
        <v>927</v>
      </c>
      <c r="D72" t="s">
        <v>916</v>
      </c>
      <c r="E72" t="s">
        <v>1128</v>
      </c>
      <c r="F72" t="s">
        <v>1126</v>
      </c>
      <c r="G72" t="s">
        <v>1129</v>
      </c>
    </row>
    <row r="73" spans="1:7">
      <c r="A73">
        <v>719</v>
      </c>
      <c r="B73" t="s">
        <v>914</v>
      </c>
      <c r="C73" t="s">
        <v>1011</v>
      </c>
      <c r="D73" t="s">
        <v>928</v>
      </c>
      <c r="E73" t="s">
        <v>1130</v>
      </c>
      <c r="F73" t="s">
        <v>1131</v>
      </c>
      <c r="G73" t="s">
        <v>1132</v>
      </c>
    </row>
    <row r="74" spans="1:7">
      <c r="A74">
        <v>718</v>
      </c>
      <c r="B74" t="s">
        <v>914</v>
      </c>
      <c r="C74" t="s">
        <v>915</v>
      </c>
      <c r="D74" t="s">
        <v>928</v>
      </c>
      <c r="E74" t="s">
        <v>1133</v>
      </c>
      <c r="F74" t="s">
        <v>1134</v>
      </c>
      <c r="G74" t="s">
        <v>1135</v>
      </c>
    </row>
    <row r="75" spans="1:7">
      <c r="A75">
        <v>717</v>
      </c>
      <c r="B75" t="s">
        <v>914</v>
      </c>
      <c r="C75" t="s">
        <v>1011</v>
      </c>
      <c r="D75" t="s">
        <v>928</v>
      </c>
      <c r="E75" t="s">
        <v>1136</v>
      </c>
      <c r="F75" t="s">
        <v>1137</v>
      </c>
      <c r="G75" t="s">
        <v>1138</v>
      </c>
    </row>
    <row r="76" spans="1:7">
      <c r="A76">
        <v>716</v>
      </c>
      <c r="B76" t="s">
        <v>914</v>
      </c>
      <c r="C76" t="s">
        <v>927</v>
      </c>
      <c r="D76" t="s">
        <v>928</v>
      </c>
      <c r="E76" t="s">
        <v>1139</v>
      </c>
      <c r="F76" t="s">
        <v>1140</v>
      </c>
      <c r="G76" t="s">
        <v>1141</v>
      </c>
    </row>
    <row r="77" spans="1:7">
      <c r="A77">
        <v>715</v>
      </c>
      <c r="B77" t="s">
        <v>914</v>
      </c>
      <c r="C77" t="s">
        <v>979</v>
      </c>
      <c r="D77" t="s">
        <v>928</v>
      </c>
      <c r="E77" t="s">
        <v>1142</v>
      </c>
      <c r="F77" t="s">
        <v>1143</v>
      </c>
      <c r="G77" t="s">
        <v>1144</v>
      </c>
    </row>
    <row r="78" spans="1:7">
      <c r="A78">
        <v>714</v>
      </c>
      <c r="B78" t="s">
        <v>914</v>
      </c>
      <c r="C78" t="s">
        <v>979</v>
      </c>
      <c r="D78" t="s">
        <v>928</v>
      </c>
      <c r="E78" t="s">
        <v>1145</v>
      </c>
      <c r="F78" t="s">
        <v>1146</v>
      </c>
      <c r="G78" t="s">
        <v>1147</v>
      </c>
    </row>
    <row r="79" spans="1:7">
      <c r="A79">
        <v>713</v>
      </c>
      <c r="B79" t="s">
        <v>914</v>
      </c>
      <c r="C79" t="s">
        <v>979</v>
      </c>
      <c r="D79" t="s">
        <v>928</v>
      </c>
      <c r="E79" t="s">
        <v>1148</v>
      </c>
      <c r="F79" t="s">
        <v>1149</v>
      </c>
      <c r="G79" t="s">
        <v>1150</v>
      </c>
    </row>
    <row r="80" spans="1:7">
      <c r="A80">
        <v>712</v>
      </c>
      <c r="B80" t="s">
        <v>914</v>
      </c>
      <c r="C80" t="s">
        <v>979</v>
      </c>
      <c r="D80" t="s">
        <v>928</v>
      </c>
      <c r="E80" t="s">
        <v>1151</v>
      </c>
      <c r="F80" t="s">
        <v>1152</v>
      </c>
      <c r="G80" t="s">
        <v>1153</v>
      </c>
    </row>
    <row r="81" spans="1:7">
      <c r="A81">
        <v>711</v>
      </c>
      <c r="B81" t="s">
        <v>914</v>
      </c>
      <c r="C81" t="s">
        <v>979</v>
      </c>
      <c r="D81" t="s">
        <v>928</v>
      </c>
      <c r="E81" t="s">
        <v>1154</v>
      </c>
      <c r="F81" t="s">
        <v>1155</v>
      </c>
      <c r="G81" t="s">
        <v>1156</v>
      </c>
    </row>
    <row r="82" spans="1:7">
      <c r="A82">
        <v>710</v>
      </c>
      <c r="B82" t="s">
        <v>914</v>
      </c>
      <c r="C82" t="s">
        <v>927</v>
      </c>
      <c r="D82" t="s">
        <v>928</v>
      </c>
      <c r="E82" t="s">
        <v>1157</v>
      </c>
      <c r="F82" t="s">
        <v>1158</v>
      </c>
      <c r="G82" t="s">
        <v>1159</v>
      </c>
    </row>
    <row r="83" spans="1:7">
      <c r="A83">
        <v>709</v>
      </c>
      <c r="B83" t="s">
        <v>914</v>
      </c>
      <c r="C83" t="s">
        <v>915</v>
      </c>
      <c r="D83" t="s">
        <v>916</v>
      </c>
      <c r="E83" t="s">
        <v>1160</v>
      </c>
      <c r="F83" t="s">
        <v>1161</v>
      </c>
      <c r="G83" t="s">
        <v>1162</v>
      </c>
    </row>
    <row r="84" spans="1:7">
      <c r="A84">
        <v>708</v>
      </c>
      <c r="B84" t="s">
        <v>914</v>
      </c>
      <c r="C84" t="s">
        <v>927</v>
      </c>
      <c r="D84" t="s">
        <v>916</v>
      </c>
      <c r="E84" t="s">
        <v>1163</v>
      </c>
      <c r="F84" t="s">
        <v>1161</v>
      </c>
      <c r="G84" t="s">
        <v>1164</v>
      </c>
    </row>
    <row r="85" spans="1:7">
      <c r="A85">
        <v>707</v>
      </c>
      <c r="B85" t="s">
        <v>914</v>
      </c>
      <c r="C85" t="s">
        <v>1011</v>
      </c>
      <c r="D85" t="s">
        <v>928</v>
      </c>
      <c r="E85" t="s">
        <v>1165</v>
      </c>
      <c r="F85" t="s">
        <v>1166</v>
      </c>
      <c r="G85" t="s">
        <v>1167</v>
      </c>
    </row>
    <row r="86" spans="1:7">
      <c r="A86">
        <v>706</v>
      </c>
      <c r="B86" t="s">
        <v>914</v>
      </c>
      <c r="C86" t="s">
        <v>927</v>
      </c>
      <c r="D86" t="s">
        <v>928</v>
      </c>
      <c r="E86" t="s">
        <v>1168</v>
      </c>
      <c r="F86" t="s">
        <v>1169</v>
      </c>
      <c r="G86" t="s">
        <v>1170</v>
      </c>
    </row>
    <row r="87" spans="1:7">
      <c r="A87">
        <v>705</v>
      </c>
      <c r="B87" t="s">
        <v>914</v>
      </c>
      <c r="C87" t="s">
        <v>979</v>
      </c>
      <c r="D87" t="s">
        <v>928</v>
      </c>
      <c r="E87" t="s">
        <v>1171</v>
      </c>
      <c r="F87" t="s">
        <v>1172</v>
      </c>
      <c r="G87" t="s">
        <v>1173</v>
      </c>
    </row>
    <row r="88" spans="1:7">
      <c r="A88">
        <v>704</v>
      </c>
      <c r="B88" t="s">
        <v>914</v>
      </c>
      <c r="C88" t="s">
        <v>927</v>
      </c>
      <c r="D88" t="s">
        <v>928</v>
      </c>
      <c r="E88" t="s">
        <v>1174</v>
      </c>
      <c r="F88" t="s">
        <v>1175</v>
      </c>
      <c r="G88" t="s">
        <v>1176</v>
      </c>
    </row>
    <row r="89" spans="1:7">
      <c r="A89">
        <v>703</v>
      </c>
      <c r="B89" t="s">
        <v>914</v>
      </c>
      <c r="C89" t="s">
        <v>979</v>
      </c>
      <c r="D89" t="s">
        <v>928</v>
      </c>
      <c r="E89" t="s">
        <v>1177</v>
      </c>
      <c r="F89" t="s">
        <v>1178</v>
      </c>
      <c r="G89" t="s">
        <v>1179</v>
      </c>
    </row>
    <row r="90" spans="1:7">
      <c r="A90">
        <v>702</v>
      </c>
      <c r="B90" t="s">
        <v>914</v>
      </c>
      <c r="C90" t="s">
        <v>927</v>
      </c>
      <c r="D90" t="s">
        <v>928</v>
      </c>
      <c r="E90" t="s">
        <v>1180</v>
      </c>
      <c r="F90" t="s">
        <v>1181</v>
      </c>
      <c r="G90" t="s">
        <v>1182</v>
      </c>
    </row>
    <row r="91" spans="1:7">
      <c r="A91">
        <v>701</v>
      </c>
      <c r="B91" t="s">
        <v>914</v>
      </c>
      <c r="C91" t="s">
        <v>979</v>
      </c>
      <c r="D91" t="s">
        <v>928</v>
      </c>
      <c r="E91" t="s">
        <v>1183</v>
      </c>
      <c r="F91" t="s">
        <v>1184</v>
      </c>
      <c r="G91" t="s">
        <v>1185</v>
      </c>
    </row>
    <row r="92" spans="1:7">
      <c r="A92">
        <v>700</v>
      </c>
      <c r="B92" t="s">
        <v>914</v>
      </c>
      <c r="C92" t="s">
        <v>979</v>
      </c>
      <c r="D92" t="s">
        <v>928</v>
      </c>
      <c r="E92" t="s">
        <v>1186</v>
      </c>
      <c r="F92" t="s">
        <v>1187</v>
      </c>
      <c r="G92" t="s">
        <v>1188</v>
      </c>
    </row>
    <row r="93" spans="1:7">
      <c r="A93">
        <v>699</v>
      </c>
      <c r="B93" t="s">
        <v>914</v>
      </c>
      <c r="C93" t="s">
        <v>915</v>
      </c>
      <c r="D93" t="s">
        <v>928</v>
      </c>
      <c r="E93" t="s">
        <v>1189</v>
      </c>
      <c r="F93" t="s">
        <v>1190</v>
      </c>
      <c r="G93" t="s">
        <v>1191</v>
      </c>
    </row>
    <row r="94" spans="1:7">
      <c r="A94">
        <v>698</v>
      </c>
      <c r="B94" t="s">
        <v>914</v>
      </c>
      <c r="C94" t="s">
        <v>915</v>
      </c>
      <c r="D94" t="s">
        <v>928</v>
      </c>
      <c r="E94" t="s">
        <v>1192</v>
      </c>
      <c r="F94" t="s">
        <v>1193</v>
      </c>
      <c r="G94" t="s">
        <v>1194</v>
      </c>
    </row>
    <row r="95" spans="1:7">
      <c r="A95">
        <v>697</v>
      </c>
      <c r="B95" t="s">
        <v>914</v>
      </c>
      <c r="C95" t="s">
        <v>915</v>
      </c>
      <c r="D95" t="s">
        <v>916</v>
      </c>
      <c r="E95" t="s">
        <v>1195</v>
      </c>
      <c r="F95" t="s">
        <v>1196</v>
      </c>
      <c r="G95" t="s">
        <v>1197</v>
      </c>
    </row>
    <row r="96" spans="1:7">
      <c r="A96">
        <v>696</v>
      </c>
      <c r="B96" t="s">
        <v>914</v>
      </c>
      <c r="C96" t="s">
        <v>927</v>
      </c>
      <c r="D96" t="s">
        <v>928</v>
      </c>
      <c r="E96" t="s">
        <v>1198</v>
      </c>
      <c r="F96" t="s">
        <v>1199</v>
      </c>
      <c r="G96" t="s">
        <v>1200</v>
      </c>
    </row>
    <row r="97" spans="1:7">
      <c r="A97">
        <v>695</v>
      </c>
      <c r="B97" t="s">
        <v>914</v>
      </c>
      <c r="C97" t="s">
        <v>979</v>
      </c>
      <c r="D97" t="s">
        <v>928</v>
      </c>
      <c r="E97" t="s">
        <v>1201</v>
      </c>
      <c r="F97" t="s">
        <v>1202</v>
      </c>
      <c r="G97" t="s">
        <v>1203</v>
      </c>
    </row>
    <row r="98" spans="1:7">
      <c r="A98">
        <v>694</v>
      </c>
      <c r="B98" t="s">
        <v>914</v>
      </c>
      <c r="C98" t="s">
        <v>927</v>
      </c>
      <c r="D98" t="s">
        <v>928</v>
      </c>
      <c r="E98" t="s">
        <v>1204</v>
      </c>
      <c r="F98" t="s">
        <v>1205</v>
      </c>
      <c r="G98" t="s">
        <v>1206</v>
      </c>
    </row>
    <row r="99" spans="1:7">
      <c r="A99">
        <v>693</v>
      </c>
      <c r="B99" t="s">
        <v>914</v>
      </c>
      <c r="C99" t="s">
        <v>927</v>
      </c>
      <c r="D99" t="s">
        <v>928</v>
      </c>
      <c r="E99" t="s">
        <v>1207</v>
      </c>
      <c r="F99" t="s">
        <v>1208</v>
      </c>
      <c r="G99" t="s">
        <v>1209</v>
      </c>
    </row>
    <row r="100" spans="1:7">
      <c r="A100">
        <v>692</v>
      </c>
      <c r="B100" t="s">
        <v>914</v>
      </c>
      <c r="C100" t="s">
        <v>979</v>
      </c>
      <c r="D100" t="s">
        <v>928</v>
      </c>
      <c r="E100" t="s">
        <v>1210</v>
      </c>
      <c r="F100" t="s">
        <v>1211</v>
      </c>
      <c r="G100" t="s">
        <v>1212</v>
      </c>
    </row>
    <row r="101" spans="1:7">
      <c r="A101">
        <v>691</v>
      </c>
      <c r="B101" t="s">
        <v>914</v>
      </c>
      <c r="C101" t="s">
        <v>1011</v>
      </c>
      <c r="D101" t="s">
        <v>928</v>
      </c>
      <c r="E101" t="s">
        <v>1213</v>
      </c>
      <c r="F101" t="s">
        <v>1214</v>
      </c>
      <c r="G101" t="s">
        <v>1215</v>
      </c>
    </row>
    <row r="102" spans="1:7">
      <c r="A102">
        <v>690</v>
      </c>
      <c r="B102" t="s">
        <v>914</v>
      </c>
      <c r="C102" t="s">
        <v>979</v>
      </c>
      <c r="D102" t="s">
        <v>928</v>
      </c>
      <c r="E102" t="s">
        <v>1216</v>
      </c>
      <c r="F102" t="s">
        <v>1217</v>
      </c>
      <c r="G102" t="s">
        <v>1218</v>
      </c>
    </row>
    <row r="103" spans="1:7">
      <c r="A103">
        <v>689</v>
      </c>
      <c r="B103" t="s">
        <v>914</v>
      </c>
      <c r="C103" t="s">
        <v>979</v>
      </c>
      <c r="D103" t="s">
        <v>928</v>
      </c>
      <c r="E103" t="s">
        <v>1219</v>
      </c>
      <c r="F103" t="s">
        <v>974</v>
      </c>
      <c r="G103" t="s">
        <v>1220</v>
      </c>
    </row>
    <row r="104" spans="1:7">
      <c r="A104">
        <v>688</v>
      </c>
      <c r="B104" t="s">
        <v>914</v>
      </c>
      <c r="C104" t="s">
        <v>979</v>
      </c>
      <c r="D104" t="s">
        <v>928</v>
      </c>
      <c r="E104" t="s">
        <v>1221</v>
      </c>
      <c r="F104" t="s">
        <v>1222</v>
      </c>
      <c r="G104" t="s">
        <v>1223</v>
      </c>
    </row>
    <row r="105" spans="1:7">
      <c r="A105">
        <v>687</v>
      </c>
      <c r="B105" t="s">
        <v>914</v>
      </c>
      <c r="C105" t="s">
        <v>927</v>
      </c>
      <c r="D105" t="s">
        <v>928</v>
      </c>
      <c r="E105" t="s">
        <v>1224</v>
      </c>
      <c r="F105" t="s">
        <v>1225</v>
      </c>
      <c r="G105" t="s">
        <v>1226</v>
      </c>
    </row>
    <row r="106" spans="1:7">
      <c r="A106">
        <v>686</v>
      </c>
      <c r="B106" t="s">
        <v>914</v>
      </c>
      <c r="C106" t="s">
        <v>979</v>
      </c>
      <c r="D106" t="s">
        <v>928</v>
      </c>
      <c r="E106" t="s">
        <v>1227</v>
      </c>
      <c r="F106" t="s">
        <v>1228</v>
      </c>
      <c r="G106" t="s">
        <v>1229</v>
      </c>
    </row>
    <row r="107" spans="1:7">
      <c r="A107">
        <v>685</v>
      </c>
      <c r="B107" t="s">
        <v>914</v>
      </c>
      <c r="C107" t="s">
        <v>979</v>
      </c>
      <c r="D107" t="s">
        <v>928</v>
      </c>
      <c r="E107" t="s">
        <v>1230</v>
      </c>
      <c r="F107" t="s">
        <v>1231</v>
      </c>
      <c r="G107" t="s">
        <v>1232</v>
      </c>
    </row>
    <row r="108" spans="1:7">
      <c r="A108">
        <v>684</v>
      </c>
      <c r="B108" t="s">
        <v>914</v>
      </c>
      <c r="C108" t="s">
        <v>927</v>
      </c>
      <c r="D108" t="s">
        <v>928</v>
      </c>
      <c r="E108" t="s">
        <v>1233</v>
      </c>
      <c r="F108" t="s">
        <v>1234</v>
      </c>
      <c r="G108" t="s">
        <v>1235</v>
      </c>
    </row>
    <row r="109" spans="1:7">
      <c r="A109">
        <v>683</v>
      </c>
      <c r="B109" t="s">
        <v>914</v>
      </c>
      <c r="C109" t="s">
        <v>979</v>
      </c>
      <c r="D109" t="s">
        <v>928</v>
      </c>
      <c r="E109" t="s">
        <v>1236</v>
      </c>
      <c r="F109" t="s">
        <v>1237</v>
      </c>
      <c r="G109" t="s">
        <v>1238</v>
      </c>
    </row>
    <row r="110" spans="1:7">
      <c r="A110">
        <v>682</v>
      </c>
      <c r="B110" t="s">
        <v>914</v>
      </c>
      <c r="C110" t="s">
        <v>927</v>
      </c>
      <c r="D110" t="s">
        <v>928</v>
      </c>
      <c r="E110" t="s">
        <v>1239</v>
      </c>
      <c r="F110" t="s">
        <v>1240</v>
      </c>
      <c r="G110" t="s">
        <v>1241</v>
      </c>
    </row>
    <row r="111" spans="1:7">
      <c r="A111">
        <v>681</v>
      </c>
      <c r="B111" t="s">
        <v>914</v>
      </c>
      <c r="C111" t="s">
        <v>979</v>
      </c>
      <c r="D111" t="s">
        <v>928</v>
      </c>
      <c r="E111" t="s">
        <v>1242</v>
      </c>
      <c r="F111" t="s">
        <v>1243</v>
      </c>
      <c r="G111" t="s">
        <v>1244</v>
      </c>
    </row>
    <row r="112" spans="1:7">
      <c r="A112">
        <v>680</v>
      </c>
      <c r="B112" t="s">
        <v>914</v>
      </c>
      <c r="C112" t="s">
        <v>927</v>
      </c>
      <c r="D112" t="s">
        <v>928</v>
      </c>
      <c r="E112" t="s">
        <v>1245</v>
      </c>
      <c r="F112" t="s">
        <v>1246</v>
      </c>
      <c r="G112" t="s">
        <v>1247</v>
      </c>
    </row>
    <row r="113" spans="1:7">
      <c r="A113">
        <v>679</v>
      </c>
      <c r="B113" t="s">
        <v>914</v>
      </c>
      <c r="C113" t="s">
        <v>927</v>
      </c>
      <c r="D113" t="s">
        <v>928</v>
      </c>
      <c r="E113" t="s">
        <v>1248</v>
      </c>
      <c r="F113" t="s">
        <v>1249</v>
      </c>
      <c r="G113" t="s">
        <v>1250</v>
      </c>
    </row>
    <row r="114" spans="1:7">
      <c r="A114">
        <v>678</v>
      </c>
      <c r="B114" t="s">
        <v>914</v>
      </c>
      <c r="C114" t="s">
        <v>979</v>
      </c>
      <c r="D114" t="s">
        <v>928</v>
      </c>
      <c r="E114" t="s">
        <v>1251</v>
      </c>
      <c r="F114" t="s">
        <v>1252</v>
      </c>
      <c r="G114" t="s">
        <v>1253</v>
      </c>
    </row>
    <row r="115" spans="1:7">
      <c r="A115">
        <v>677</v>
      </c>
      <c r="B115" t="s">
        <v>914</v>
      </c>
      <c r="C115" t="s">
        <v>979</v>
      </c>
      <c r="D115" t="s">
        <v>928</v>
      </c>
      <c r="E115" t="s">
        <v>1254</v>
      </c>
      <c r="F115" t="s">
        <v>1255</v>
      </c>
      <c r="G115" t="s">
        <v>1256</v>
      </c>
    </row>
    <row r="116" spans="1:7">
      <c r="A116">
        <v>676</v>
      </c>
      <c r="B116" t="s">
        <v>914</v>
      </c>
      <c r="C116" t="s">
        <v>1011</v>
      </c>
      <c r="D116" t="s">
        <v>928</v>
      </c>
      <c r="E116" t="s">
        <v>1257</v>
      </c>
      <c r="F116" t="s">
        <v>1258</v>
      </c>
      <c r="G116" t="s">
        <v>1259</v>
      </c>
    </row>
    <row r="117" spans="1:7">
      <c r="A117">
        <v>675</v>
      </c>
      <c r="B117" t="s">
        <v>914</v>
      </c>
      <c r="C117" t="s">
        <v>920</v>
      </c>
      <c r="D117" t="s">
        <v>928</v>
      </c>
      <c r="E117" t="s">
        <v>1260</v>
      </c>
      <c r="F117" t="s">
        <v>1261</v>
      </c>
      <c r="G117" t="s">
        <v>1262</v>
      </c>
    </row>
    <row r="118" spans="1:7">
      <c r="A118">
        <v>674</v>
      </c>
      <c r="B118" t="s">
        <v>914</v>
      </c>
      <c r="C118" t="s">
        <v>920</v>
      </c>
      <c r="D118" t="s">
        <v>928</v>
      </c>
      <c r="E118" t="s">
        <v>1263</v>
      </c>
      <c r="F118" t="s">
        <v>1264</v>
      </c>
      <c r="G118" t="s">
        <v>1265</v>
      </c>
    </row>
    <row r="119" spans="1:7">
      <c r="A119">
        <v>673</v>
      </c>
      <c r="B119" t="s">
        <v>914</v>
      </c>
      <c r="C119" t="s">
        <v>979</v>
      </c>
      <c r="D119" t="s">
        <v>928</v>
      </c>
      <c r="E119" t="s">
        <v>1266</v>
      </c>
      <c r="F119" t="s">
        <v>1267</v>
      </c>
      <c r="G119" t="s">
        <v>1268</v>
      </c>
    </row>
    <row r="120" spans="1:7">
      <c r="A120">
        <v>672</v>
      </c>
      <c r="B120" t="s">
        <v>914</v>
      </c>
      <c r="C120" t="s">
        <v>979</v>
      </c>
      <c r="D120" t="s">
        <v>928</v>
      </c>
      <c r="E120" t="s">
        <v>1269</v>
      </c>
      <c r="F120" t="s">
        <v>1270</v>
      </c>
      <c r="G120" t="s">
        <v>1271</v>
      </c>
    </row>
    <row r="121" spans="1:7">
      <c r="A121">
        <v>671</v>
      </c>
      <c r="B121" t="s">
        <v>914</v>
      </c>
      <c r="C121" t="s">
        <v>979</v>
      </c>
      <c r="D121" t="s">
        <v>928</v>
      </c>
      <c r="E121" t="s">
        <v>1272</v>
      </c>
      <c r="F121" t="s">
        <v>1273</v>
      </c>
      <c r="G121" t="s">
        <v>1274</v>
      </c>
    </row>
    <row r="122" spans="1:7">
      <c r="A122">
        <v>670</v>
      </c>
      <c r="B122" t="s">
        <v>914</v>
      </c>
      <c r="C122" t="s">
        <v>979</v>
      </c>
      <c r="D122" t="s">
        <v>928</v>
      </c>
      <c r="E122" t="s">
        <v>1275</v>
      </c>
      <c r="F122" t="s">
        <v>1276</v>
      </c>
      <c r="G122" t="s">
        <v>1277</v>
      </c>
    </row>
    <row r="123" spans="1:7">
      <c r="A123">
        <v>669</v>
      </c>
      <c r="B123" t="s">
        <v>914</v>
      </c>
      <c r="C123" t="s">
        <v>979</v>
      </c>
      <c r="D123" t="s">
        <v>928</v>
      </c>
      <c r="E123" t="s">
        <v>1278</v>
      </c>
      <c r="F123" t="s">
        <v>1214</v>
      </c>
      <c r="G123" t="s">
        <v>1279</v>
      </c>
    </row>
    <row r="124" spans="1:7">
      <c r="A124">
        <v>668</v>
      </c>
      <c r="B124" t="s">
        <v>914</v>
      </c>
      <c r="C124" t="s">
        <v>979</v>
      </c>
      <c r="D124" t="s">
        <v>928</v>
      </c>
      <c r="E124" t="s">
        <v>1280</v>
      </c>
      <c r="F124" t="s">
        <v>1281</v>
      </c>
      <c r="G124" t="s">
        <v>1282</v>
      </c>
    </row>
    <row r="125" spans="1:7">
      <c r="A125">
        <v>667</v>
      </c>
      <c r="B125" t="s">
        <v>914</v>
      </c>
      <c r="C125" t="s">
        <v>915</v>
      </c>
      <c r="D125" t="s">
        <v>928</v>
      </c>
      <c r="E125" t="s">
        <v>1283</v>
      </c>
      <c r="F125" t="s">
        <v>1284</v>
      </c>
      <c r="G125" t="s">
        <v>1285</v>
      </c>
    </row>
    <row r="126" spans="1:7">
      <c r="A126">
        <v>666</v>
      </c>
      <c r="B126" t="s">
        <v>914</v>
      </c>
      <c r="C126" t="s">
        <v>979</v>
      </c>
      <c r="D126" t="s">
        <v>928</v>
      </c>
      <c r="E126" t="s">
        <v>1286</v>
      </c>
      <c r="F126" t="s">
        <v>1287</v>
      </c>
      <c r="G126" t="s">
        <v>1288</v>
      </c>
    </row>
    <row r="127" spans="1:7">
      <c r="A127">
        <v>665</v>
      </c>
      <c r="B127" t="s">
        <v>914</v>
      </c>
      <c r="C127" t="s">
        <v>979</v>
      </c>
      <c r="D127" t="s">
        <v>928</v>
      </c>
      <c r="E127" t="s">
        <v>1289</v>
      </c>
      <c r="F127" t="s">
        <v>1290</v>
      </c>
      <c r="G127" t="s">
        <v>1291</v>
      </c>
    </row>
    <row r="128" spans="1:7">
      <c r="A128">
        <v>664</v>
      </c>
      <c r="B128" t="s">
        <v>914</v>
      </c>
      <c r="C128" t="s">
        <v>915</v>
      </c>
      <c r="D128" t="s">
        <v>916</v>
      </c>
      <c r="E128" t="s">
        <v>1292</v>
      </c>
      <c r="F128" t="s">
        <v>1293</v>
      </c>
      <c r="G128" t="s">
        <v>1294</v>
      </c>
    </row>
    <row r="129" spans="1:7">
      <c r="A129">
        <v>663</v>
      </c>
      <c r="B129" t="s">
        <v>914</v>
      </c>
      <c r="C129" t="s">
        <v>927</v>
      </c>
      <c r="D129" t="s">
        <v>928</v>
      </c>
      <c r="E129" t="s">
        <v>1295</v>
      </c>
      <c r="F129" t="s">
        <v>1296</v>
      </c>
      <c r="G129" t="s">
        <v>1297</v>
      </c>
    </row>
    <row r="130" spans="1:7">
      <c r="A130">
        <v>662</v>
      </c>
      <c r="B130" t="s">
        <v>914</v>
      </c>
      <c r="C130" t="s">
        <v>979</v>
      </c>
      <c r="D130" t="s">
        <v>928</v>
      </c>
      <c r="E130" t="s">
        <v>1298</v>
      </c>
      <c r="F130" t="s">
        <v>1299</v>
      </c>
      <c r="G130" t="s">
        <v>1300</v>
      </c>
    </row>
    <row r="131" spans="1:7">
      <c r="A131">
        <v>661</v>
      </c>
      <c r="B131" t="s">
        <v>914</v>
      </c>
      <c r="C131" t="s">
        <v>979</v>
      </c>
      <c r="D131" t="s">
        <v>928</v>
      </c>
      <c r="E131" t="s">
        <v>1301</v>
      </c>
      <c r="F131" t="s">
        <v>1302</v>
      </c>
      <c r="G131" t="s">
        <v>1303</v>
      </c>
    </row>
    <row r="132" spans="1:7">
      <c r="A132">
        <v>660</v>
      </c>
      <c r="B132" t="s">
        <v>914</v>
      </c>
      <c r="C132" t="s">
        <v>927</v>
      </c>
      <c r="D132" t="s">
        <v>928</v>
      </c>
      <c r="E132" t="s">
        <v>1304</v>
      </c>
      <c r="F132" t="s">
        <v>1305</v>
      </c>
      <c r="G132" t="s">
        <v>1306</v>
      </c>
    </row>
    <row r="133" spans="1:7">
      <c r="A133">
        <v>659</v>
      </c>
      <c r="B133" t="s">
        <v>914</v>
      </c>
      <c r="C133" t="s">
        <v>979</v>
      </c>
      <c r="D133" t="s">
        <v>928</v>
      </c>
      <c r="E133" t="s">
        <v>1307</v>
      </c>
      <c r="F133" t="s">
        <v>1308</v>
      </c>
      <c r="G133" t="s">
        <v>1309</v>
      </c>
    </row>
    <row r="134" spans="1:7">
      <c r="A134">
        <v>658</v>
      </c>
      <c r="B134" t="s">
        <v>914</v>
      </c>
      <c r="C134" t="s">
        <v>979</v>
      </c>
      <c r="D134" t="s">
        <v>928</v>
      </c>
      <c r="E134" t="s">
        <v>1310</v>
      </c>
      <c r="F134" t="s">
        <v>1311</v>
      </c>
      <c r="G134" t="s">
        <v>1312</v>
      </c>
    </row>
    <row r="135" spans="1:7">
      <c r="A135">
        <v>657</v>
      </c>
      <c r="B135" t="s">
        <v>914</v>
      </c>
      <c r="C135" t="s">
        <v>979</v>
      </c>
      <c r="D135" t="s">
        <v>928</v>
      </c>
      <c r="E135" t="s">
        <v>1313</v>
      </c>
      <c r="F135" t="s">
        <v>1258</v>
      </c>
      <c r="G135" t="s">
        <v>1314</v>
      </c>
    </row>
    <row r="136" spans="1:7">
      <c r="A136">
        <v>656</v>
      </c>
      <c r="B136" t="s">
        <v>914</v>
      </c>
      <c r="C136" t="s">
        <v>979</v>
      </c>
      <c r="D136" t="s">
        <v>928</v>
      </c>
      <c r="E136" t="s">
        <v>1315</v>
      </c>
      <c r="F136" t="s">
        <v>1316</v>
      </c>
      <c r="G136" t="s">
        <v>1317</v>
      </c>
    </row>
    <row r="137" spans="1:7">
      <c r="A137">
        <v>655</v>
      </c>
      <c r="B137" t="s">
        <v>914</v>
      </c>
      <c r="C137" t="s">
        <v>979</v>
      </c>
      <c r="D137" t="s">
        <v>928</v>
      </c>
      <c r="E137" t="s">
        <v>1318</v>
      </c>
      <c r="F137" t="s">
        <v>1319</v>
      </c>
      <c r="G137" t="s">
        <v>1320</v>
      </c>
    </row>
    <row r="138" spans="1:7">
      <c r="A138">
        <v>654</v>
      </c>
      <c r="B138" t="s">
        <v>914</v>
      </c>
      <c r="C138" t="s">
        <v>927</v>
      </c>
      <c r="D138" t="s">
        <v>928</v>
      </c>
      <c r="E138" t="s">
        <v>1321</v>
      </c>
      <c r="F138" t="s">
        <v>1322</v>
      </c>
      <c r="G138" t="s">
        <v>1323</v>
      </c>
    </row>
    <row r="139" spans="1:7">
      <c r="A139">
        <v>653</v>
      </c>
      <c r="B139" t="s">
        <v>914</v>
      </c>
      <c r="C139" t="s">
        <v>979</v>
      </c>
      <c r="D139" t="s">
        <v>928</v>
      </c>
      <c r="E139" t="s">
        <v>1324</v>
      </c>
      <c r="F139" t="s">
        <v>1325</v>
      </c>
      <c r="G139" t="s">
        <v>1326</v>
      </c>
    </row>
    <row r="140" spans="1:7">
      <c r="A140">
        <v>652</v>
      </c>
      <c r="B140" t="s">
        <v>914</v>
      </c>
      <c r="C140" t="s">
        <v>1011</v>
      </c>
      <c r="D140" t="s">
        <v>928</v>
      </c>
      <c r="E140" t="s">
        <v>1327</v>
      </c>
      <c r="F140" t="s">
        <v>1328</v>
      </c>
      <c r="G140" t="s">
        <v>1329</v>
      </c>
    </row>
    <row r="141" spans="1:7">
      <c r="A141">
        <v>651</v>
      </c>
      <c r="B141" t="s">
        <v>914</v>
      </c>
      <c r="C141" t="s">
        <v>1011</v>
      </c>
      <c r="D141" t="s">
        <v>928</v>
      </c>
      <c r="E141" t="s">
        <v>1330</v>
      </c>
      <c r="F141" t="s">
        <v>1331</v>
      </c>
      <c r="G141" t="s">
        <v>1332</v>
      </c>
    </row>
    <row r="142" spans="1:7">
      <c r="A142">
        <v>650</v>
      </c>
      <c r="B142" t="s">
        <v>914</v>
      </c>
      <c r="C142" t="s">
        <v>927</v>
      </c>
      <c r="D142" t="s">
        <v>928</v>
      </c>
      <c r="E142" t="s">
        <v>1333</v>
      </c>
      <c r="F142" t="s">
        <v>1334</v>
      </c>
      <c r="G142" t="s">
        <v>1335</v>
      </c>
    </row>
    <row r="143" spans="1:7">
      <c r="A143">
        <v>649</v>
      </c>
      <c r="B143" t="s">
        <v>914</v>
      </c>
      <c r="C143" t="s">
        <v>979</v>
      </c>
      <c r="D143" t="s">
        <v>928</v>
      </c>
      <c r="E143" t="s">
        <v>1336</v>
      </c>
      <c r="F143" t="s">
        <v>1331</v>
      </c>
      <c r="G143" t="s">
        <v>1337</v>
      </c>
    </row>
    <row r="144" spans="1:7">
      <c r="A144">
        <v>648</v>
      </c>
      <c r="B144" t="s">
        <v>914</v>
      </c>
      <c r="C144" t="s">
        <v>979</v>
      </c>
      <c r="D144" t="s">
        <v>928</v>
      </c>
      <c r="E144" t="s">
        <v>1338</v>
      </c>
      <c r="F144" t="s">
        <v>1339</v>
      </c>
      <c r="G144" t="s">
        <v>1340</v>
      </c>
    </row>
    <row r="145" spans="1:7">
      <c r="A145">
        <v>647</v>
      </c>
      <c r="B145" t="s">
        <v>914</v>
      </c>
      <c r="C145" t="s">
        <v>979</v>
      </c>
      <c r="D145" t="s">
        <v>928</v>
      </c>
      <c r="E145" t="s">
        <v>1341</v>
      </c>
      <c r="F145" t="s">
        <v>1342</v>
      </c>
      <c r="G145" t="s">
        <v>1343</v>
      </c>
    </row>
    <row r="146" spans="1:7">
      <c r="A146">
        <v>646</v>
      </c>
      <c r="B146" t="s">
        <v>914</v>
      </c>
      <c r="C146" t="s">
        <v>915</v>
      </c>
      <c r="D146" t="s">
        <v>916</v>
      </c>
      <c r="E146" t="s">
        <v>1344</v>
      </c>
      <c r="F146" t="s">
        <v>1345</v>
      </c>
      <c r="G146" t="s">
        <v>1346</v>
      </c>
    </row>
    <row r="147" spans="1:7">
      <c r="A147">
        <v>645</v>
      </c>
      <c r="B147" t="s">
        <v>914</v>
      </c>
      <c r="C147" t="s">
        <v>915</v>
      </c>
      <c r="D147" t="s">
        <v>916</v>
      </c>
      <c r="E147" t="s">
        <v>1347</v>
      </c>
      <c r="F147" t="s">
        <v>1348</v>
      </c>
      <c r="G147" t="s">
        <v>1349</v>
      </c>
    </row>
    <row r="148" spans="1:7">
      <c r="A148">
        <v>644</v>
      </c>
      <c r="B148" t="s">
        <v>914</v>
      </c>
      <c r="C148" t="s">
        <v>927</v>
      </c>
      <c r="D148" t="s">
        <v>916</v>
      </c>
      <c r="E148" t="s">
        <v>1350</v>
      </c>
      <c r="F148" t="s">
        <v>1348</v>
      </c>
      <c r="G148" t="s">
        <v>1351</v>
      </c>
    </row>
    <row r="149" spans="1:7">
      <c r="A149">
        <v>643</v>
      </c>
      <c r="B149" t="s">
        <v>914</v>
      </c>
      <c r="C149" t="s">
        <v>927</v>
      </c>
      <c r="D149" t="s">
        <v>928</v>
      </c>
      <c r="E149" t="s">
        <v>1352</v>
      </c>
      <c r="F149" t="s">
        <v>1353</v>
      </c>
      <c r="G149" t="s">
        <v>1354</v>
      </c>
    </row>
    <row r="150" spans="1:7">
      <c r="A150">
        <v>642</v>
      </c>
      <c r="B150" t="s">
        <v>914</v>
      </c>
      <c r="C150" t="s">
        <v>1011</v>
      </c>
      <c r="D150" t="s">
        <v>928</v>
      </c>
      <c r="E150" t="s">
        <v>1355</v>
      </c>
      <c r="F150" t="s">
        <v>1356</v>
      </c>
      <c r="G150" t="s">
        <v>1357</v>
      </c>
    </row>
    <row r="151" spans="1:7">
      <c r="A151">
        <v>641</v>
      </c>
      <c r="B151" t="s">
        <v>914</v>
      </c>
      <c r="C151" t="s">
        <v>979</v>
      </c>
      <c r="D151" t="s">
        <v>928</v>
      </c>
      <c r="E151" t="s">
        <v>1358</v>
      </c>
      <c r="F151" t="s">
        <v>1359</v>
      </c>
      <c r="G151" t="s">
        <v>1360</v>
      </c>
    </row>
    <row r="152" spans="1:7">
      <c r="A152">
        <v>640</v>
      </c>
      <c r="B152" t="s">
        <v>914</v>
      </c>
      <c r="C152" t="s">
        <v>979</v>
      </c>
      <c r="D152" t="s">
        <v>928</v>
      </c>
      <c r="E152" t="s">
        <v>1361</v>
      </c>
      <c r="F152" t="s">
        <v>1362</v>
      </c>
      <c r="G152" t="s">
        <v>1363</v>
      </c>
    </row>
    <row r="153" spans="1:7">
      <c r="A153">
        <v>639</v>
      </c>
      <c r="B153" t="s">
        <v>914</v>
      </c>
      <c r="C153" t="s">
        <v>927</v>
      </c>
      <c r="D153" t="s">
        <v>928</v>
      </c>
      <c r="E153" t="s">
        <v>1364</v>
      </c>
      <c r="F153" t="s">
        <v>1365</v>
      </c>
      <c r="G153" t="s">
        <v>1366</v>
      </c>
    </row>
    <row r="154" spans="1:7">
      <c r="A154">
        <v>638</v>
      </c>
      <c r="B154" t="s">
        <v>914</v>
      </c>
      <c r="C154" t="s">
        <v>979</v>
      </c>
      <c r="D154" t="s">
        <v>928</v>
      </c>
      <c r="E154" t="s">
        <v>1367</v>
      </c>
      <c r="F154" t="s">
        <v>1368</v>
      </c>
      <c r="G154" t="s">
        <v>1369</v>
      </c>
    </row>
    <row r="155" spans="1:7">
      <c r="A155">
        <v>637</v>
      </c>
      <c r="B155" t="s">
        <v>914</v>
      </c>
      <c r="C155" t="s">
        <v>979</v>
      </c>
      <c r="D155" t="s">
        <v>928</v>
      </c>
      <c r="E155" t="s">
        <v>1370</v>
      </c>
      <c r="F155" t="s">
        <v>1371</v>
      </c>
      <c r="G155" t="s">
        <v>1372</v>
      </c>
    </row>
    <row r="156" spans="1:7">
      <c r="A156">
        <v>636</v>
      </c>
      <c r="B156" t="s">
        <v>914</v>
      </c>
      <c r="C156" t="s">
        <v>927</v>
      </c>
      <c r="D156" t="s">
        <v>916</v>
      </c>
      <c r="E156" t="s">
        <v>1373</v>
      </c>
      <c r="F156" t="s">
        <v>1374</v>
      </c>
      <c r="G156" t="s">
        <v>1375</v>
      </c>
    </row>
    <row r="157" spans="1:7">
      <c r="A157">
        <v>635</v>
      </c>
      <c r="B157" t="s">
        <v>914</v>
      </c>
      <c r="C157" t="s">
        <v>979</v>
      </c>
      <c r="D157" t="s">
        <v>928</v>
      </c>
      <c r="E157" t="s">
        <v>1376</v>
      </c>
      <c r="F157" t="s">
        <v>1377</v>
      </c>
      <c r="G157" t="s">
        <v>1378</v>
      </c>
    </row>
    <row r="158" spans="1:7">
      <c r="A158">
        <v>634</v>
      </c>
      <c r="B158" t="s">
        <v>914</v>
      </c>
      <c r="C158" t="s">
        <v>979</v>
      </c>
      <c r="D158" t="s">
        <v>928</v>
      </c>
      <c r="E158" t="s">
        <v>1379</v>
      </c>
      <c r="F158" t="s">
        <v>1380</v>
      </c>
      <c r="G158" t="s">
        <v>1381</v>
      </c>
    </row>
    <row r="159" spans="1:7">
      <c r="A159">
        <v>633</v>
      </c>
      <c r="B159" t="s">
        <v>914</v>
      </c>
      <c r="C159" t="s">
        <v>927</v>
      </c>
      <c r="D159" t="s">
        <v>928</v>
      </c>
      <c r="E159" t="s">
        <v>1382</v>
      </c>
      <c r="F159" t="s">
        <v>1217</v>
      </c>
      <c r="G159" t="s">
        <v>1383</v>
      </c>
    </row>
    <row r="160" spans="1:7">
      <c r="A160">
        <v>632</v>
      </c>
      <c r="B160" t="s">
        <v>914</v>
      </c>
      <c r="C160" t="s">
        <v>979</v>
      </c>
      <c r="D160" t="s">
        <v>928</v>
      </c>
      <c r="E160" t="s">
        <v>1384</v>
      </c>
      <c r="F160" t="s">
        <v>1385</v>
      </c>
      <c r="G160" t="s">
        <v>1386</v>
      </c>
    </row>
    <row r="161" spans="1:7">
      <c r="A161">
        <v>631</v>
      </c>
      <c r="B161" t="s">
        <v>914</v>
      </c>
      <c r="C161" t="s">
        <v>915</v>
      </c>
      <c r="D161" t="s">
        <v>928</v>
      </c>
      <c r="E161" t="s">
        <v>1387</v>
      </c>
      <c r="F161" t="s">
        <v>1388</v>
      </c>
      <c r="G161" t="s">
        <v>1389</v>
      </c>
    </row>
    <row r="162" spans="1:7">
      <c r="A162">
        <v>630</v>
      </c>
      <c r="B162" t="s">
        <v>914</v>
      </c>
      <c r="C162" t="s">
        <v>915</v>
      </c>
      <c r="D162" t="s">
        <v>916</v>
      </c>
      <c r="E162" t="s">
        <v>1390</v>
      </c>
      <c r="F162" t="s">
        <v>1391</v>
      </c>
      <c r="G162" t="s">
        <v>1392</v>
      </c>
    </row>
    <row r="163" spans="1:7">
      <c r="A163">
        <v>629</v>
      </c>
      <c r="B163" t="s">
        <v>1393</v>
      </c>
      <c r="C163" t="s">
        <v>927</v>
      </c>
      <c r="D163" t="s">
        <v>928</v>
      </c>
      <c r="E163" t="s">
        <v>1394</v>
      </c>
      <c r="F163" t="s">
        <v>1395</v>
      </c>
      <c r="G163" t="s">
        <v>1396</v>
      </c>
    </row>
    <row r="164" spans="1:7">
      <c r="A164">
        <v>628</v>
      </c>
      <c r="B164" t="s">
        <v>1393</v>
      </c>
      <c r="C164" t="s">
        <v>979</v>
      </c>
      <c r="D164" t="s">
        <v>928</v>
      </c>
      <c r="E164" t="s">
        <v>1397</v>
      </c>
      <c r="F164" t="s">
        <v>1398</v>
      </c>
      <c r="G164" t="s">
        <v>1399</v>
      </c>
    </row>
    <row r="165" spans="1:7">
      <c r="A165">
        <v>627</v>
      </c>
      <c r="B165" t="s">
        <v>1393</v>
      </c>
      <c r="C165" t="s">
        <v>927</v>
      </c>
      <c r="D165" t="s">
        <v>928</v>
      </c>
      <c r="E165" t="s">
        <v>1400</v>
      </c>
      <c r="F165" t="s">
        <v>1401</v>
      </c>
      <c r="G165" t="s">
        <v>1402</v>
      </c>
    </row>
    <row r="166" spans="1:7">
      <c r="A166">
        <v>626</v>
      </c>
      <c r="B166" t="s">
        <v>1393</v>
      </c>
      <c r="C166" t="s">
        <v>979</v>
      </c>
      <c r="D166" t="s">
        <v>928</v>
      </c>
      <c r="E166" t="s">
        <v>1403</v>
      </c>
      <c r="F166" t="s">
        <v>1404</v>
      </c>
      <c r="G166" t="s">
        <v>1405</v>
      </c>
    </row>
    <row r="167" spans="1:7">
      <c r="A167">
        <v>625</v>
      </c>
      <c r="B167" t="s">
        <v>1393</v>
      </c>
      <c r="C167" t="s">
        <v>920</v>
      </c>
      <c r="D167" t="s">
        <v>928</v>
      </c>
      <c r="E167" t="s">
        <v>1406</v>
      </c>
      <c r="F167" t="s">
        <v>1407</v>
      </c>
      <c r="G167" t="s">
        <v>1408</v>
      </c>
    </row>
    <row r="168" spans="1:7">
      <c r="A168">
        <v>624</v>
      </c>
      <c r="B168" t="s">
        <v>1393</v>
      </c>
      <c r="C168" t="s">
        <v>915</v>
      </c>
      <c r="D168" t="s">
        <v>916</v>
      </c>
      <c r="E168" t="s">
        <v>1409</v>
      </c>
      <c r="F168" t="s">
        <v>1410</v>
      </c>
      <c r="G168" t="s">
        <v>1411</v>
      </c>
    </row>
    <row r="169" spans="1:7">
      <c r="A169">
        <v>623</v>
      </c>
      <c r="B169" t="s">
        <v>1393</v>
      </c>
      <c r="C169" t="s">
        <v>927</v>
      </c>
      <c r="D169" t="s">
        <v>928</v>
      </c>
      <c r="E169" t="s">
        <v>1412</v>
      </c>
      <c r="F169" t="s">
        <v>1413</v>
      </c>
      <c r="G169" t="s">
        <v>1414</v>
      </c>
    </row>
    <row r="170" spans="1:7">
      <c r="A170">
        <v>622</v>
      </c>
      <c r="B170" t="s">
        <v>1393</v>
      </c>
      <c r="C170" t="s">
        <v>979</v>
      </c>
      <c r="D170" t="s">
        <v>928</v>
      </c>
      <c r="E170" t="s">
        <v>1415</v>
      </c>
      <c r="F170" t="s">
        <v>1416</v>
      </c>
      <c r="G170" t="s">
        <v>1417</v>
      </c>
    </row>
    <row r="171" spans="1:7">
      <c r="A171">
        <v>621</v>
      </c>
      <c r="B171" t="s">
        <v>1393</v>
      </c>
      <c r="C171" t="s">
        <v>979</v>
      </c>
      <c r="D171" t="s">
        <v>928</v>
      </c>
      <c r="E171" t="s">
        <v>1418</v>
      </c>
      <c r="F171" t="s">
        <v>1419</v>
      </c>
      <c r="G171" t="s">
        <v>1420</v>
      </c>
    </row>
    <row r="172" spans="1:7">
      <c r="A172">
        <v>620</v>
      </c>
      <c r="B172" t="s">
        <v>1393</v>
      </c>
      <c r="C172" t="s">
        <v>915</v>
      </c>
      <c r="D172" t="s">
        <v>928</v>
      </c>
      <c r="E172" t="s">
        <v>1421</v>
      </c>
      <c r="F172" t="s">
        <v>1422</v>
      </c>
      <c r="G172" t="s">
        <v>1423</v>
      </c>
    </row>
    <row r="173" spans="1:7">
      <c r="A173">
        <v>619</v>
      </c>
      <c r="B173" t="s">
        <v>1393</v>
      </c>
      <c r="C173" t="s">
        <v>927</v>
      </c>
      <c r="D173" t="s">
        <v>928</v>
      </c>
      <c r="E173" t="s">
        <v>1424</v>
      </c>
      <c r="F173" t="s">
        <v>1422</v>
      </c>
      <c r="G173" t="s">
        <v>1423</v>
      </c>
    </row>
    <row r="174" spans="1:7">
      <c r="A174">
        <v>618</v>
      </c>
      <c r="B174" t="s">
        <v>1393</v>
      </c>
      <c r="C174" t="s">
        <v>979</v>
      </c>
      <c r="D174" t="s">
        <v>928</v>
      </c>
      <c r="E174" t="s">
        <v>1425</v>
      </c>
      <c r="F174" t="s">
        <v>1426</v>
      </c>
      <c r="G174" t="s">
        <v>1427</v>
      </c>
    </row>
    <row r="175" spans="1:7">
      <c r="A175">
        <v>617</v>
      </c>
      <c r="B175" t="s">
        <v>1393</v>
      </c>
      <c r="C175" t="s">
        <v>979</v>
      </c>
      <c r="D175" t="s">
        <v>928</v>
      </c>
      <c r="E175" t="s">
        <v>1428</v>
      </c>
      <c r="F175" t="s">
        <v>1429</v>
      </c>
      <c r="G175" t="s">
        <v>1430</v>
      </c>
    </row>
    <row r="176" spans="1:7">
      <c r="A176">
        <v>616</v>
      </c>
      <c r="B176" t="s">
        <v>1393</v>
      </c>
      <c r="C176" t="s">
        <v>927</v>
      </c>
      <c r="D176" t="s">
        <v>928</v>
      </c>
      <c r="E176" t="s">
        <v>1431</v>
      </c>
      <c r="F176" t="s">
        <v>1432</v>
      </c>
      <c r="G176" t="s">
        <v>1433</v>
      </c>
    </row>
    <row r="177" spans="1:7">
      <c r="A177">
        <v>615</v>
      </c>
      <c r="B177" t="s">
        <v>1393</v>
      </c>
      <c r="C177" t="s">
        <v>979</v>
      </c>
      <c r="D177" t="s">
        <v>928</v>
      </c>
      <c r="E177" t="s">
        <v>1434</v>
      </c>
      <c r="F177" t="s">
        <v>1435</v>
      </c>
      <c r="G177" t="s">
        <v>1436</v>
      </c>
    </row>
    <row r="178" spans="1:7">
      <c r="A178">
        <v>614</v>
      </c>
      <c r="B178" t="s">
        <v>1393</v>
      </c>
      <c r="C178" t="s">
        <v>915</v>
      </c>
      <c r="D178" t="s">
        <v>928</v>
      </c>
      <c r="E178" t="s">
        <v>1437</v>
      </c>
      <c r="F178" t="s">
        <v>1438</v>
      </c>
      <c r="G178" t="s">
        <v>1439</v>
      </c>
    </row>
    <row r="179" spans="1:7">
      <c r="A179">
        <v>613</v>
      </c>
      <c r="B179" t="s">
        <v>1393</v>
      </c>
      <c r="C179" t="s">
        <v>927</v>
      </c>
      <c r="D179" t="s">
        <v>928</v>
      </c>
      <c r="E179" t="s">
        <v>1440</v>
      </c>
      <c r="F179" t="s">
        <v>1441</v>
      </c>
      <c r="G179" t="s">
        <v>1442</v>
      </c>
    </row>
    <row r="180" spans="1:7">
      <c r="A180">
        <v>612</v>
      </c>
      <c r="B180" t="s">
        <v>1393</v>
      </c>
      <c r="C180" t="s">
        <v>979</v>
      </c>
      <c r="D180" t="s">
        <v>928</v>
      </c>
      <c r="E180" t="s">
        <v>1443</v>
      </c>
      <c r="F180" t="s">
        <v>1444</v>
      </c>
      <c r="G180" t="s">
        <v>1445</v>
      </c>
    </row>
    <row r="181" spans="1:7">
      <c r="A181">
        <v>611</v>
      </c>
      <c r="B181" t="s">
        <v>1393</v>
      </c>
      <c r="C181" t="s">
        <v>1011</v>
      </c>
      <c r="D181" t="s">
        <v>928</v>
      </c>
      <c r="E181" t="s">
        <v>1446</v>
      </c>
      <c r="F181" t="s">
        <v>1447</v>
      </c>
      <c r="G181" t="s">
        <v>1448</v>
      </c>
    </row>
    <row r="182" spans="1:7">
      <c r="A182">
        <v>610</v>
      </c>
      <c r="B182" t="s">
        <v>1393</v>
      </c>
      <c r="C182" t="s">
        <v>915</v>
      </c>
      <c r="D182" t="s">
        <v>928</v>
      </c>
      <c r="E182" t="s">
        <v>1449</v>
      </c>
      <c r="F182" t="s">
        <v>1450</v>
      </c>
      <c r="G182" t="s">
        <v>1451</v>
      </c>
    </row>
    <row r="183" spans="1:7">
      <c r="A183">
        <v>609</v>
      </c>
      <c r="B183" t="s">
        <v>1393</v>
      </c>
      <c r="C183" t="s">
        <v>927</v>
      </c>
      <c r="D183" t="s">
        <v>928</v>
      </c>
      <c r="E183" t="s">
        <v>1452</v>
      </c>
      <c r="F183" t="s">
        <v>1453</v>
      </c>
      <c r="G183" t="s">
        <v>1454</v>
      </c>
    </row>
    <row r="184" spans="1:7">
      <c r="A184">
        <v>608</v>
      </c>
      <c r="B184" t="s">
        <v>1393</v>
      </c>
      <c r="C184" t="s">
        <v>979</v>
      </c>
      <c r="D184" t="s">
        <v>928</v>
      </c>
      <c r="E184" t="s">
        <v>1455</v>
      </c>
      <c r="F184" t="s">
        <v>1456</v>
      </c>
      <c r="G184" t="s">
        <v>1457</v>
      </c>
    </row>
    <row r="185" spans="1:7">
      <c r="A185">
        <v>607</v>
      </c>
      <c r="B185" t="s">
        <v>1393</v>
      </c>
      <c r="C185" t="s">
        <v>915</v>
      </c>
      <c r="D185" t="s">
        <v>916</v>
      </c>
      <c r="E185" t="s">
        <v>1458</v>
      </c>
      <c r="F185" t="s">
        <v>1459</v>
      </c>
      <c r="G185" t="s">
        <v>1460</v>
      </c>
    </row>
    <row r="186" spans="1:7">
      <c r="A186">
        <v>606</v>
      </c>
      <c r="B186" t="s">
        <v>1461</v>
      </c>
      <c r="C186" t="s">
        <v>979</v>
      </c>
      <c r="D186" t="s">
        <v>928</v>
      </c>
      <c r="E186" t="s">
        <v>1462</v>
      </c>
      <c r="F186" t="s">
        <v>1463</v>
      </c>
      <c r="G186" t="s">
        <v>1464</v>
      </c>
    </row>
    <row r="187" spans="1:7">
      <c r="A187">
        <v>605</v>
      </c>
      <c r="B187" t="s">
        <v>1461</v>
      </c>
      <c r="C187" t="s">
        <v>927</v>
      </c>
      <c r="D187" t="s">
        <v>928</v>
      </c>
      <c r="E187" t="s">
        <v>1465</v>
      </c>
      <c r="F187" t="s">
        <v>1466</v>
      </c>
      <c r="G187" t="s">
        <v>1467</v>
      </c>
    </row>
    <row r="188" spans="1:7">
      <c r="A188">
        <v>604</v>
      </c>
      <c r="B188" t="s">
        <v>1461</v>
      </c>
      <c r="C188" t="s">
        <v>979</v>
      </c>
      <c r="D188" t="s">
        <v>928</v>
      </c>
      <c r="E188" t="s">
        <v>1468</v>
      </c>
      <c r="F188" t="s">
        <v>1469</v>
      </c>
      <c r="G188" t="s">
        <v>1470</v>
      </c>
    </row>
    <row r="189" spans="1:7">
      <c r="A189">
        <v>603</v>
      </c>
      <c r="B189" t="s">
        <v>1461</v>
      </c>
      <c r="C189" t="s">
        <v>979</v>
      </c>
      <c r="D189" t="s">
        <v>928</v>
      </c>
      <c r="E189" t="s">
        <v>1471</v>
      </c>
      <c r="F189" t="s">
        <v>1472</v>
      </c>
      <c r="G189" t="s">
        <v>1473</v>
      </c>
    </row>
    <row r="190" spans="1:7">
      <c r="A190">
        <v>602</v>
      </c>
      <c r="B190" t="s">
        <v>1461</v>
      </c>
      <c r="C190" t="s">
        <v>979</v>
      </c>
      <c r="D190" t="s">
        <v>928</v>
      </c>
      <c r="E190" t="s">
        <v>1474</v>
      </c>
      <c r="F190" t="s">
        <v>1475</v>
      </c>
      <c r="G190" t="s">
        <v>1476</v>
      </c>
    </row>
    <row r="191" spans="1:7">
      <c r="A191">
        <v>601</v>
      </c>
      <c r="B191" t="s">
        <v>1461</v>
      </c>
      <c r="C191" t="s">
        <v>979</v>
      </c>
      <c r="D191" t="s">
        <v>928</v>
      </c>
      <c r="E191" t="s">
        <v>1477</v>
      </c>
      <c r="F191" t="s">
        <v>1478</v>
      </c>
      <c r="G191" t="s">
        <v>1479</v>
      </c>
    </row>
    <row r="192" spans="1:7">
      <c r="A192">
        <v>600</v>
      </c>
      <c r="B192" t="s">
        <v>1461</v>
      </c>
      <c r="C192" t="s">
        <v>927</v>
      </c>
      <c r="D192" t="s">
        <v>928</v>
      </c>
      <c r="E192" t="s">
        <v>1480</v>
      </c>
      <c r="F192" t="s">
        <v>1481</v>
      </c>
      <c r="G192" t="s">
        <v>1482</v>
      </c>
    </row>
    <row r="193" spans="1:7">
      <c r="A193">
        <v>599</v>
      </c>
      <c r="B193" t="s">
        <v>1461</v>
      </c>
      <c r="C193" t="s">
        <v>979</v>
      </c>
      <c r="D193" t="s">
        <v>928</v>
      </c>
      <c r="E193" t="s">
        <v>1483</v>
      </c>
      <c r="F193" t="s">
        <v>1484</v>
      </c>
      <c r="G193" t="s">
        <v>1485</v>
      </c>
    </row>
    <row r="194" spans="1:7">
      <c r="A194">
        <v>598</v>
      </c>
      <c r="B194" t="s">
        <v>1461</v>
      </c>
      <c r="C194" t="s">
        <v>927</v>
      </c>
      <c r="D194" t="s">
        <v>928</v>
      </c>
      <c r="E194" t="s">
        <v>1486</v>
      </c>
      <c r="F194" t="s">
        <v>1487</v>
      </c>
      <c r="G194" t="s">
        <v>1488</v>
      </c>
    </row>
    <row r="195" spans="1:7">
      <c r="A195">
        <v>597</v>
      </c>
      <c r="B195" t="s">
        <v>1461</v>
      </c>
      <c r="C195" t="s">
        <v>927</v>
      </c>
      <c r="D195" t="s">
        <v>928</v>
      </c>
      <c r="E195" t="s">
        <v>1489</v>
      </c>
      <c r="F195" t="s">
        <v>1490</v>
      </c>
      <c r="G195" t="s">
        <v>1491</v>
      </c>
    </row>
    <row r="196" spans="1:7">
      <c r="A196">
        <v>596</v>
      </c>
      <c r="B196" t="s">
        <v>1461</v>
      </c>
      <c r="C196" t="s">
        <v>979</v>
      </c>
      <c r="D196" t="s">
        <v>928</v>
      </c>
      <c r="E196" t="s">
        <v>1492</v>
      </c>
      <c r="F196" t="s">
        <v>1493</v>
      </c>
      <c r="G196" t="s">
        <v>1494</v>
      </c>
    </row>
    <row r="197" spans="1:7">
      <c r="A197">
        <v>595</v>
      </c>
      <c r="B197" t="s">
        <v>1461</v>
      </c>
      <c r="C197" t="s">
        <v>979</v>
      </c>
      <c r="D197" t="s">
        <v>928</v>
      </c>
      <c r="E197" t="s">
        <v>1495</v>
      </c>
      <c r="F197" t="s">
        <v>1496</v>
      </c>
      <c r="G197" t="s">
        <v>1497</v>
      </c>
    </row>
    <row r="198" spans="1:7">
      <c r="A198">
        <v>594</v>
      </c>
      <c r="B198" t="s">
        <v>1461</v>
      </c>
      <c r="C198" t="s">
        <v>927</v>
      </c>
      <c r="D198" t="s">
        <v>928</v>
      </c>
      <c r="E198" t="s">
        <v>1498</v>
      </c>
      <c r="F198" t="s">
        <v>1499</v>
      </c>
      <c r="G198" t="s">
        <v>1500</v>
      </c>
    </row>
    <row r="199" spans="1:7">
      <c r="A199">
        <v>593</v>
      </c>
      <c r="B199" t="s">
        <v>1461</v>
      </c>
      <c r="C199" t="s">
        <v>979</v>
      </c>
      <c r="D199" t="s">
        <v>928</v>
      </c>
      <c r="E199" t="s">
        <v>1501</v>
      </c>
      <c r="F199" t="s">
        <v>1502</v>
      </c>
      <c r="G199" t="s">
        <v>1503</v>
      </c>
    </row>
    <row r="200" spans="1:7">
      <c r="A200">
        <v>592</v>
      </c>
      <c r="B200" t="s">
        <v>1461</v>
      </c>
      <c r="C200" t="s">
        <v>979</v>
      </c>
      <c r="D200" t="s">
        <v>928</v>
      </c>
      <c r="E200" t="s">
        <v>1504</v>
      </c>
      <c r="F200" t="s">
        <v>1505</v>
      </c>
      <c r="G200" t="s">
        <v>1506</v>
      </c>
    </row>
    <row r="201" spans="1:7">
      <c r="A201">
        <v>591</v>
      </c>
      <c r="B201" t="s">
        <v>1461</v>
      </c>
      <c r="C201" t="s">
        <v>915</v>
      </c>
      <c r="D201" t="s">
        <v>928</v>
      </c>
      <c r="E201" t="s">
        <v>1507</v>
      </c>
      <c r="F201" t="s">
        <v>1508</v>
      </c>
      <c r="G201" t="s">
        <v>1509</v>
      </c>
    </row>
    <row r="202" spans="1:7">
      <c r="A202">
        <v>590</v>
      </c>
      <c r="B202" t="s">
        <v>1461</v>
      </c>
      <c r="C202" t="s">
        <v>979</v>
      </c>
      <c r="D202" t="s">
        <v>928</v>
      </c>
      <c r="E202" t="s">
        <v>1510</v>
      </c>
      <c r="F202" t="s">
        <v>1511</v>
      </c>
      <c r="G202" t="s">
        <v>1512</v>
      </c>
    </row>
    <row r="203" spans="1:7">
      <c r="A203">
        <v>589</v>
      </c>
      <c r="B203" t="s">
        <v>1461</v>
      </c>
      <c r="C203" t="s">
        <v>927</v>
      </c>
      <c r="D203" t="s">
        <v>928</v>
      </c>
      <c r="E203" t="s">
        <v>1513</v>
      </c>
      <c r="F203" t="s">
        <v>1514</v>
      </c>
      <c r="G203" t="s">
        <v>1515</v>
      </c>
    </row>
    <row r="204" spans="1:7">
      <c r="A204">
        <v>588</v>
      </c>
      <c r="B204" t="s">
        <v>1461</v>
      </c>
      <c r="C204" t="s">
        <v>1011</v>
      </c>
      <c r="D204" t="s">
        <v>928</v>
      </c>
      <c r="E204" t="s">
        <v>1516</v>
      </c>
      <c r="F204" t="s">
        <v>1517</v>
      </c>
      <c r="G204" t="s">
        <v>1518</v>
      </c>
    </row>
    <row r="205" spans="1:7">
      <c r="A205">
        <v>587</v>
      </c>
      <c r="B205" t="s">
        <v>1461</v>
      </c>
      <c r="C205" t="s">
        <v>979</v>
      </c>
      <c r="D205" t="s">
        <v>928</v>
      </c>
      <c r="E205" t="s">
        <v>1519</v>
      </c>
      <c r="F205" t="s">
        <v>1520</v>
      </c>
      <c r="G205" t="s">
        <v>1521</v>
      </c>
    </row>
    <row r="206" spans="1:7">
      <c r="A206">
        <v>586</v>
      </c>
      <c r="B206" t="s">
        <v>1461</v>
      </c>
      <c r="C206" t="s">
        <v>915</v>
      </c>
      <c r="D206" t="s">
        <v>928</v>
      </c>
      <c r="E206" t="s">
        <v>1522</v>
      </c>
      <c r="F206" t="s">
        <v>1523</v>
      </c>
      <c r="G206" t="s">
        <v>1524</v>
      </c>
    </row>
    <row r="207" spans="1:7">
      <c r="A207">
        <v>585</v>
      </c>
      <c r="B207" t="s">
        <v>1461</v>
      </c>
      <c r="C207" t="s">
        <v>927</v>
      </c>
      <c r="D207" t="s">
        <v>928</v>
      </c>
      <c r="E207" t="s">
        <v>1525</v>
      </c>
      <c r="F207" t="s">
        <v>1526</v>
      </c>
      <c r="G207" t="s">
        <v>1527</v>
      </c>
    </row>
    <row r="208" spans="1:7">
      <c r="A208">
        <v>584</v>
      </c>
      <c r="B208" t="s">
        <v>1461</v>
      </c>
      <c r="C208" t="s">
        <v>979</v>
      </c>
      <c r="D208" t="s">
        <v>928</v>
      </c>
      <c r="E208" t="s">
        <v>1528</v>
      </c>
      <c r="F208" t="s">
        <v>1529</v>
      </c>
      <c r="G208" t="s">
        <v>1530</v>
      </c>
    </row>
    <row r="209" spans="1:7">
      <c r="A209">
        <v>583</v>
      </c>
      <c r="B209" t="s">
        <v>1461</v>
      </c>
      <c r="C209" t="s">
        <v>927</v>
      </c>
      <c r="D209" t="s">
        <v>928</v>
      </c>
      <c r="E209" t="s">
        <v>1531</v>
      </c>
      <c r="F209" t="s">
        <v>1532</v>
      </c>
      <c r="G209" t="s">
        <v>1533</v>
      </c>
    </row>
    <row r="210" spans="1:7">
      <c r="A210">
        <v>582</v>
      </c>
      <c r="B210" t="s">
        <v>1461</v>
      </c>
      <c r="C210" t="s">
        <v>979</v>
      </c>
      <c r="D210" t="s">
        <v>928</v>
      </c>
      <c r="E210" t="s">
        <v>1534</v>
      </c>
      <c r="F210" t="s">
        <v>1535</v>
      </c>
      <c r="G210" t="s">
        <v>1536</v>
      </c>
    </row>
    <row r="211" spans="1:7">
      <c r="A211">
        <v>581</v>
      </c>
      <c r="B211" t="s">
        <v>1461</v>
      </c>
      <c r="C211" t="s">
        <v>915</v>
      </c>
      <c r="D211" t="s">
        <v>928</v>
      </c>
      <c r="E211" t="s">
        <v>1537</v>
      </c>
      <c r="F211" t="s">
        <v>1538</v>
      </c>
      <c r="G211" t="s">
        <v>1539</v>
      </c>
    </row>
    <row r="212" spans="1:7">
      <c r="A212">
        <v>580</v>
      </c>
      <c r="B212" t="s">
        <v>1540</v>
      </c>
      <c r="C212" t="s">
        <v>927</v>
      </c>
      <c r="D212" t="s">
        <v>928</v>
      </c>
      <c r="E212" t="s">
        <v>1541</v>
      </c>
      <c r="F212" t="s">
        <v>1542</v>
      </c>
      <c r="G212" t="s">
        <v>1543</v>
      </c>
    </row>
    <row r="213" spans="1:7">
      <c r="A213">
        <v>579</v>
      </c>
      <c r="B213" t="s">
        <v>1540</v>
      </c>
      <c r="C213" t="s">
        <v>979</v>
      </c>
      <c r="D213" t="s">
        <v>928</v>
      </c>
      <c r="E213" t="s">
        <v>1544</v>
      </c>
      <c r="F213" t="s">
        <v>1542</v>
      </c>
      <c r="G213" t="s">
        <v>1545</v>
      </c>
    </row>
    <row r="214" spans="1:7">
      <c r="A214">
        <v>578</v>
      </c>
      <c r="B214" t="s">
        <v>1540</v>
      </c>
      <c r="C214" t="s">
        <v>979</v>
      </c>
      <c r="D214" t="s">
        <v>928</v>
      </c>
      <c r="E214" t="s">
        <v>1546</v>
      </c>
      <c r="F214" t="s">
        <v>1547</v>
      </c>
      <c r="G214" t="s">
        <v>1548</v>
      </c>
    </row>
    <row r="215" spans="1:7">
      <c r="A215">
        <v>577</v>
      </c>
      <c r="B215" t="s">
        <v>1540</v>
      </c>
      <c r="C215" t="s">
        <v>915</v>
      </c>
      <c r="D215" t="s">
        <v>928</v>
      </c>
      <c r="E215" t="s">
        <v>1549</v>
      </c>
      <c r="F215" t="s">
        <v>1550</v>
      </c>
      <c r="G215" t="s">
        <v>1551</v>
      </c>
    </row>
    <row r="216" spans="1:7">
      <c r="A216">
        <v>576</v>
      </c>
      <c r="B216" t="s">
        <v>1540</v>
      </c>
      <c r="C216" t="s">
        <v>927</v>
      </c>
      <c r="D216" t="s">
        <v>928</v>
      </c>
      <c r="E216" t="s">
        <v>1552</v>
      </c>
      <c r="F216" t="s">
        <v>1550</v>
      </c>
      <c r="G216" t="s">
        <v>1551</v>
      </c>
    </row>
    <row r="217" spans="1:7">
      <c r="A217">
        <v>575</v>
      </c>
      <c r="B217" t="s">
        <v>1540</v>
      </c>
      <c r="C217" t="s">
        <v>979</v>
      </c>
      <c r="D217" t="s">
        <v>928</v>
      </c>
      <c r="E217" t="s">
        <v>1553</v>
      </c>
      <c r="F217" t="s">
        <v>1554</v>
      </c>
      <c r="G217" t="s">
        <v>1555</v>
      </c>
    </row>
    <row r="218" spans="1:7">
      <c r="A218">
        <v>574</v>
      </c>
      <c r="B218" t="s">
        <v>1540</v>
      </c>
      <c r="C218" t="s">
        <v>979</v>
      </c>
      <c r="D218" t="s">
        <v>928</v>
      </c>
      <c r="E218" t="s">
        <v>1556</v>
      </c>
      <c r="F218" t="s">
        <v>1557</v>
      </c>
      <c r="G218" t="s">
        <v>1558</v>
      </c>
    </row>
    <row r="219" spans="1:7">
      <c r="A219">
        <v>573</v>
      </c>
      <c r="B219" t="s">
        <v>1540</v>
      </c>
      <c r="C219" t="s">
        <v>927</v>
      </c>
      <c r="D219" t="s">
        <v>928</v>
      </c>
      <c r="E219" t="s">
        <v>1559</v>
      </c>
      <c r="F219" t="s">
        <v>1560</v>
      </c>
      <c r="G219" t="s">
        <v>1561</v>
      </c>
    </row>
    <row r="220" spans="1:7">
      <c r="A220">
        <v>572</v>
      </c>
      <c r="B220" t="s">
        <v>1540</v>
      </c>
      <c r="C220" t="s">
        <v>979</v>
      </c>
      <c r="D220" t="s">
        <v>928</v>
      </c>
      <c r="E220" t="s">
        <v>1562</v>
      </c>
      <c r="F220" t="s">
        <v>1563</v>
      </c>
      <c r="G220" t="s">
        <v>1564</v>
      </c>
    </row>
    <row r="221" spans="1:7">
      <c r="A221">
        <v>571</v>
      </c>
      <c r="B221" t="s">
        <v>1540</v>
      </c>
      <c r="C221" t="s">
        <v>927</v>
      </c>
      <c r="D221" t="s">
        <v>928</v>
      </c>
      <c r="E221" t="s">
        <v>1565</v>
      </c>
      <c r="F221" t="s">
        <v>1566</v>
      </c>
      <c r="G221" t="s">
        <v>1567</v>
      </c>
    </row>
    <row r="222" spans="1:7">
      <c r="A222">
        <v>570</v>
      </c>
      <c r="B222" t="s">
        <v>1540</v>
      </c>
      <c r="C222" t="s">
        <v>915</v>
      </c>
      <c r="D222" t="s">
        <v>916</v>
      </c>
      <c r="E222" t="s">
        <v>1568</v>
      </c>
      <c r="F222" t="s">
        <v>1569</v>
      </c>
      <c r="G222" t="s">
        <v>1570</v>
      </c>
    </row>
    <row r="223" spans="1:7">
      <c r="A223">
        <v>569</v>
      </c>
      <c r="B223" t="s">
        <v>1540</v>
      </c>
      <c r="C223" t="s">
        <v>927</v>
      </c>
      <c r="D223" t="s">
        <v>916</v>
      </c>
      <c r="E223" t="s">
        <v>1571</v>
      </c>
      <c r="F223" t="s">
        <v>1572</v>
      </c>
      <c r="G223" t="s">
        <v>1573</v>
      </c>
    </row>
    <row r="224" spans="1:7">
      <c r="A224">
        <v>568</v>
      </c>
      <c r="B224" t="s">
        <v>1540</v>
      </c>
      <c r="C224" t="s">
        <v>1011</v>
      </c>
      <c r="D224" t="s">
        <v>928</v>
      </c>
      <c r="E224" t="s">
        <v>1574</v>
      </c>
      <c r="F224" t="s">
        <v>1575</v>
      </c>
      <c r="G224" t="s">
        <v>1576</v>
      </c>
    </row>
    <row r="225" spans="1:7">
      <c r="A225">
        <v>567</v>
      </c>
      <c r="B225" t="s">
        <v>1540</v>
      </c>
      <c r="C225" t="s">
        <v>915</v>
      </c>
      <c r="D225" t="s">
        <v>928</v>
      </c>
      <c r="E225" t="s">
        <v>1577</v>
      </c>
      <c r="F225" t="s">
        <v>1578</v>
      </c>
      <c r="G225" t="s">
        <v>1579</v>
      </c>
    </row>
    <row r="226" spans="1:7">
      <c r="A226">
        <v>566</v>
      </c>
      <c r="B226" t="s">
        <v>1540</v>
      </c>
      <c r="C226" t="s">
        <v>979</v>
      </c>
      <c r="D226" t="s">
        <v>928</v>
      </c>
      <c r="E226" t="s">
        <v>1580</v>
      </c>
      <c r="F226" t="s">
        <v>1581</v>
      </c>
      <c r="G226" t="s">
        <v>1582</v>
      </c>
    </row>
    <row r="227" spans="1:7">
      <c r="A227">
        <v>565</v>
      </c>
      <c r="B227" t="s">
        <v>1540</v>
      </c>
      <c r="C227" t="s">
        <v>927</v>
      </c>
      <c r="D227" t="s">
        <v>928</v>
      </c>
      <c r="E227" t="s">
        <v>1583</v>
      </c>
      <c r="F227" t="s">
        <v>1584</v>
      </c>
      <c r="G227" t="s">
        <v>1585</v>
      </c>
    </row>
    <row r="228" spans="1:7">
      <c r="A228">
        <v>564</v>
      </c>
      <c r="B228" t="s">
        <v>1540</v>
      </c>
      <c r="C228" t="s">
        <v>979</v>
      </c>
      <c r="D228" t="s">
        <v>928</v>
      </c>
      <c r="E228" t="s">
        <v>1586</v>
      </c>
      <c r="F228" t="s">
        <v>1587</v>
      </c>
      <c r="G228" t="s">
        <v>1588</v>
      </c>
    </row>
    <row r="229" spans="1:7">
      <c r="A229">
        <v>563</v>
      </c>
      <c r="B229" t="s">
        <v>1540</v>
      </c>
      <c r="C229" t="s">
        <v>979</v>
      </c>
      <c r="D229" t="s">
        <v>928</v>
      </c>
      <c r="E229" t="s">
        <v>1589</v>
      </c>
      <c r="F229" t="s">
        <v>1590</v>
      </c>
      <c r="G229" t="s">
        <v>1591</v>
      </c>
    </row>
    <row r="230" spans="1:7">
      <c r="A230">
        <v>562</v>
      </c>
      <c r="B230" t="s">
        <v>1540</v>
      </c>
      <c r="C230" t="s">
        <v>927</v>
      </c>
      <c r="D230" t="s">
        <v>928</v>
      </c>
      <c r="E230" t="s">
        <v>1592</v>
      </c>
      <c r="F230" t="s">
        <v>1593</v>
      </c>
      <c r="G230" t="s">
        <v>1594</v>
      </c>
    </row>
    <row r="231" spans="1:7">
      <c r="A231">
        <v>561</v>
      </c>
      <c r="B231" t="s">
        <v>1540</v>
      </c>
      <c r="C231" t="s">
        <v>979</v>
      </c>
      <c r="D231" t="s">
        <v>928</v>
      </c>
      <c r="E231" t="s">
        <v>1595</v>
      </c>
      <c r="F231" t="s">
        <v>1596</v>
      </c>
      <c r="G231" t="s">
        <v>1597</v>
      </c>
    </row>
    <row r="232" spans="1:7">
      <c r="A232">
        <v>560</v>
      </c>
      <c r="B232" t="s">
        <v>1540</v>
      </c>
      <c r="C232" t="s">
        <v>979</v>
      </c>
      <c r="D232" t="s">
        <v>928</v>
      </c>
      <c r="E232" t="s">
        <v>1598</v>
      </c>
      <c r="F232" t="s">
        <v>1599</v>
      </c>
      <c r="G232" t="s">
        <v>1600</v>
      </c>
    </row>
    <row r="233" spans="1:7">
      <c r="A233">
        <v>559</v>
      </c>
      <c r="B233" t="s">
        <v>1540</v>
      </c>
      <c r="C233" t="s">
        <v>979</v>
      </c>
      <c r="D233" t="s">
        <v>928</v>
      </c>
      <c r="E233" t="s">
        <v>1601</v>
      </c>
      <c r="F233" t="s">
        <v>1602</v>
      </c>
      <c r="G233" t="s">
        <v>1603</v>
      </c>
    </row>
    <row r="234" spans="1:7">
      <c r="A234">
        <v>558</v>
      </c>
      <c r="B234" t="s">
        <v>1540</v>
      </c>
      <c r="C234" t="s">
        <v>979</v>
      </c>
      <c r="D234" t="s">
        <v>928</v>
      </c>
      <c r="E234" t="s">
        <v>1604</v>
      </c>
      <c r="F234" t="s">
        <v>1605</v>
      </c>
      <c r="G234" t="s">
        <v>1606</v>
      </c>
    </row>
    <row r="235" spans="1:7">
      <c r="A235">
        <v>557</v>
      </c>
      <c r="B235" t="s">
        <v>1540</v>
      </c>
      <c r="C235" t="s">
        <v>979</v>
      </c>
      <c r="D235" t="s">
        <v>928</v>
      </c>
      <c r="E235" t="s">
        <v>1607</v>
      </c>
      <c r="F235" t="s">
        <v>1608</v>
      </c>
      <c r="G235" t="s">
        <v>1609</v>
      </c>
    </row>
    <row r="236" spans="1:7">
      <c r="A236">
        <v>556</v>
      </c>
      <c r="B236" t="s">
        <v>1540</v>
      </c>
      <c r="C236" t="s">
        <v>979</v>
      </c>
      <c r="D236" t="s">
        <v>928</v>
      </c>
      <c r="E236" t="s">
        <v>1610</v>
      </c>
      <c r="F236" t="s">
        <v>1611</v>
      </c>
      <c r="G236" t="s">
        <v>1612</v>
      </c>
    </row>
    <row r="237" spans="1:7">
      <c r="A237">
        <v>555</v>
      </c>
      <c r="B237" t="s">
        <v>1540</v>
      </c>
      <c r="C237" t="s">
        <v>979</v>
      </c>
      <c r="D237" t="s">
        <v>928</v>
      </c>
      <c r="E237" t="s">
        <v>1613</v>
      </c>
      <c r="F237" t="s">
        <v>1614</v>
      </c>
      <c r="G237" t="s">
        <v>1615</v>
      </c>
    </row>
    <row r="238" spans="1:7">
      <c r="A238">
        <v>554</v>
      </c>
      <c r="B238" t="s">
        <v>1616</v>
      </c>
      <c r="C238" t="s">
        <v>979</v>
      </c>
      <c r="D238" t="s">
        <v>928</v>
      </c>
      <c r="E238" t="s">
        <v>1617</v>
      </c>
      <c r="F238" t="s">
        <v>1618</v>
      </c>
      <c r="G238" t="s">
        <v>1619</v>
      </c>
    </row>
    <row r="239" spans="1:7">
      <c r="A239">
        <v>553</v>
      </c>
      <c r="B239" t="s">
        <v>1616</v>
      </c>
      <c r="C239" t="s">
        <v>915</v>
      </c>
      <c r="D239" t="s">
        <v>916</v>
      </c>
      <c r="E239" t="s">
        <v>1620</v>
      </c>
      <c r="F239" t="s">
        <v>1621</v>
      </c>
      <c r="G239" t="s">
        <v>1622</v>
      </c>
    </row>
    <row r="240" spans="1:7">
      <c r="A240">
        <v>552</v>
      </c>
      <c r="B240" t="s">
        <v>1616</v>
      </c>
      <c r="C240" t="s">
        <v>979</v>
      </c>
      <c r="D240" t="s">
        <v>928</v>
      </c>
      <c r="E240" t="s">
        <v>1623</v>
      </c>
      <c r="F240" t="s">
        <v>1624</v>
      </c>
      <c r="G240" t="s">
        <v>1625</v>
      </c>
    </row>
    <row r="241" spans="1:7">
      <c r="A241">
        <v>551</v>
      </c>
      <c r="B241" t="s">
        <v>1616</v>
      </c>
      <c r="C241" t="s">
        <v>915</v>
      </c>
      <c r="D241" t="s">
        <v>928</v>
      </c>
      <c r="E241" t="s">
        <v>1626</v>
      </c>
      <c r="F241" t="s">
        <v>1627</v>
      </c>
      <c r="G241" t="s">
        <v>1628</v>
      </c>
    </row>
    <row r="242" spans="1:7">
      <c r="A242">
        <v>550</v>
      </c>
      <c r="B242" t="s">
        <v>1616</v>
      </c>
      <c r="C242" t="s">
        <v>1011</v>
      </c>
      <c r="D242" t="s">
        <v>928</v>
      </c>
      <c r="E242" t="s">
        <v>1629</v>
      </c>
      <c r="F242" t="s">
        <v>1630</v>
      </c>
      <c r="G242" t="s">
        <v>1631</v>
      </c>
    </row>
    <row r="243" spans="1:7">
      <c r="A243">
        <v>549</v>
      </c>
      <c r="B243" t="s">
        <v>1616</v>
      </c>
      <c r="C243" t="s">
        <v>927</v>
      </c>
      <c r="D243" t="s">
        <v>916</v>
      </c>
      <c r="E243" t="s">
        <v>1632</v>
      </c>
      <c r="F243" t="s">
        <v>1633</v>
      </c>
      <c r="G243" t="s">
        <v>1634</v>
      </c>
    </row>
    <row r="244" spans="1:7">
      <c r="A244">
        <v>548</v>
      </c>
      <c r="B244" t="s">
        <v>1616</v>
      </c>
      <c r="C244" t="s">
        <v>979</v>
      </c>
      <c r="D244" t="s">
        <v>928</v>
      </c>
      <c r="E244" t="s">
        <v>1635</v>
      </c>
      <c r="F244" t="s">
        <v>1636</v>
      </c>
      <c r="G244" t="s">
        <v>1637</v>
      </c>
    </row>
    <row r="245" spans="1:7">
      <c r="A245">
        <v>547</v>
      </c>
      <c r="B245" t="s">
        <v>1616</v>
      </c>
      <c r="C245" t="s">
        <v>979</v>
      </c>
      <c r="D245" t="s">
        <v>928</v>
      </c>
      <c r="E245" t="s">
        <v>1638</v>
      </c>
      <c r="F245" t="s">
        <v>1639</v>
      </c>
      <c r="G245" t="s">
        <v>1640</v>
      </c>
    </row>
    <row r="246" spans="1:7">
      <c r="A246">
        <v>546</v>
      </c>
      <c r="B246" t="s">
        <v>1616</v>
      </c>
      <c r="C246" t="s">
        <v>915</v>
      </c>
      <c r="D246" t="s">
        <v>916</v>
      </c>
      <c r="E246" t="s">
        <v>1641</v>
      </c>
      <c r="F246" t="s">
        <v>1642</v>
      </c>
      <c r="G246" t="s">
        <v>1643</v>
      </c>
    </row>
    <row r="247" spans="1:7">
      <c r="A247">
        <v>545</v>
      </c>
      <c r="B247" t="s">
        <v>1616</v>
      </c>
      <c r="C247" t="s">
        <v>927</v>
      </c>
      <c r="D247" t="s">
        <v>916</v>
      </c>
      <c r="E247" t="s">
        <v>1644</v>
      </c>
      <c r="F247" t="s">
        <v>1645</v>
      </c>
      <c r="G247" t="s">
        <v>1646</v>
      </c>
    </row>
    <row r="248" spans="1:7">
      <c r="A248">
        <v>544</v>
      </c>
      <c r="B248" t="s">
        <v>1616</v>
      </c>
      <c r="C248" t="s">
        <v>927</v>
      </c>
      <c r="D248" t="s">
        <v>928</v>
      </c>
      <c r="E248" t="s">
        <v>1647</v>
      </c>
      <c r="F248" t="s">
        <v>1648</v>
      </c>
      <c r="G248" t="s">
        <v>1649</v>
      </c>
    </row>
    <row r="249" spans="1:7">
      <c r="A249">
        <v>543</v>
      </c>
      <c r="B249" t="s">
        <v>1616</v>
      </c>
      <c r="C249" t="s">
        <v>979</v>
      </c>
      <c r="D249" t="s">
        <v>928</v>
      </c>
      <c r="E249" t="s">
        <v>1650</v>
      </c>
      <c r="F249" t="s">
        <v>1651</v>
      </c>
      <c r="G249" t="s">
        <v>1652</v>
      </c>
    </row>
    <row r="250" spans="1:7">
      <c r="A250">
        <v>542</v>
      </c>
      <c r="B250" t="s">
        <v>1616</v>
      </c>
      <c r="C250" t="s">
        <v>927</v>
      </c>
      <c r="D250" t="s">
        <v>928</v>
      </c>
      <c r="E250" t="s">
        <v>1653</v>
      </c>
      <c r="F250" t="s">
        <v>1654</v>
      </c>
      <c r="G250" t="s">
        <v>1655</v>
      </c>
    </row>
    <row r="251" spans="1:7">
      <c r="A251">
        <v>541</v>
      </c>
      <c r="B251" t="s">
        <v>1616</v>
      </c>
      <c r="C251" t="s">
        <v>979</v>
      </c>
      <c r="D251" t="s">
        <v>928</v>
      </c>
      <c r="E251" t="s">
        <v>1656</v>
      </c>
      <c r="F251" t="s">
        <v>1657</v>
      </c>
      <c r="G251" t="s">
        <v>1658</v>
      </c>
    </row>
    <row r="252" spans="1:7">
      <c r="A252">
        <v>540</v>
      </c>
      <c r="B252" t="s">
        <v>1616</v>
      </c>
      <c r="C252" t="s">
        <v>979</v>
      </c>
      <c r="D252" t="s">
        <v>928</v>
      </c>
      <c r="E252" t="s">
        <v>1659</v>
      </c>
      <c r="F252" t="s">
        <v>1660</v>
      </c>
      <c r="G252" t="s">
        <v>1661</v>
      </c>
    </row>
    <row r="253" spans="1:7">
      <c r="A253">
        <v>539</v>
      </c>
      <c r="B253" t="s">
        <v>1616</v>
      </c>
      <c r="C253" t="s">
        <v>927</v>
      </c>
      <c r="D253" t="s">
        <v>928</v>
      </c>
      <c r="E253" t="s">
        <v>1662</v>
      </c>
      <c r="F253" t="s">
        <v>1663</v>
      </c>
      <c r="G253" t="s">
        <v>1664</v>
      </c>
    </row>
    <row r="254" spans="1:7">
      <c r="A254">
        <v>538</v>
      </c>
      <c r="B254" t="s">
        <v>1616</v>
      </c>
      <c r="C254" t="s">
        <v>979</v>
      </c>
      <c r="D254" t="s">
        <v>928</v>
      </c>
      <c r="E254" t="s">
        <v>1665</v>
      </c>
      <c r="F254" t="s">
        <v>1666</v>
      </c>
      <c r="G254" t="s">
        <v>1667</v>
      </c>
    </row>
    <row r="255" spans="1:7">
      <c r="A255">
        <v>537</v>
      </c>
      <c r="B255" t="s">
        <v>1616</v>
      </c>
      <c r="C255" t="s">
        <v>979</v>
      </c>
      <c r="D255" t="s">
        <v>928</v>
      </c>
      <c r="E255" t="s">
        <v>1668</v>
      </c>
      <c r="F255" t="s">
        <v>1669</v>
      </c>
      <c r="G255" t="s">
        <v>1670</v>
      </c>
    </row>
    <row r="256" spans="1:7">
      <c r="A256">
        <v>536</v>
      </c>
      <c r="B256" t="s">
        <v>1616</v>
      </c>
      <c r="C256" t="s">
        <v>979</v>
      </c>
      <c r="D256" t="s">
        <v>928</v>
      </c>
      <c r="E256" t="s">
        <v>1671</v>
      </c>
      <c r="F256" t="s">
        <v>1672</v>
      </c>
      <c r="G256" t="s">
        <v>1673</v>
      </c>
    </row>
    <row r="257" spans="1:7">
      <c r="A257">
        <v>535</v>
      </c>
      <c r="B257" t="s">
        <v>1616</v>
      </c>
      <c r="C257" t="s">
        <v>979</v>
      </c>
      <c r="D257" t="s">
        <v>928</v>
      </c>
      <c r="E257" t="s">
        <v>1674</v>
      </c>
      <c r="F257" t="s">
        <v>1675</v>
      </c>
      <c r="G257" t="s">
        <v>1676</v>
      </c>
    </row>
    <row r="258" spans="1:7">
      <c r="A258">
        <v>534</v>
      </c>
      <c r="B258" t="s">
        <v>1616</v>
      </c>
      <c r="C258" t="s">
        <v>979</v>
      </c>
      <c r="D258" t="s">
        <v>928</v>
      </c>
      <c r="E258" t="s">
        <v>1677</v>
      </c>
      <c r="F258" t="s">
        <v>1678</v>
      </c>
      <c r="G258" t="s">
        <v>1679</v>
      </c>
    </row>
    <row r="259" spans="1:7">
      <c r="A259">
        <v>533</v>
      </c>
      <c r="B259" t="s">
        <v>1616</v>
      </c>
      <c r="C259" t="s">
        <v>927</v>
      </c>
      <c r="D259" t="s">
        <v>928</v>
      </c>
      <c r="E259" t="s">
        <v>1680</v>
      </c>
      <c r="F259" t="s">
        <v>1681</v>
      </c>
      <c r="G259" t="s">
        <v>1682</v>
      </c>
    </row>
    <row r="260" spans="1:7">
      <c r="A260">
        <v>532</v>
      </c>
      <c r="B260" t="s">
        <v>1616</v>
      </c>
      <c r="C260" t="s">
        <v>979</v>
      </c>
      <c r="D260" t="s">
        <v>928</v>
      </c>
      <c r="E260" t="s">
        <v>1683</v>
      </c>
      <c r="F260" t="s">
        <v>1684</v>
      </c>
      <c r="G260" t="s">
        <v>1685</v>
      </c>
    </row>
    <row r="261" spans="1:7">
      <c r="A261">
        <v>531</v>
      </c>
      <c r="B261" t="s">
        <v>1616</v>
      </c>
      <c r="C261" t="s">
        <v>927</v>
      </c>
      <c r="D261" t="s">
        <v>928</v>
      </c>
      <c r="E261" t="s">
        <v>1686</v>
      </c>
      <c r="F261" t="s">
        <v>1687</v>
      </c>
      <c r="G261" t="s">
        <v>1688</v>
      </c>
    </row>
    <row r="262" spans="1:7">
      <c r="A262">
        <v>530</v>
      </c>
      <c r="B262" t="s">
        <v>1616</v>
      </c>
      <c r="C262" t="s">
        <v>979</v>
      </c>
      <c r="D262" t="s">
        <v>928</v>
      </c>
      <c r="E262" t="s">
        <v>1689</v>
      </c>
      <c r="F262" t="s">
        <v>1690</v>
      </c>
      <c r="G262" t="s">
        <v>1691</v>
      </c>
    </row>
    <row r="263" spans="1:7">
      <c r="A263">
        <v>529</v>
      </c>
      <c r="B263" t="s">
        <v>1616</v>
      </c>
      <c r="C263" t="s">
        <v>979</v>
      </c>
      <c r="D263" t="s">
        <v>928</v>
      </c>
      <c r="E263" t="s">
        <v>1692</v>
      </c>
      <c r="F263" t="s">
        <v>1693</v>
      </c>
      <c r="G263" t="s">
        <v>1694</v>
      </c>
    </row>
    <row r="264" spans="1:7">
      <c r="A264">
        <v>528</v>
      </c>
      <c r="B264" t="s">
        <v>1616</v>
      </c>
      <c r="C264" t="s">
        <v>927</v>
      </c>
      <c r="D264" t="s">
        <v>928</v>
      </c>
      <c r="E264" t="s">
        <v>1695</v>
      </c>
      <c r="F264" t="s">
        <v>1696</v>
      </c>
      <c r="G264" t="s">
        <v>1697</v>
      </c>
    </row>
    <row r="265" spans="1:7">
      <c r="A265">
        <v>527</v>
      </c>
      <c r="B265" t="s">
        <v>1616</v>
      </c>
      <c r="C265" t="s">
        <v>979</v>
      </c>
      <c r="D265" t="s">
        <v>928</v>
      </c>
      <c r="E265" t="s">
        <v>1698</v>
      </c>
      <c r="F265" t="s">
        <v>1699</v>
      </c>
      <c r="G265" t="s">
        <v>1700</v>
      </c>
    </row>
    <row r="266" spans="1:7">
      <c r="A266">
        <v>526</v>
      </c>
      <c r="B266" t="s">
        <v>1616</v>
      </c>
      <c r="C266" t="s">
        <v>927</v>
      </c>
      <c r="D266" t="s">
        <v>928</v>
      </c>
      <c r="E266" t="s">
        <v>1701</v>
      </c>
      <c r="F266" t="s">
        <v>1702</v>
      </c>
      <c r="G266" t="s">
        <v>1703</v>
      </c>
    </row>
    <row r="267" spans="1:7">
      <c r="A267">
        <v>525</v>
      </c>
      <c r="B267" t="s">
        <v>1616</v>
      </c>
      <c r="C267" t="s">
        <v>979</v>
      </c>
      <c r="D267" t="s">
        <v>928</v>
      </c>
      <c r="E267" t="s">
        <v>1704</v>
      </c>
      <c r="F267" t="s">
        <v>1705</v>
      </c>
      <c r="G267" t="s">
        <v>1706</v>
      </c>
    </row>
    <row r="268" spans="1:7">
      <c r="A268">
        <v>524</v>
      </c>
      <c r="B268" t="s">
        <v>1616</v>
      </c>
      <c r="C268" t="s">
        <v>927</v>
      </c>
      <c r="D268" t="s">
        <v>928</v>
      </c>
      <c r="E268" t="s">
        <v>1707</v>
      </c>
      <c r="F268" t="s">
        <v>1708</v>
      </c>
      <c r="G268" t="s">
        <v>1709</v>
      </c>
    </row>
    <row r="269" spans="1:7">
      <c r="A269">
        <v>523</v>
      </c>
      <c r="B269" t="s">
        <v>1616</v>
      </c>
      <c r="C269" t="s">
        <v>979</v>
      </c>
      <c r="D269" t="s">
        <v>928</v>
      </c>
      <c r="E269" t="s">
        <v>1710</v>
      </c>
      <c r="F269" t="s">
        <v>1711</v>
      </c>
      <c r="G269" t="s">
        <v>1712</v>
      </c>
    </row>
    <row r="270" spans="1:7">
      <c r="A270">
        <v>522</v>
      </c>
      <c r="B270" t="s">
        <v>1616</v>
      </c>
      <c r="C270" t="s">
        <v>927</v>
      </c>
      <c r="D270" t="s">
        <v>916</v>
      </c>
      <c r="E270" t="s">
        <v>1713</v>
      </c>
      <c r="F270" t="s">
        <v>1714</v>
      </c>
      <c r="G270" t="s">
        <v>1715</v>
      </c>
    </row>
    <row r="271" spans="1:7">
      <c r="A271">
        <v>521</v>
      </c>
      <c r="B271" t="s">
        <v>1616</v>
      </c>
      <c r="C271" t="s">
        <v>915</v>
      </c>
      <c r="D271" t="s">
        <v>916</v>
      </c>
      <c r="E271" t="s">
        <v>1716</v>
      </c>
      <c r="F271" t="s">
        <v>1717</v>
      </c>
      <c r="G271" t="s">
        <v>1718</v>
      </c>
    </row>
    <row r="272" spans="1:7">
      <c r="A272">
        <v>520</v>
      </c>
      <c r="B272" t="s">
        <v>1616</v>
      </c>
      <c r="C272" t="s">
        <v>927</v>
      </c>
      <c r="D272" t="s">
        <v>916</v>
      </c>
      <c r="E272" t="s">
        <v>1719</v>
      </c>
      <c r="F272" t="s">
        <v>1720</v>
      </c>
      <c r="G272" t="s">
        <v>1721</v>
      </c>
    </row>
    <row r="273" spans="1:7">
      <c r="A273">
        <v>519</v>
      </c>
      <c r="B273" t="s">
        <v>1616</v>
      </c>
      <c r="C273" t="s">
        <v>915</v>
      </c>
      <c r="D273" t="s">
        <v>916</v>
      </c>
      <c r="E273" t="s">
        <v>1722</v>
      </c>
      <c r="F273" t="s">
        <v>1714</v>
      </c>
      <c r="G273" t="s">
        <v>1723</v>
      </c>
    </row>
    <row r="274" spans="1:7">
      <c r="A274">
        <v>518</v>
      </c>
      <c r="B274" t="s">
        <v>1616</v>
      </c>
      <c r="C274" t="s">
        <v>915</v>
      </c>
      <c r="D274" t="s">
        <v>928</v>
      </c>
      <c r="E274" t="s">
        <v>1724</v>
      </c>
      <c r="F274" t="s">
        <v>1725</v>
      </c>
      <c r="G274" t="s">
        <v>1726</v>
      </c>
    </row>
    <row r="275" spans="1:7">
      <c r="A275">
        <v>517</v>
      </c>
      <c r="B275" t="s">
        <v>1616</v>
      </c>
      <c r="C275" t="s">
        <v>927</v>
      </c>
      <c r="D275" t="s">
        <v>928</v>
      </c>
      <c r="E275" t="s">
        <v>1727</v>
      </c>
      <c r="F275" t="s">
        <v>1728</v>
      </c>
      <c r="G275" t="s">
        <v>1729</v>
      </c>
    </row>
    <row r="276" spans="1:7">
      <c r="A276">
        <v>516</v>
      </c>
      <c r="B276" t="s">
        <v>1616</v>
      </c>
      <c r="C276" t="s">
        <v>979</v>
      </c>
      <c r="D276" t="s">
        <v>928</v>
      </c>
      <c r="E276" t="s">
        <v>1730</v>
      </c>
      <c r="F276" t="s">
        <v>1731</v>
      </c>
      <c r="G276" t="s">
        <v>1732</v>
      </c>
    </row>
    <row r="277" spans="1:7">
      <c r="A277">
        <v>515</v>
      </c>
      <c r="B277" t="s">
        <v>1616</v>
      </c>
      <c r="C277" t="s">
        <v>927</v>
      </c>
      <c r="D277" t="s">
        <v>928</v>
      </c>
      <c r="E277" t="s">
        <v>1733</v>
      </c>
      <c r="F277" t="s">
        <v>1734</v>
      </c>
      <c r="G277" t="s">
        <v>1735</v>
      </c>
    </row>
    <row r="278" spans="1:7">
      <c r="A278">
        <v>514</v>
      </c>
      <c r="B278" t="s">
        <v>1616</v>
      </c>
      <c r="C278" t="s">
        <v>979</v>
      </c>
      <c r="D278" t="s">
        <v>928</v>
      </c>
      <c r="E278" t="s">
        <v>1736</v>
      </c>
      <c r="F278" t="s">
        <v>1737</v>
      </c>
      <c r="G278" t="s">
        <v>1738</v>
      </c>
    </row>
    <row r="279" spans="1:7">
      <c r="A279">
        <v>513</v>
      </c>
      <c r="B279" t="s">
        <v>1739</v>
      </c>
      <c r="C279" t="s">
        <v>979</v>
      </c>
      <c r="D279" t="s">
        <v>928</v>
      </c>
      <c r="E279" t="s">
        <v>1740</v>
      </c>
      <c r="F279" t="s">
        <v>1741</v>
      </c>
      <c r="G279" t="s">
        <v>1742</v>
      </c>
    </row>
    <row r="280" spans="1:7">
      <c r="A280">
        <v>512</v>
      </c>
      <c r="B280" t="s">
        <v>1739</v>
      </c>
      <c r="C280" t="s">
        <v>927</v>
      </c>
      <c r="D280" t="s">
        <v>928</v>
      </c>
      <c r="E280" t="s">
        <v>1743</v>
      </c>
      <c r="F280" t="s">
        <v>1744</v>
      </c>
      <c r="G280" t="s">
        <v>1745</v>
      </c>
    </row>
    <row r="281" spans="1:7">
      <c r="A281">
        <v>511</v>
      </c>
      <c r="B281" t="s">
        <v>1739</v>
      </c>
      <c r="C281" t="s">
        <v>979</v>
      </c>
      <c r="D281" t="s">
        <v>928</v>
      </c>
      <c r="E281" t="s">
        <v>1746</v>
      </c>
      <c r="F281" t="s">
        <v>1747</v>
      </c>
      <c r="G281" t="s">
        <v>1748</v>
      </c>
    </row>
    <row r="282" spans="1:7">
      <c r="A282">
        <v>510</v>
      </c>
      <c r="B282" t="s">
        <v>1739</v>
      </c>
      <c r="C282" t="s">
        <v>927</v>
      </c>
      <c r="D282" t="s">
        <v>916</v>
      </c>
      <c r="E282" t="s">
        <v>1749</v>
      </c>
      <c r="F282" t="s">
        <v>1750</v>
      </c>
      <c r="G282" t="s">
        <v>1751</v>
      </c>
    </row>
    <row r="283" spans="1:7">
      <c r="A283">
        <v>509</v>
      </c>
      <c r="B283" t="s">
        <v>1739</v>
      </c>
      <c r="C283" t="s">
        <v>979</v>
      </c>
      <c r="D283" t="s">
        <v>928</v>
      </c>
      <c r="E283" t="s">
        <v>1752</v>
      </c>
      <c r="F283" t="s">
        <v>1753</v>
      </c>
      <c r="G283" t="s">
        <v>1754</v>
      </c>
    </row>
    <row r="284" spans="1:7">
      <c r="A284">
        <v>508</v>
      </c>
      <c r="B284" t="s">
        <v>1739</v>
      </c>
      <c r="C284" t="s">
        <v>979</v>
      </c>
      <c r="D284" t="s">
        <v>928</v>
      </c>
      <c r="E284" t="s">
        <v>1755</v>
      </c>
      <c r="F284" t="s">
        <v>1756</v>
      </c>
      <c r="G284" t="s">
        <v>1757</v>
      </c>
    </row>
    <row r="285" spans="1:7">
      <c r="A285">
        <v>507</v>
      </c>
      <c r="B285" t="s">
        <v>1739</v>
      </c>
      <c r="C285" t="s">
        <v>979</v>
      </c>
      <c r="D285" t="s">
        <v>928</v>
      </c>
      <c r="E285" t="s">
        <v>1758</v>
      </c>
      <c r="F285" t="s">
        <v>1759</v>
      </c>
      <c r="G285" t="s">
        <v>1760</v>
      </c>
    </row>
    <row r="286" spans="1:7">
      <c r="A286">
        <v>506</v>
      </c>
      <c r="B286" t="s">
        <v>1739</v>
      </c>
      <c r="C286" t="s">
        <v>915</v>
      </c>
      <c r="D286" t="s">
        <v>916</v>
      </c>
      <c r="E286" t="s">
        <v>1761</v>
      </c>
      <c r="F286" t="s">
        <v>1762</v>
      </c>
      <c r="G286" t="s">
        <v>1763</v>
      </c>
    </row>
    <row r="287" spans="1:7">
      <c r="A287">
        <v>505</v>
      </c>
      <c r="B287" t="s">
        <v>1739</v>
      </c>
      <c r="C287" t="s">
        <v>927</v>
      </c>
      <c r="D287" t="s">
        <v>916</v>
      </c>
      <c r="E287" t="s">
        <v>1764</v>
      </c>
      <c r="F287" t="s">
        <v>1762</v>
      </c>
      <c r="G287" t="s">
        <v>1765</v>
      </c>
    </row>
    <row r="288" spans="1:7">
      <c r="A288">
        <v>504</v>
      </c>
      <c r="B288" t="s">
        <v>1739</v>
      </c>
      <c r="C288" t="s">
        <v>979</v>
      </c>
      <c r="D288" t="s">
        <v>928</v>
      </c>
      <c r="E288" t="s">
        <v>1766</v>
      </c>
      <c r="F288" t="s">
        <v>1767</v>
      </c>
      <c r="G288" t="s">
        <v>1768</v>
      </c>
    </row>
    <row r="289" spans="1:7">
      <c r="A289">
        <v>503</v>
      </c>
      <c r="B289" t="s">
        <v>1739</v>
      </c>
      <c r="C289" t="s">
        <v>927</v>
      </c>
      <c r="D289" t="s">
        <v>916</v>
      </c>
      <c r="E289" t="s">
        <v>1769</v>
      </c>
      <c r="F289" t="s">
        <v>1770</v>
      </c>
      <c r="G289" t="s">
        <v>1771</v>
      </c>
    </row>
    <row r="290" spans="1:7">
      <c r="A290">
        <v>502</v>
      </c>
      <c r="B290" t="s">
        <v>1739</v>
      </c>
      <c r="C290" t="s">
        <v>927</v>
      </c>
      <c r="D290" t="s">
        <v>928</v>
      </c>
      <c r="E290" t="s">
        <v>1772</v>
      </c>
      <c r="F290" t="s">
        <v>1773</v>
      </c>
      <c r="G290" t="s">
        <v>1774</v>
      </c>
    </row>
    <row r="291" spans="1:7">
      <c r="A291">
        <v>501</v>
      </c>
      <c r="B291" t="s">
        <v>1739</v>
      </c>
      <c r="C291" t="s">
        <v>979</v>
      </c>
      <c r="D291" t="s">
        <v>928</v>
      </c>
      <c r="E291" t="s">
        <v>1775</v>
      </c>
      <c r="F291" t="s">
        <v>1776</v>
      </c>
      <c r="G291" t="s">
        <v>1777</v>
      </c>
    </row>
    <row r="292" spans="1:7">
      <c r="A292">
        <v>500</v>
      </c>
      <c r="B292" t="s">
        <v>1739</v>
      </c>
      <c r="C292" t="s">
        <v>927</v>
      </c>
      <c r="D292" t="s">
        <v>928</v>
      </c>
      <c r="E292" t="s">
        <v>1778</v>
      </c>
      <c r="F292" t="s">
        <v>1779</v>
      </c>
      <c r="G292" t="s">
        <v>1780</v>
      </c>
    </row>
    <row r="293" spans="1:7">
      <c r="A293">
        <v>499</v>
      </c>
      <c r="B293" t="s">
        <v>1739</v>
      </c>
      <c r="C293" t="s">
        <v>915</v>
      </c>
      <c r="D293" t="s">
        <v>928</v>
      </c>
      <c r="E293" t="s">
        <v>1781</v>
      </c>
      <c r="F293" t="s">
        <v>1782</v>
      </c>
      <c r="G293" t="s">
        <v>1783</v>
      </c>
    </row>
    <row r="294" spans="1:7">
      <c r="A294">
        <v>498</v>
      </c>
      <c r="B294" t="s">
        <v>1739</v>
      </c>
      <c r="C294" t="s">
        <v>979</v>
      </c>
      <c r="D294" t="s">
        <v>928</v>
      </c>
      <c r="E294" t="s">
        <v>1784</v>
      </c>
      <c r="F294" t="s">
        <v>1785</v>
      </c>
      <c r="G294" t="s">
        <v>1786</v>
      </c>
    </row>
    <row r="295" spans="1:7">
      <c r="A295">
        <v>497</v>
      </c>
      <c r="B295" t="s">
        <v>1739</v>
      </c>
      <c r="C295" t="s">
        <v>979</v>
      </c>
      <c r="D295" t="s">
        <v>928</v>
      </c>
      <c r="E295" t="s">
        <v>1787</v>
      </c>
      <c r="F295" t="s">
        <v>1788</v>
      </c>
      <c r="G295" t="s">
        <v>1789</v>
      </c>
    </row>
    <row r="296" spans="1:7">
      <c r="A296">
        <v>496</v>
      </c>
      <c r="B296" t="s">
        <v>1739</v>
      </c>
      <c r="C296" t="s">
        <v>915</v>
      </c>
      <c r="D296" t="s">
        <v>916</v>
      </c>
      <c r="E296" t="s">
        <v>1790</v>
      </c>
      <c r="F296" t="s">
        <v>1791</v>
      </c>
      <c r="G296" t="s">
        <v>1792</v>
      </c>
    </row>
    <row r="297" spans="1:7">
      <c r="A297">
        <v>495</v>
      </c>
      <c r="B297" t="s">
        <v>1739</v>
      </c>
      <c r="C297" t="s">
        <v>927</v>
      </c>
      <c r="D297" t="s">
        <v>928</v>
      </c>
      <c r="E297" t="s">
        <v>1793</v>
      </c>
      <c r="F297" t="s">
        <v>1794</v>
      </c>
      <c r="G297" t="s">
        <v>1795</v>
      </c>
    </row>
    <row r="298" spans="1:7">
      <c r="A298">
        <v>494</v>
      </c>
      <c r="B298" t="s">
        <v>1739</v>
      </c>
      <c r="C298" t="s">
        <v>979</v>
      </c>
      <c r="D298" t="s">
        <v>928</v>
      </c>
      <c r="E298" t="s">
        <v>1796</v>
      </c>
      <c r="F298" t="s">
        <v>1797</v>
      </c>
      <c r="G298" t="s">
        <v>1798</v>
      </c>
    </row>
    <row r="299" spans="1:7">
      <c r="A299">
        <v>493</v>
      </c>
      <c r="B299" t="s">
        <v>1739</v>
      </c>
      <c r="C299" t="s">
        <v>1011</v>
      </c>
      <c r="D299" t="s">
        <v>928</v>
      </c>
      <c r="E299" t="s">
        <v>1799</v>
      </c>
      <c r="F299" t="s">
        <v>1800</v>
      </c>
      <c r="G299" t="s">
        <v>1801</v>
      </c>
    </row>
    <row r="300" spans="1:7">
      <c r="A300">
        <v>492</v>
      </c>
      <c r="B300" t="s">
        <v>1739</v>
      </c>
      <c r="C300" t="s">
        <v>927</v>
      </c>
      <c r="D300" t="s">
        <v>916</v>
      </c>
      <c r="E300" t="s">
        <v>1802</v>
      </c>
      <c r="F300" t="s">
        <v>1803</v>
      </c>
      <c r="G300" t="s">
        <v>1804</v>
      </c>
    </row>
    <row r="301" spans="1:7">
      <c r="A301">
        <v>491</v>
      </c>
      <c r="B301" t="s">
        <v>1739</v>
      </c>
      <c r="C301" t="s">
        <v>927</v>
      </c>
      <c r="D301" t="s">
        <v>928</v>
      </c>
      <c r="E301" t="s">
        <v>1805</v>
      </c>
      <c r="F301" t="s">
        <v>1806</v>
      </c>
      <c r="G301" t="s">
        <v>1807</v>
      </c>
    </row>
    <row r="302" spans="1:7">
      <c r="A302">
        <v>490</v>
      </c>
      <c r="B302" t="s">
        <v>1739</v>
      </c>
      <c r="C302" t="s">
        <v>915</v>
      </c>
      <c r="D302" t="s">
        <v>928</v>
      </c>
      <c r="E302" t="s">
        <v>1808</v>
      </c>
      <c r="F302" t="s">
        <v>1809</v>
      </c>
      <c r="G302" t="s">
        <v>1810</v>
      </c>
    </row>
    <row r="303" spans="1:7">
      <c r="A303">
        <v>489</v>
      </c>
      <c r="B303" t="s">
        <v>1739</v>
      </c>
      <c r="C303" t="s">
        <v>979</v>
      </c>
      <c r="D303" t="s">
        <v>928</v>
      </c>
      <c r="E303" t="s">
        <v>1811</v>
      </c>
      <c r="F303" t="s">
        <v>1812</v>
      </c>
      <c r="G303" t="s">
        <v>1813</v>
      </c>
    </row>
    <row r="304" spans="1:7">
      <c r="A304">
        <v>488</v>
      </c>
      <c r="B304" t="s">
        <v>1739</v>
      </c>
      <c r="C304" t="s">
        <v>979</v>
      </c>
      <c r="D304" t="s">
        <v>928</v>
      </c>
      <c r="E304" t="s">
        <v>1814</v>
      </c>
      <c r="F304" t="s">
        <v>1815</v>
      </c>
      <c r="G304" t="s">
        <v>1816</v>
      </c>
    </row>
    <row r="305" spans="1:7">
      <c r="A305">
        <v>487</v>
      </c>
      <c r="B305" t="s">
        <v>1739</v>
      </c>
      <c r="C305" t="s">
        <v>915</v>
      </c>
      <c r="D305" t="s">
        <v>928</v>
      </c>
      <c r="E305" t="s">
        <v>1817</v>
      </c>
      <c r="F305" t="s">
        <v>1818</v>
      </c>
      <c r="G305" t="s">
        <v>1819</v>
      </c>
    </row>
    <row r="306" spans="1:7">
      <c r="A306">
        <v>486</v>
      </c>
      <c r="B306" t="s">
        <v>1739</v>
      </c>
      <c r="C306" t="s">
        <v>927</v>
      </c>
      <c r="D306" t="s">
        <v>928</v>
      </c>
      <c r="E306" t="s">
        <v>1820</v>
      </c>
      <c r="F306" t="s">
        <v>1818</v>
      </c>
      <c r="G306" t="s">
        <v>1819</v>
      </c>
    </row>
    <row r="307" spans="1:7">
      <c r="A307">
        <v>485</v>
      </c>
      <c r="B307" t="s">
        <v>1739</v>
      </c>
      <c r="C307" t="s">
        <v>979</v>
      </c>
      <c r="D307" t="s">
        <v>928</v>
      </c>
      <c r="E307" t="s">
        <v>1821</v>
      </c>
      <c r="F307" t="s">
        <v>1822</v>
      </c>
      <c r="G307" t="s">
        <v>1823</v>
      </c>
    </row>
    <row r="308" spans="1:7">
      <c r="A308">
        <v>484</v>
      </c>
      <c r="B308" t="s">
        <v>1739</v>
      </c>
      <c r="C308" t="s">
        <v>915</v>
      </c>
      <c r="D308" t="s">
        <v>928</v>
      </c>
      <c r="E308" t="s">
        <v>1824</v>
      </c>
      <c r="F308" t="s">
        <v>1825</v>
      </c>
      <c r="G308" t="s">
        <v>1826</v>
      </c>
    </row>
    <row r="309" spans="1:7">
      <c r="A309">
        <v>483</v>
      </c>
      <c r="B309" t="s">
        <v>1739</v>
      </c>
      <c r="C309" t="s">
        <v>915</v>
      </c>
      <c r="D309" t="s">
        <v>928</v>
      </c>
      <c r="E309" t="s">
        <v>1827</v>
      </c>
      <c r="F309" t="s">
        <v>1828</v>
      </c>
      <c r="G309" t="s">
        <v>1829</v>
      </c>
    </row>
    <row r="310" spans="1:7">
      <c r="A310">
        <v>482</v>
      </c>
      <c r="B310" t="s">
        <v>1739</v>
      </c>
      <c r="C310" t="s">
        <v>979</v>
      </c>
      <c r="D310" t="s">
        <v>928</v>
      </c>
      <c r="E310" t="s">
        <v>1830</v>
      </c>
      <c r="F310" t="s">
        <v>1831</v>
      </c>
      <c r="G310" t="s">
        <v>1832</v>
      </c>
    </row>
    <row r="311" spans="1:7">
      <c r="A311">
        <v>481</v>
      </c>
      <c r="B311" t="s">
        <v>1739</v>
      </c>
      <c r="C311" t="s">
        <v>927</v>
      </c>
      <c r="D311" t="s">
        <v>928</v>
      </c>
      <c r="E311" t="s">
        <v>1833</v>
      </c>
      <c r="F311" t="s">
        <v>1834</v>
      </c>
      <c r="G311" t="s">
        <v>1835</v>
      </c>
    </row>
    <row r="312" spans="1:7">
      <c r="A312">
        <v>480</v>
      </c>
      <c r="B312" t="s">
        <v>1739</v>
      </c>
      <c r="C312" t="s">
        <v>979</v>
      </c>
      <c r="D312" t="s">
        <v>928</v>
      </c>
      <c r="E312" t="s">
        <v>1836</v>
      </c>
      <c r="F312" t="s">
        <v>1837</v>
      </c>
      <c r="G312" t="s">
        <v>1838</v>
      </c>
    </row>
    <row r="313" spans="1:7">
      <c r="A313">
        <v>479</v>
      </c>
      <c r="B313" t="s">
        <v>1739</v>
      </c>
      <c r="C313" t="s">
        <v>979</v>
      </c>
      <c r="D313" t="s">
        <v>928</v>
      </c>
      <c r="E313" t="s">
        <v>1839</v>
      </c>
      <c r="F313" t="s">
        <v>1840</v>
      </c>
      <c r="G313" t="s">
        <v>1841</v>
      </c>
    </row>
    <row r="314" spans="1:7">
      <c r="A314">
        <v>478</v>
      </c>
      <c r="B314" t="s">
        <v>1739</v>
      </c>
      <c r="C314" t="s">
        <v>927</v>
      </c>
      <c r="D314" t="s">
        <v>928</v>
      </c>
      <c r="E314" t="s">
        <v>1842</v>
      </c>
      <c r="F314" t="s">
        <v>1843</v>
      </c>
      <c r="G314" t="s">
        <v>1844</v>
      </c>
    </row>
    <row r="315" spans="1:7">
      <c r="A315">
        <v>477</v>
      </c>
      <c r="B315" t="s">
        <v>1739</v>
      </c>
      <c r="C315" t="s">
        <v>979</v>
      </c>
      <c r="D315" t="s">
        <v>928</v>
      </c>
      <c r="E315" t="s">
        <v>1845</v>
      </c>
      <c r="F315" t="s">
        <v>1846</v>
      </c>
      <c r="G315" t="s">
        <v>1847</v>
      </c>
    </row>
    <row r="316" spans="1:7">
      <c r="A316">
        <v>476</v>
      </c>
      <c r="B316" t="s">
        <v>1739</v>
      </c>
      <c r="C316" t="s">
        <v>979</v>
      </c>
      <c r="D316" t="s">
        <v>928</v>
      </c>
      <c r="E316" t="s">
        <v>1848</v>
      </c>
      <c r="F316" t="s">
        <v>1849</v>
      </c>
      <c r="G316" t="s">
        <v>1850</v>
      </c>
    </row>
    <row r="317" spans="1:7">
      <c r="A317">
        <v>475</v>
      </c>
      <c r="B317" t="s">
        <v>1851</v>
      </c>
      <c r="C317" t="s">
        <v>979</v>
      </c>
      <c r="D317" t="s">
        <v>928</v>
      </c>
      <c r="E317" t="s">
        <v>1852</v>
      </c>
      <c r="F317" t="s">
        <v>1853</v>
      </c>
      <c r="G317" t="s">
        <v>1854</v>
      </c>
    </row>
    <row r="318" spans="1:7">
      <c r="A318">
        <v>474</v>
      </c>
      <c r="B318" t="s">
        <v>1851</v>
      </c>
      <c r="C318" t="s">
        <v>1011</v>
      </c>
      <c r="D318" t="s">
        <v>928</v>
      </c>
      <c r="E318" t="s">
        <v>1855</v>
      </c>
      <c r="F318" t="s">
        <v>1856</v>
      </c>
      <c r="G318" t="s">
        <v>1857</v>
      </c>
    </row>
    <row r="319" spans="1:7">
      <c r="A319">
        <v>473</v>
      </c>
      <c r="B319" t="s">
        <v>1851</v>
      </c>
      <c r="C319" t="s">
        <v>979</v>
      </c>
      <c r="D319" t="s">
        <v>928</v>
      </c>
      <c r="E319" t="s">
        <v>1858</v>
      </c>
      <c r="F319" t="s">
        <v>1859</v>
      </c>
      <c r="G319" t="s">
        <v>1860</v>
      </c>
    </row>
    <row r="320" spans="1:7">
      <c r="A320">
        <v>472</v>
      </c>
      <c r="B320" t="s">
        <v>1851</v>
      </c>
      <c r="C320" t="s">
        <v>915</v>
      </c>
      <c r="D320" t="s">
        <v>928</v>
      </c>
      <c r="E320" t="s">
        <v>1861</v>
      </c>
      <c r="F320" t="s">
        <v>1862</v>
      </c>
      <c r="G320" t="s">
        <v>1863</v>
      </c>
    </row>
    <row r="321" spans="1:7">
      <c r="A321">
        <v>471</v>
      </c>
      <c r="B321" t="s">
        <v>1851</v>
      </c>
      <c r="C321" t="s">
        <v>979</v>
      </c>
      <c r="D321" t="s">
        <v>928</v>
      </c>
      <c r="E321" t="s">
        <v>1864</v>
      </c>
      <c r="F321" t="s">
        <v>1865</v>
      </c>
      <c r="G321" t="s">
        <v>1866</v>
      </c>
    </row>
    <row r="322" spans="1:7">
      <c r="A322">
        <v>470</v>
      </c>
      <c r="B322" t="s">
        <v>1851</v>
      </c>
      <c r="C322" t="s">
        <v>927</v>
      </c>
      <c r="D322" t="s">
        <v>928</v>
      </c>
      <c r="E322" t="s">
        <v>1867</v>
      </c>
      <c r="F322" t="s">
        <v>1868</v>
      </c>
      <c r="G322" t="s">
        <v>1869</v>
      </c>
    </row>
    <row r="323" spans="1:7">
      <c r="A323">
        <v>469</v>
      </c>
      <c r="B323" t="s">
        <v>1851</v>
      </c>
      <c r="C323" t="s">
        <v>979</v>
      </c>
      <c r="D323" t="s">
        <v>928</v>
      </c>
      <c r="E323" t="s">
        <v>1870</v>
      </c>
      <c r="F323" t="s">
        <v>1871</v>
      </c>
      <c r="G323" t="s">
        <v>1872</v>
      </c>
    </row>
    <row r="324" spans="1:7">
      <c r="A324">
        <v>468</v>
      </c>
      <c r="B324" t="s">
        <v>1851</v>
      </c>
      <c r="C324" t="s">
        <v>979</v>
      </c>
      <c r="D324" t="s">
        <v>928</v>
      </c>
      <c r="E324" t="s">
        <v>1873</v>
      </c>
      <c r="F324" t="s">
        <v>1874</v>
      </c>
      <c r="G324" t="s">
        <v>1875</v>
      </c>
    </row>
    <row r="325" spans="1:7">
      <c r="A325">
        <v>467</v>
      </c>
      <c r="B325" t="s">
        <v>1851</v>
      </c>
      <c r="C325" t="s">
        <v>915</v>
      </c>
      <c r="D325" t="s">
        <v>928</v>
      </c>
      <c r="E325" t="s">
        <v>1876</v>
      </c>
      <c r="F325" t="s">
        <v>1877</v>
      </c>
      <c r="G325" t="s">
        <v>1878</v>
      </c>
    </row>
    <row r="326" spans="1:7">
      <c r="A326">
        <v>466</v>
      </c>
      <c r="B326" t="s">
        <v>1851</v>
      </c>
      <c r="C326" t="s">
        <v>979</v>
      </c>
      <c r="D326" t="s">
        <v>928</v>
      </c>
      <c r="E326" t="s">
        <v>1879</v>
      </c>
      <c r="F326" t="s">
        <v>1880</v>
      </c>
      <c r="G326" t="s">
        <v>1881</v>
      </c>
    </row>
    <row r="327" spans="1:7">
      <c r="A327">
        <v>465</v>
      </c>
      <c r="B327" t="s">
        <v>1851</v>
      </c>
      <c r="C327" t="s">
        <v>927</v>
      </c>
      <c r="D327" t="s">
        <v>928</v>
      </c>
      <c r="E327" t="s">
        <v>1882</v>
      </c>
      <c r="F327" t="s">
        <v>1883</v>
      </c>
      <c r="G327" t="s">
        <v>1884</v>
      </c>
    </row>
    <row r="328" spans="1:7">
      <c r="A328">
        <v>464</v>
      </c>
      <c r="B328" t="s">
        <v>1851</v>
      </c>
      <c r="C328" t="s">
        <v>979</v>
      </c>
      <c r="D328" t="s">
        <v>928</v>
      </c>
      <c r="E328" t="s">
        <v>1885</v>
      </c>
      <c r="F328" t="s">
        <v>1886</v>
      </c>
      <c r="G328" t="s">
        <v>1887</v>
      </c>
    </row>
    <row r="329" spans="1:7">
      <c r="A329">
        <v>463</v>
      </c>
      <c r="B329" t="s">
        <v>1851</v>
      </c>
      <c r="C329" t="s">
        <v>979</v>
      </c>
      <c r="D329" t="s">
        <v>928</v>
      </c>
      <c r="E329" t="s">
        <v>1888</v>
      </c>
      <c r="F329" t="s">
        <v>1889</v>
      </c>
      <c r="G329" t="s">
        <v>1890</v>
      </c>
    </row>
    <row r="330" spans="1:7">
      <c r="A330">
        <v>462</v>
      </c>
      <c r="B330" t="s">
        <v>1851</v>
      </c>
      <c r="C330" t="s">
        <v>927</v>
      </c>
      <c r="D330" t="s">
        <v>916</v>
      </c>
      <c r="E330" t="s">
        <v>1891</v>
      </c>
      <c r="F330" t="s">
        <v>1892</v>
      </c>
      <c r="G330" t="s">
        <v>1893</v>
      </c>
    </row>
    <row r="331" spans="1:7">
      <c r="A331">
        <v>461</v>
      </c>
      <c r="B331" t="s">
        <v>1851</v>
      </c>
      <c r="C331" t="s">
        <v>1011</v>
      </c>
      <c r="D331" t="s">
        <v>928</v>
      </c>
      <c r="E331" t="s">
        <v>1894</v>
      </c>
      <c r="F331" t="s">
        <v>1895</v>
      </c>
      <c r="G331" t="s">
        <v>1896</v>
      </c>
    </row>
    <row r="332" spans="1:7">
      <c r="A332">
        <v>460</v>
      </c>
      <c r="B332" t="s">
        <v>1851</v>
      </c>
      <c r="C332" t="s">
        <v>915</v>
      </c>
      <c r="D332" t="s">
        <v>928</v>
      </c>
      <c r="E332" t="s">
        <v>1897</v>
      </c>
      <c r="F332" t="s">
        <v>1898</v>
      </c>
      <c r="G332" t="s">
        <v>1899</v>
      </c>
    </row>
    <row r="333" spans="1:7">
      <c r="A333">
        <v>459</v>
      </c>
      <c r="B333" t="s">
        <v>1851</v>
      </c>
      <c r="C333" t="s">
        <v>927</v>
      </c>
      <c r="D333" t="s">
        <v>928</v>
      </c>
      <c r="E333" t="s">
        <v>1900</v>
      </c>
      <c r="F333" t="s">
        <v>1901</v>
      </c>
      <c r="G333" t="s">
        <v>1902</v>
      </c>
    </row>
    <row r="334" spans="1:7">
      <c r="A334">
        <v>458</v>
      </c>
      <c r="B334" t="s">
        <v>1851</v>
      </c>
      <c r="C334" t="s">
        <v>927</v>
      </c>
      <c r="D334" t="s">
        <v>928</v>
      </c>
      <c r="E334" t="s">
        <v>1903</v>
      </c>
      <c r="F334" t="s">
        <v>1904</v>
      </c>
      <c r="G334" t="s">
        <v>1905</v>
      </c>
    </row>
    <row r="335" spans="1:7">
      <c r="A335">
        <v>457</v>
      </c>
      <c r="B335" t="s">
        <v>1851</v>
      </c>
      <c r="C335" t="s">
        <v>979</v>
      </c>
      <c r="D335" t="s">
        <v>928</v>
      </c>
      <c r="E335" t="s">
        <v>1906</v>
      </c>
      <c r="F335" t="s">
        <v>1907</v>
      </c>
      <c r="G335" t="s">
        <v>1908</v>
      </c>
    </row>
    <row r="336" spans="1:7">
      <c r="A336">
        <v>456</v>
      </c>
      <c r="B336" t="s">
        <v>1851</v>
      </c>
      <c r="C336" t="s">
        <v>920</v>
      </c>
      <c r="D336" t="s">
        <v>928</v>
      </c>
      <c r="E336" t="s">
        <v>1909</v>
      </c>
      <c r="F336" t="s">
        <v>1910</v>
      </c>
      <c r="G336" t="s">
        <v>1911</v>
      </c>
    </row>
    <row r="337" spans="1:7">
      <c r="A337">
        <v>455</v>
      </c>
      <c r="B337" t="s">
        <v>1851</v>
      </c>
      <c r="C337" t="s">
        <v>979</v>
      </c>
      <c r="D337" t="s">
        <v>928</v>
      </c>
      <c r="E337" t="s">
        <v>1912</v>
      </c>
      <c r="F337" t="s">
        <v>1913</v>
      </c>
      <c r="G337" t="s">
        <v>1914</v>
      </c>
    </row>
    <row r="338" spans="1:7">
      <c r="A338">
        <v>454</v>
      </c>
      <c r="B338" t="s">
        <v>1851</v>
      </c>
      <c r="C338" t="s">
        <v>979</v>
      </c>
      <c r="D338" t="s">
        <v>928</v>
      </c>
      <c r="E338" t="s">
        <v>1915</v>
      </c>
      <c r="F338" t="s">
        <v>1916</v>
      </c>
      <c r="G338" t="s">
        <v>1917</v>
      </c>
    </row>
    <row r="339" spans="1:7">
      <c r="A339">
        <v>453</v>
      </c>
      <c r="B339" t="s">
        <v>1851</v>
      </c>
      <c r="C339" t="s">
        <v>979</v>
      </c>
      <c r="D339" t="s">
        <v>928</v>
      </c>
      <c r="E339" t="s">
        <v>1918</v>
      </c>
      <c r="F339" t="s">
        <v>1919</v>
      </c>
      <c r="G339" t="s">
        <v>1920</v>
      </c>
    </row>
    <row r="340" spans="1:7">
      <c r="A340">
        <v>452</v>
      </c>
      <c r="B340" t="s">
        <v>1851</v>
      </c>
      <c r="C340" t="s">
        <v>1011</v>
      </c>
      <c r="D340" t="s">
        <v>928</v>
      </c>
      <c r="E340" t="s">
        <v>1921</v>
      </c>
      <c r="F340" t="s">
        <v>1922</v>
      </c>
      <c r="G340" t="s">
        <v>1923</v>
      </c>
    </row>
    <row r="341" spans="1:7">
      <c r="A341">
        <v>451</v>
      </c>
      <c r="B341" t="s">
        <v>1851</v>
      </c>
      <c r="C341" t="s">
        <v>927</v>
      </c>
      <c r="D341" t="s">
        <v>928</v>
      </c>
      <c r="E341" t="s">
        <v>1924</v>
      </c>
      <c r="F341" t="s">
        <v>1925</v>
      </c>
      <c r="G341" t="s">
        <v>1926</v>
      </c>
    </row>
    <row r="342" spans="1:7">
      <c r="A342">
        <v>450</v>
      </c>
      <c r="B342" t="s">
        <v>1851</v>
      </c>
      <c r="C342" t="s">
        <v>979</v>
      </c>
      <c r="D342" t="s">
        <v>928</v>
      </c>
      <c r="E342" t="s">
        <v>1927</v>
      </c>
      <c r="F342" t="s">
        <v>1928</v>
      </c>
      <c r="G342" t="s">
        <v>1929</v>
      </c>
    </row>
    <row r="343" spans="1:7">
      <c r="A343">
        <v>449</v>
      </c>
      <c r="B343" t="s">
        <v>1851</v>
      </c>
      <c r="C343" t="s">
        <v>915</v>
      </c>
      <c r="D343" t="s">
        <v>928</v>
      </c>
      <c r="E343" t="s">
        <v>1930</v>
      </c>
      <c r="F343" t="s">
        <v>1931</v>
      </c>
      <c r="G343" t="s">
        <v>1932</v>
      </c>
    </row>
    <row r="344" spans="1:7">
      <c r="A344">
        <v>448</v>
      </c>
      <c r="B344" t="s">
        <v>1851</v>
      </c>
      <c r="C344" t="s">
        <v>1011</v>
      </c>
      <c r="D344" t="s">
        <v>928</v>
      </c>
      <c r="E344" t="s">
        <v>1933</v>
      </c>
      <c r="F344" t="s">
        <v>1934</v>
      </c>
      <c r="G344" t="s">
        <v>1935</v>
      </c>
    </row>
    <row r="345" spans="1:7">
      <c r="A345">
        <v>447</v>
      </c>
      <c r="B345" t="s">
        <v>1851</v>
      </c>
      <c r="C345" t="s">
        <v>979</v>
      </c>
      <c r="D345" t="s">
        <v>928</v>
      </c>
      <c r="E345" t="s">
        <v>1936</v>
      </c>
      <c r="F345" t="s">
        <v>1937</v>
      </c>
      <c r="G345" t="s">
        <v>1938</v>
      </c>
    </row>
    <row r="346" spans="1:7">
      <c r="A346">
        <v>446</v>
      </c>
      <c r="B346" t="s">
        <v>1851</v>
      </c>
      <c r="C346" t="s">
        <v>979</v>
      </c>
      <c r="D346" t="s">
        <v>928</v>
      </c>
      <c r="E346" t="s">
        <v>1939</v>
      </c>
      <c r="F346" t="s">
        <v>1940</v>
      </c>
      <c r="G346" t="s">
        <v>1941</v>
      </c>
    </row>
    <row r="347" spans="1:7">
      <c r="A347">
        <v>445</v>
      </c>
      <c r="B347" t="s">
        <v>1851</v>
      </c>
      <c r="C347" t="s">
        <v>927</v>
      </c>
      <c r="D347" t="s">
        <v>928</v>
      </c>
      <c r="E347" t="s">
        <v>1942</v>
      </c>
      <c r="F347" t="s">
        <v>1943</v>
      </c>
      <c r="G347" t="s">
        <v>1944</v>
      </c>
    </row>
    <row r="348" spans="1:7">
      <c r="A348">
        <v>444</v>
      </c>
      <c r="B348" t="s">
        <v>1851</v>
      </c>
      <c r="C348" t="s">
        <v>979</v>
      </c>
      <c r="D348" t="s">
        <v>928</v>
      </c>
      <c r="E348" t="s">
        <v>1945</v>
      </c>
      <c r="F348" t="s">
        <v>1946</v>
      </c>
      <c r="G348" t="s">
        <v>1947</v>
      </c>
    </row>
    <row r="349" spans="1:7">
      <c r="A349">
        <v>443</v>
      </c>
      <c r="B349" t="s">
        <v>1851</v>
      </c>
      <c r="C349" t="s">
        <v>979</v>
      </c>
      <c r="D349" t="s">
        <v>928</v>
      </c>
      <c r="E349" t="s">
        <v>1948</v>
      </c>
      <c r="F349" t="s">
        <v>1949</v>
      </c>
      <c r="G349" t="s">
        <v>1950</v>
      </c>
    </row>
    <row r="350" spans="1:7">
      <c r="A350">
        <v>442</v>
      </c>
      <c r="B350" t="s">
        <v>1851</v>
      </c>
      <c r="C350" t="s">
        <v>979</v>
      </c>
      <c r="D350" t="s">
        <v>928</v>
      </c>
      <c r="E350" t="s">
        <v>1951</v>
      </c>
      <c r="F350" t="s">
        <v>1952</v>
      </c>
      <c r="G350" t="s">
        <v>1953</v>
      </c>
    </row>
    <row r="351" spans="1:7">
      <c r="A351">
        <v>441</v>
      </c>
      <c r="B351" t="s">
        <v>1851</v>
      </c>
      <c r="C351" t="s">
        <v>979</v>
      </c>
      <c r="D351" t="s">
        <v>928</v>
      </c>
      <c r="E351" t="s">
        <v>1954</v>
      </c>
      <c r="F351" t="s">
        <v>1955</v>
      </c>
      <c r="G351" t="s">
        <v>1956</v>
      </c>
    </row>
    <row r="352" spans="1:7">
      <c r="A352">
        <v>440</v>
      </c>
      <c r="B352" t="s">
        <v>1851</v>
      </c>
      <c r="C352" t="s">
        <v>915</v>
      </c>
      <c r="D352" t="s">
        <v>928</v>
      </c>
      <c r="E352" t="s">
        <v>1957</v>
      </c>
      <c r="F352" t="s">
        <v>1958</v>
      </c>
      <c r="G352" t="s">
        <v>1959</v>
      </c>
    </row>
    <row r="353" spans="1:7">
      <c r="A353">
        <v>439</v>
      </c>
      <c r="B353" t="s">
        <v>1851</v>
      </c>
      <c r="C353" t="s">
        <v>915</v>
      </c>
      <c r="D353" t="s">
        <v>928</v>
      </c>
      <c r="E353" t="s">
        <v>1960</v>
      </c>
      <c r="F353" t="s">
        <v>1961</v>
      </c>
      <c r="G353" t="s">
        <v>1962</v>
      </c>
    </row>
    <row r="354" spans="1:7">
      <c r="A354">
        <v>438</v>
      </c>
      <c r="B354" t="s">
        <v>1851</v>
      </c>
      <c r="C354" t="s">
        <v>915</v>
      </c>
      <c r="D354" t="s">
        <v>916</v>
      </c>
      <c r="E354" t="s">
        <v>1963</v>
      </c>
      <c r="F354" t="s">
        <v>1964</v>
      </c>
      <c r="G354" t="s">
        <v>1965</v>
      </c>
    </row>
    <row r="355" spans="1:7">
      <c r="A355">
        <v>437</v>
      </c>
      <c r="B355" t="s">
        <v>1851</v>
      </c>
      <c r="C355" t="s">
        <v>927</v>
      </c>
      <c r="D355" t="s">
        <v>916</v>
      </c>
      <c r="E355" t="s">
        <v>1966</v>
      </c>
      <c r="F355" t="s">
        <v>1964</v>
      </c>
      <c r="G355" t="s">
        <v>1967</v>
      </c>
    </row>
    <row r="356" spans="1:7">
      <c r="A356">
        <v>436</v>
      </c>
      <c r="B356" t="s">
        <v>1851</v>
      </c>
      <c r="C356" t="s">
        <v>979</v>
      </c>
      <c r="D356" t="s">
        <v>928</v>
      </c>
      <c r="E356" t="s">
        <v>1968</v>
      </c>
      <c r="F356" t="s">
        <v>1969</v>
      </c>
      <c r="G356" t="s">
        <v>1970</v>
      </c>
    </row>
    <row r="357" spans="1:7">
      <c r="A357">
        <v>435</v>
      </c>
      <c r="B357" t="s">
        <v>1851</v>
      </c>
      <c r="C357" t="s">
        <v>1011</v>
      </c>
      <c r="D357" t="s">
        <v>928</v>
      </c>
      <c r="E357" t="s">
        <v>1971</v>
      </c>
      <c r="F357" t="s">
        <v>1972</v>
      </c>
      <c r="G357" t="s">
        <v>1973</v>
      </c>
    </row>
    <row r="358" spans="1:7">
      <c r="A358">
        <v>434</v>
      </c>
      <c r="B358" t="s">
        <v>1851</v>
      </c>
      <c r="C358" t="s">
        <v>927</v>
      </c>
      <c r="D358" t="s">
        <v>928</v>
      </c>
      <c r="E358" t="s">
        <v>1974</v>
      </c>
      <c r="F358" t="s">
        <v>1975</v>
      </c>
      <c r="G358" t="s">
        <v>1976</v>
      </c>
    </row>
    <row r="359" spans="1:7">
      <c r="A359">
        <v>433</v>
      </c>
      <c r="B359" t="s">
        <v>1851</v>
      </c>
      <c r="C359" t="s">
        <v>979</v>
      </c>
      <c r="D359" t="s">
        <v>928</v>
      </c>
      <c r="E359" t="s">
        <v>1977</v>
      </c>
      <c r="F359" t="s">
        <v>1978</v>
      </c>
      <c r="G359" t="s">
        <v>1979</v>
      </c>
    </row>
    <row r="360" spans="1:7">
      <c r="A360">
        <v>432</v>
      </c>
      <c r="B360" t="s">
        <v>1851</v>
      </c>
      <c r="C360" t="s">
        <v>927</v>
      </c>
      <c r="D360" t="s">
        <v>928</v>
      </c>
      <c r="E360" t="s">
        <v>1980</v>
      </c>
      <c r="F360" t="s">
        <v>1981</v>
      </c>
      <c r="G360" t="s">
        <v>1982</v>
      </c>
    </row>
    <row r="361" spans="1:7">
      <c r="A361">
        <v>431</v>
      </c>
      <c r="B361" t="s">
        <v>1851</v>
      </c>
      <c r="C361" t="s">
        <v>915</v>
      </c>
      <c r="D361" t="s">
        <v>916</v>
      </c>
      <c r="E361" t="s">
        <v>1983</v>
      </c>
      <c r="F361" t="s">
        <v>1984</v>
      </c>
      <c r="G361" t="s">
        <v>1985</v>
      </c>
    </row>
    <row r="362" spans="1:7">
      <c r="A362">
        <v>430</v>
      </c>
      <c r="B362" t="s">
        <v>1851</v>
      </c>
      <c r="C362" t="s">
        <v>927</v>
      </c>
      <c r="D362" t="s">
        <v>916</v>
      </c>
      <c r="E362" t="s">
        <v>1986</v>
      </c>
      <c r="F362" t="s">
        <v>1984</v>
      </c>
      <c r="G362" t="s">
        <v>1987</v>
      </c>
    </row>
    <row r="363" spans="1:7">
      <c r="A363">
        <v>429</v>
      </c>
      <c r="B363" t="s">
        <v>1851</v>
      </c>
      <c r="C363" t="s">
        <v>915</v>
      </c>
      <c r="D363" t="s">
        <v>916</v>
      </c>
      <c r="E363" t="s">
        <v>1988</v>
      </c>
      <c r="F363" t="s">
        <v>1989</v>
      </c>
      <c r="G363" t="s">
        <v>1990</v>
      </c>
    </row>
    <row r="364" spans="1:7">
      <c r="A364">
        <v>428</v>
      </c>
      <c r="B364" t="s">
        <v>1851</v>
      </c>
      <c r="C364" t="s">
        <v>915</v>
      </c>
      <c r="D364" t="s">
        <v>916</v>
      </c>
      <c r="E364" t="s">
        <v>1991</v>
      </c>
      <c r="F364" t="s">
        <v>1992</v>
      </c>
      <c r="G364" t="s">
        <v>1993</v>
      </c>
    </row>
    <row r="365" spans="1:7">
      <c r="A365">
        <v>427</v>
      </c>
      <c r="B365" t="s">
        <v>1851</v>
      </c>
      <c r="C365" t="s">
        <v>1011</v>
      </c>
      <c r="D365" t="s">
        <v>928</v>
      </c>
      <c r="E365" t="s">
        <v>1994</v>
      </c>
      <c r="F365" t="s">
        <v>1995</v>
      </c>
      <c r="G365" t="s">
        <v>1996</v>
      </c>
    </row>
    <row r="366" spans="1:7">
      <c r="A366">
        <v>426</v>
      </c>
      <c r="B366" t="s">
        <v>1851</v>
      </c>
      <c r="C366" t="s">
        <v>927</v>
      </c>
      <c r="D366" t="s">
        <v>916</v>
      </c>
      <c r="E366" t="s">
        <v>1997</v>
      </c>
      <c r="F366" t="s">
        <v>1998</v>
      </c>
      <c r="G366" t="s">
        <v>1999</v>
      </c>
    </row>
    <row r="367" spans="1:7">
      <c r="A367">
        <v>425</v>
      </c>
      <c r="B367" t="s">
        <v>1851</v>
      </c>
      <c r="C367" t="s">
        <v>979</v>
      </c>
      <c r="D367" t="s">
        <v>928</v>
      </c>
      <c r="E367" t="s">
        <v>2000</v>
      </c>
      <c r="F367" t="s">
        <v>1995</v>
      </c>
      <c r="G367" t="s">
        <v>2001</v>
      </c>
    </row>
    <row r="368" spans="1:7">
      <c r="A368">
        <v>424</v>
      </c>
      <c r="B368" t="s">
        <v>1851</v>
      </c>
      <c r="C368" t="s">
        <v>927</v>
      </c>
      <c r="D368" t="s">
        <v>928</v>
      </c>
      <c r="E368" t="s">
        <v>2002</v>
      </c>
      <c r="F368" t="s">
        <v>2003</v>
      </c>
      <c r="G368" t="s">
        <v>2004</v>
      </c>
    </row>
    <row r="369" spans="1:7">
      <c r="A369">
        <v>423</v>
      </c>
      <c r="B369" t="s">
        <v>1851</v>
      </c>
      <c r="C369" t="s">
        <v>979</v>
      </c>
      <c r="D369" t="s">
        <v>928</v>
      </c>
      <c r="E369" t="s">
        <v>2005</v>
      </c>
      <c r="F369" t="s">
        <v>2006</v>
      </c>
      <c r="G369" t="s">
        <v>2007</v>
      </c>
    </row>
    <row r="370" spans="1:7">
      <c r="A370">
        <v>422</v>
      </c>
      <c r="B370" t="s">
        <v>1851</v>
      </c>
      <c r="C370" t="s">
        <v>927</v>
      </c>
      <c r="D370" t="s">
        <v>928</v>
      </c>
      <c r="E370" t="s">
        <v>2008</v>
      </c>
      <c r="F370" t="s">
        <v>2009</v>
      </c>
      <c r="G370" t="s">
        <v>2010</v>
      </c>
    </row>
    <row r="371" spans="1:7">
      <c r="A371">
        <v>421</v>
      </c>
      <c r="B371" t="s">
        <v>1851</v>
      </c>
      <c r="C371" t="s">
        <v>979</v>
      </c>
      <c r="D371" t="s">
        <v>928</v>
      </c>
      <c r="E371" t="s">
        <v>2011</v>
      </c>
      <c r="F371" t="s">
        <v>2012</v>
      </c>
      <c r="G371" t="s">
        <v>2013</v>
      </c>
    </row>
    <row r="372" spans="1:7">
      <c r="A372">
        <v>420</v>
      </c>
      <c r="B372" t="s">
        <v>1851</v>
      </c>
      <c r="C372" t="s">
        <v>979</v>
      </c>
      <c r="D372" t="s">
        <v>928</v>
      </c>
      <c r="E372" t="s">
        <v>2014</v>
      </c>
      <c r="F372" t="s">
        <v>2015</v>
      </c>
      <c r="G372" t="s">
        <v>2016</v>
      </c>
    </row>
    <row r="373" spans="1:7">
      <c r="A373">
        <v>419</v>
      </c>
      <c r="B373" t="s">
        <v>1851</v>
      </c>
      <c r="C373" t="s">
        <v>979</v>
      </c>
      <c r="D373" t="s">
        <v>928</v>
      </c>
      <c r="E373" t="s">
        <v>2017</v>
      </c>
      <c r="F373" t="s">
        <v>2018</v>
      </c>
      <c r="G373" t="s">
        <v>2019</v>
      </c>
    </row>
    <row r="374" spans="1:7">
      <c r="A374">
        <v>418</v>
      </c>
      <c r="B374" t="s">
        <v>1851</v>
      </c>
      <c r="C374" t="s">
        <v>979</v>
      </c>
      <c r="D374" t="s">
        <v>928</v>
      </c>
      <c r="E374" t="s">
        <v>2020</v>
      </c>
      <c r="F374" t="s">
        <v>2021</v>
      </c>
      <c r="G374" t="s">
        <v>2022</v>
      </c>
    </row>
    <row r="375" spans="1:7">
      <c r="A375">
        <v>417</v>
      </c>
      <c r="B375" t="s">
        <v>1851</v>
      </c>
      <c r="C375" t="s">
        <v>979</v>
      </c>
      <c r="D375" t="s">
        <v>928</v>
      </c>
      <c r="E375" t="s">
        <v>2023</v>
      </c>
      <c r="F375" t="s">
        <v>2024</v>
      </c>
      <c r="G375" t="s">
        <v>2025</v>
      </c>
    </row>
    <row r="376" spans="1:7">
      <c r="A376">
        <v>416</v>
      </c>
      <c r="B376" t="s">
        <v>1851</v>
      </c>
      <c r="C376" t="s">
        <v>927</v>
      </c>
      <c r="D376" t="s">
        <v>928</v>
      </c>
      <c r="E376" t="s">
        <v>2026</v>
      </c>
      <c r="F376" t="s">
        <v>2027</v>
      </c>
      <c r="G376" t="s">
        <v>2028</v>
      </c>
    </row>
    <row r="377" spans="1:7">
      <c r="A377">
        <v>415</v>
      </c>
      <c r="B377" t="s">
        <v>1851</v>
      </c>
      <c r="C377" t="s">
        <v>979</v>
      </c>
      <c r="D377" t="s">
        <v>928</v>
      </c>
      <c r="E377" t="s">
        <v>2029</v>
      </c>
      <c r="F377" t="s">
        <v>2030</v>
      </c>
      <c r="G377" t="s">
        <v>2031</v>
      </c>
    </row>
    <row r="378" spans="1:7">
      <c r="A378">
        <v>414</v>
      </c>
      <c r="B378" t="s">
        <v>1851</v>
      </c>
      <c r="C378" t="s">
        <v>979</v>
      </c>
      <c r="D378" t="s">
        <v>928</v>
      </c>
      <c r="E378" t="s">
        <v>2032</v>
      </c>
      <c r="F378" t="s">
        <v>2033</v>
      </c>
      <c r="G378" t="s">
        <v>2034</v>
      </c>
    </row>
    <row r="379" spans="1:7">
      <c r="A379">
        <v>413</v>
      </c>
      <c r="B379" t="s">
        <v>1851</v>
      </c>
      <c r="C379" t="s">
        <v>979</v>
      </c>
      <c r="D379" t="s">
        <v>928</v>
      </c>
      <c r="E379" t="s">
        <v>2035</v>
      </c>
      <c r="F379" t="s">
        <v>2036</v>
      </c>
      <c r="G379" t="s">
        <v>2037</v>
      </c>
    </row>
    <row r="380" spans="1:7">
      <c r="A380">
        <v>412</v>
      </c>
      <c r="B380" t="s">
        <v>1851</v>
      </c>
      <c r="C380" t="s">
        <v>979</v>
      </c>
      <c r="D380" t="s">
        <v>928</v>
      </c>
      <c r="E380" t="s">
        <v>2038</v>
      </c>
      <c r="F380" t="s">
        <v>2039</v>
      </c>
      <c r="G380" t="s">
        <v>2040</v>
      </c>
    </row>
    <row r="381" spans="1:7">
      <c r="A381">
        <v>411</v>
      </c>
      <c r="B381" t="s">
        <v>1851</v>
      </c>
      <c r="C381" t="s">
        <v>979</v>
      </c>
      <c r="D381" t="s">
        <v>928</v>
      </c>
      <c r="E381" t="s">
        <v>2041</v>
      </c>
      <c r="F381" t="s">
        <v>2042</v>
      </c>
      <c r="G381" t="s">
        <v>2043</v>
      </c>
    </row>
    <row r="382" spans="1:7">
      <c r="A382">
        <v>410</v>
      </c>
      <c r="B382" t="s">
        <v>1851</v>
      </c>
      <c r="C382" t="s">
        <v>979</v>
      </c>
      <c r="D382" t="s">
        <v>928</v>
      </c>
      <c r="E382" t="s">
        <v>2044</v>
      </c>
      <c r="F382" t="s">
        <v>2045</v>
      </c>
      <c r="G382" t="s">
        <v>2046</v>
      </c>
    </row>
    <row r="383" spans="1:7">
      <c r="A383">
        <v>409</v>
      </c>
      <c r="B383" t="s">
        <v>1851</v>
      </c>
      <c r="C383" t="s">
        <v>979</v>
      </c>
      <c r="D383" t="s">
        <v>928</v>
      </c>
      <c r="E383" t="s">
        <v>2047</v>
      </c>
      <c r="F383" t="s">
        <v>2048</v>
      </c>
      <c r="G383" t="s">
        <v>2049</v>
      </c>
    </row>
    <row r="384" spans="1:7">
      <c r="A384">
        <v>408</v>
      </c>
      <c r="B384" t="s">
        <v>1851</v>
      </c>
      <c r="C384" t="s">
        <v>979</v>
      </c>
      <c r="D384" t="s">
        <v>928</v>
      </c>
      <c r="E384" t="s">
        <v>2050</v>
      </c>
      <c r="F384" t="s">
        <v>2051</v>
      </c>
      <c r="G384" t="s">
        <v>2052</v>
      </c>
    </row>
    <row r="385" spans="1:7">
      <c r="A385">
        <v>407</v>
      </c>
      <c r="B385" t="s">
        <v>1851</v>
      </c>
      <c r="C385" t="s">
        <v>979</v>
      </c>
      <c r="D385" t="s">
        <v>928</v>
      </c>
      <c r="E385" t="s">
        <v>2053</v>
      </c>
      <c r="F385" t="s">
        <v>2054</v>
      </c>
      <c r="G385" t="s">
        <v>2055</v>
      </c>
    </row>
    <row r="386" spans="1:7">
      <c r="A386">
        <v>406</v>
      </c>
      <c r="B386" t="s">
        <v>1851</v>
      </c>
      <c r="C386" t="s">
        <v>979</v>
      </c>
      <c r="D386" t="s">
        <v>928</v>
      </c>
      <c r="E386" t="s">
        <v>2056</v>
      </c>
      <c r="F386" t="s">
        <v>2057</v>
      </c>
      <c r="G386" t="s">
        <v>2058</v>
      </c>
    </row>
    <row r="387" spans="1:7">
      <c r="A387">
        <v>405</v>
      </c>
      <c r="B387" t="s">
        <v>1851</v>
      </c>
      <c r="C387" t="s">
        <v>979</v>
      </c>
      <c r="D387" t="s">
        <v>928</v>
      </c>
      <c r="E387" t="s">
        <v>2059</v>
      </c>
      <c r="F387" t="s">
        <v>2060</v>
      </c>
      <c r="G387" t="s">
        <v>2061</v>
      </c>
    </row>
    <row r="388" spans="1:7">
      <c r="A388">
        <v>404</v>
      </c>
      <c r="B388" t="s">
        <v>1851</v>
      </c>
      <c r="C388" t="s">
        <v>979</v>
      </c>
      <c r="D388" t="s">
        <v>928</v>
      </c>
      <c r="E388" t="s">
        <v>2062</v>
      </c>
      <c r="F388" t="s">
        <v>2063</v>
      </c>
      <c r="G388" t="s">
        <v>2064</v>
      </c>
    </row>
    <row r="389" spans="1:7">
      <c r="A389">
        <v>403</v>
      </c>
      <c r="B389" t="s">
        <v>1851</v>
      </c>
      <c r="C389" t="s">
        <v>979</v>
      </c>
      <c r="D389" t="s">
        <v>928</v>
      </c>
      <c r="E389" t="s">
        <v>2065</v>
      </c>
      <c r="F389" t="s">
        <v>2066</v>
      </c>
      <c r="G389" t="s">
        <v>2067</v>
      </c>
    </row>
    <row r="390" spans="1:7">
      <c r="A390">
        <v>402</v>
      </c>
      <c r="B390" t="s">
        <v>1851</v>
      </c>
      <c r="C390" t="s">
        <v>979</v>
      </c>
      <c r="D390" t="s">
        <v>928</v>
      </c>
      <c r="E390" t="s">
        <v>2068</v>
      </c>
      <c r="F390" t="s">
        <v>2069</v>
      </c>
      <c r="G390" t="s">
        <v>2070</v>
      </c>
    </row>
    <row r="391" spans="1:7">
      <c r="A391">
        <v>401</v>
      </c>
      <c r="B391" t="s">
        <v>1851</v>
      </c>
      <c r="C391" t="s">
        <v>927</v>
      </c>
      <c r="D391" t="s">
        <v>928</v>
      </c>
      <c r="E391" t="s">
        <v>2071</v>
      </c>
      <c r="F391" t="s">
        <v>2072</v>
      </c>
      <c r="G391" t="s">
        <v>2073</v>
      </c>
    </row>
    <row r="392" spans="1:7">
      <c r="A392">
        <v>400</v>
      </c>
      <c r="B392" t="s">
        <v>1851</v>
      </c>
      <c r="C392" t="s">
        <v>979</v>
      </c>
      <c r="D392" t="s">
        <v>928</v>
      </c>
      <c r="E392" t="s">
        <v>2074</v>
      </c>
      <c r="F392" t="s">
        <v>2075</v>
      </c>
      <c r="G392" t="s">
        <v>2076</v>
      </c>
    </row>
    <row r="393" spans="1:7">
      <c r="A393">
        <v>399</v>
      </c>
      <c r="B393" t="s">
        <v>1851</v>
      </c>
      <c r="C393" t="s">
        <v>979</v>
      </c>
      <c r="D393" t="s">
        <v>928</v>
      </c>
      <c r="E393" t="s">
        <v>2077</v>
      </c>
      <c r="F393" t="s">
        <v>2078</v>
      </c>
      <c r="G393" t="s">
        <v>2079</v>
      </c>
    </row>
    <row r="394" spans="1:7">
      <c r="A394">
        <v>398</v>
      </c>
      <c r="B394" t="s">
        <v>1851</v>
      </c>
      <c r="C394" t="s">
        <v>979</v>
      </c>
      <c r="D394" t="s">
        <v>928</v>
      </c>
      <c r="E394" t="s">
        <v>2080</v>
      </c>
      <c r="F394" t="s">
        <v>2081</v>
      </c>
      <c r="G394" t="s">
        <v>2082</v>
      </c>
    </row>
    <row r="395" spans="1:7">
      <c r="A395">
        <v>397</v>
      </c>
      <c r="B395" t="s">
        <v>1851</v>
      </c>
      <c r="C395" t="s">
        <v>927</v>
      </c>
      <c r="D395" t="s">
        <v>928</v>
      </c>
      <c r="E395" t="s">
        <v>2083</v>
      </c>
      <c r="F395" t="s">
        <v>2084</v>
      </c>
      <c r="G395" t="s">
        <v>2085</v>
      </c>
    </row>
    <row r="396" spans="1:7">
      <c r="A396">
        <v>396</v>
      </c>
      <c r="B396" t="s">
        <v>1851</v>
      </c>
      <c r="C396" t="s">
        <v>979</v>
      </c>
      <c r="D396" t="s">
        <v>928</v>
      </c>
      <c r="E396" t="s">
        <v>2086</v>
      </c>
      <c r="F396" t="s">
        <v>2087</v>
      </c>
      <c r="G396" t="s">
        <v>2088</v>
      </c>
    </row>
    <row r="397" spans="1:7">
      <c r="A397">
        <v>395</v>
      </c>
      <c r="B397" t="s">
        <v>1851</v>
      </c>
      <c r="C397" t="s">
        <v>915</v>
      </c>
      <c r="D397" t="s">
        <v>928</v>
      </c>
      <c r="E397" t="s">
        <v>2089</v>
      </c>
      <c r="F397" t="s">
        <v>2090</v>
      </c>
      <c r="G397" t="s">
        <v>2091</v>
      </c>
    </row>
    <row r="398" spans="1:7">
      <c r="A398">
        <v>394</v>
      </c>
      <c r="B398" t="s">
        <v>1851</v>
      </c>
      <c r="C398" t="s">
        <v>979</v>
      </c>
      <c r="D398" t="s">
        <v>955</v>
      </c>
      <c r="E398" t="s">
        <v>2092</v>
      </c>
      <c r="F398" t="s">
        <v>2093</v>
      </c>
      <c r="G398" t="s">
        <v>2094</v>
      </c>
    </row>
    <row r="399" spans="1:7">
      <c r="A399">
        <v>393</v>
      </c>
      <c r="B399" t="s">
        <v>1851</v>
      </c>
      <c r="C399" t="s">
        <v>979</v>
      </c>
      <c r="D399" t="s">
        <v>928</v>
      </c>
      <c r="E399" t="s">
        <v>2095</v>
      </c>
      <c r="F399" t="s">
        <v>2096</v>
      </c>
      <c r="G399" t="s">
        <v>2097</v>
      </c>
    </row>
    <row r="400" spans="1:7">
      <c r="A400">
        <v>392</v>
      </c>
      <c r="B400" t="s">
        <v>1851</v>
      </c>
      <c r="C400" t="s">
        <v>915</v>
      </c>
      <c r="D400" t="s">
        <v>928</v>
      </c>
      <c r="E400" t="s">
        <v>2098</v>
      </c>
      <c r="F400" t="s">
        <v>2072</v>
      </c>
      <c r="G400" t="s">
        <v>2099</v>
      </c>
    </row>
    <row r="401" spans="1:7">
      <c r="A401">
        <v>391</v>
      </c>
      <c r="B401" t="s">
        <v>1851</v>
      </c>
      <c r="C401" t="s">
        <v>979</v>
      </c>
      <c r="D401" t="s">
        <v>928</v>
      </c>
      <c r="E401" t="s">
        <v>2100</v>
      </c>
      <c r="F401" t="s">
        <v>2101</v>
      </c>
      <c r="G401" t="s">
        <v>2102</v>
      </c>
    </row>
    <row r="402" spans="1:7">
      <c r="A402">
        <v>390</v>
      </c>
      <c r="B402" t="s">
        <v>1851</v>
      </c>
      <c r="C402" t="s">
        <v>927</v>
      </c>
      <c r="D402" t="s">
        <v>928</v>
      </c>
      <c r="E402" t="s">
        <v>2103</v>
      </c>
      <c r="F402" t="s">
        <v>2104</v>
      </c>
      <c r="G402" t="s">
        <v>2105</v>
      </c>
    </row>
    <row r="403" spans="1:7">
      <c r="A403">
        <v>389</v>
      </c>
      <c r="B403" t="s">
        <v>1851</v>
      </c>
      <c r="C403" t="s">
        <v>979</v>
      </c>
      <c r="D403" t="s">
        <v>928</v>
      </c>
      <c r="E403" t="s">
        <v>2106</v>
      </c>
      <c r="F403" t="s">
        <v>2107</v>
      </c>
      <c r="G403" t="s">
        <v>2108</v>
      </c>
    </row>
    <row r="404" spans="1:7">
      <c r="A404">
        <v>388</v>
      </c>
      <c r="B404" t="s">
        <v>2109</v>
      </c>
      <c r="C404" t="s">
        <v>979</v>
      </c>
      <c r="D404" t="s">
        <v>928</v>
      </c>
      <c r="E404" t="s">
        <v>2110</v>
      </c>
      <c r="F404" t="s">
        <v>2111</v>
      </c>
      <c r="G404" t="s">
        <v>2112</v>
      </c>
    </row>
    <row r="405" spans="1:7">
      <c r="A405">
        <v>387</v>
      </c>
      <c r="B405" t="s">
        <v>2109</v>
      </c>
      <c r="C405" t="s">
        <v>915</v>
      </c>
      <c r="D405" t="s">
        <v>916</v>
      </c>
      <c r="E405" t="s">
        <v>2113</v>
      </c>
      <c r="F405" t="s">
        <v>2114</v>
      </c>
      <c r="G405" t="s">
        <v>2115</v>
      </c>
    </row>
    <row r="406" spans="1:7">
      <c r="A406">
        <v>386</v>
      </c>
      <c r="B406" t="s">
        <v>2109</v>
      </c>
      <c r="C406" t="s">
        <v>927</v>
      </c>
      <c r="D406" t="s">
        <v>916</v>
      </c>
      <c r="E406" t="s">
        <v>2116</v>
      </c>
      <c r="F406" t="s">
        <v>2117</v>
      </c>
      <c r="G406" t="s">
        <v>2118</v>
      </c>
    </row>
    <row r="407" spans="1:7">
      <c r="A407">
        <v>385</v>
      </c>
      <c r="B407" t="s">
        <v>2109</v>
      </c>
      <c r="C407" t="s">
        <v>979</v>
      </c>
      <c r="D407" t="s">
        <v>928</v>
      </c>
      <c r="E407" t="s">
        <v>2119</v>
      </c>
      <c r="F407" t="s">
        <v>2120</v>
      </c>
      <c r="G407" t="s">
        <v>2121</v>
      </c>
    </row>
    <row r="408" spans="1:7">
      <c r="A408">
        <v>384</v>
      </c>
      <c r="B408" t="s">
        <v>2109</v>
      </c>
      <c r="C408" t="s">
        <v>979</v>
      </c>
      <c r="D408" t="s">
        <v>928</v>
      </c>
      <c r="E408" t="s">
        <v>2122</v>
      </c>
      <c r="F408" t="s">
        <v>2123</v>
      </c>
      <c r="G408" t="s">
        <v>2124</v>
      </c>
    </row>
    <row r="409" spans="1:7">
      <c r="A409">
        <v>383</v>
      </c>
      <c r="B409" t="s">
        <v>2109</v>
      </c>
      <c r="C409" t="s">
        <v>979</v>
      </c>
      <c r="D409" t="s">
        <v>928</v>
      </c>
      <c r="E409" t="s">
        <v>2125</v>
      </c>
      <c r="F409" t="s">
        <v>2126</v>
      </c>
      <c r="G409" t="s">
        <v>2127</v>
      </c>
    </row>
    <row r="410" spans="1:7">
      <c r="A410">
        <v>382</v>
      </c>
      <c r="B410" t="s">
        <v>2109</v>
      </c>
      <c r="C410" t="s">
        <v>979</v>
      </c>
      <c r="D410" t="s">
        <v>928</v>
      </c>
      <c r="E410" t="s">
        <v>2128</v>
      </c>
      <c r="F410" t="s">
        <v>2129</v>
      </c>
      <c r="G410" t="s">
        <v>2130</v>
      </c>
    </row>
    <row r="411" spans="1:7">
      <c r="A411">
        <v>381</v>
      </c>
      <c r="B411" t="s">
        <v>2109</v>
      </c>
      <c r="C411" t="s">
        <v>927</v>
      </c>
      <c r="D411" t="s">
        <v>928</v>
      </c>
      <c r="E411" t="s">
        <v>2131</v>
      </c>
      <c r="F411" t="s">
        <v>2132</v>
      </c>
      <c r="G411" t="s">
        <v>2133</v>
      </c>
    </row>
    <row r="412" spans="1:7">
      <c r="A412">
        <v>380</v>
      </c>
      <c r="B412" t="s">
        <v>2109</v>
      </c>
      <c r="C412" t="s">
        <v>979</v>
      </c>
      <c r="D412" t="s">
        <v>928</v>
      </c>
      <c r="E412" t="s">
        <v>2134</v>
      </c>
      <c r="F412" t="s">
        <v>2135</v>
      </c>
      <c r="G412" t="s">
        <v>2136</v>
      </c>
    </row>
    <row r="413" spans="1:7">
      <c r="A413">
        <v>379</v>
      </c>
      <c r="B413" t="s">
        <v>2109</v>
      </c>
      <c r="C413" t="s">
        <v>979</v>
      </c>
      <c r="D413" t="s">
        <v>928</v>
      </c>
      <c r="E413" t="s">
        <v>2137</v>
      </c>
      <c r="F413" t="s">
        <v>2138</v>
      </c>
      <c r="G413" t="s">
        <v>2139</v>
      </c>
    </row>
    <row r="414" spans="1:7">
      <c r="A414">
        <v>378</v>
      </c>
      <c r="B414" t="s">
        <v>2109</v>
      </c>
      <c r="C414" t="s">
        <v>927</v>
      </c>
      <c r="D414" t="s">
        <v>928</v>
      </c>
      <c r="E414" t="s">
        <v>2140</v>
      </c>
      <c r="F414" t="s">
        <v>2141</v>
      </c>
      <c r="G414" t="s">
        <v>2142</v>
      </c>
    </row>
    <row r="415" spans="1:7">
      <c r="A415">
        <v>377</v>
      </c>
      <c r="B415" t="s">
        <v>2109</v>
      </c>
      <c r="C415" t="s">
        <v>979</v>
      </c>
      <c r="D415" t="s">
        <v>928</v>
      </c>
      <c r="E415" t="s">
        <v>2143</v>
      </c>
      <c r="F415" t="s">
        <v>2144</v>
      </c>
      <c r="G415" t="s">
        <v>2145</v>
      </c>
    </row>
    <row r="416" spans="1:7">
      <c r="A416">
        <v>376</v>
      </c>
      <c r="B416" t="s">
        <v>2109</v>
      </c>
      <c r="C416" t="s">
        <v>979</v>
      </c>
      <c r="D416" t="s">
        <v>928</v>
      </c>
      <c r="E416" t="s">
        <v>2146</v>
      </c>
      <c r="F416" t="s">
        <v>2147</v>
      </c>
      <c r="G416" t="s">
        <v>2148</v>
      </c>
    </row>
    <row r="417" spans="1:7">
      <c r="A417">
        <v>375</v>
      </c>
      <c r="B417" t="s">
        <v>2109</v>
      </c>
      <c r="C417" t="s">
        <v>915</v>
      </c>
      <c r="D417" t="s">
        <v>916</v>
      </c>
      <c r="E417" t="s">
        <v>2149</v>
      </c>
      <c r="F417" t="s">
        <v>2150</v>
      </c>
      <c r="G417" t="s">
        <v>2151</v>
      </c>
    </row>
    <row r="418" spans="1:7">
      <c r="A418">
        <v>374</v>
      </c>
      <c r="B418" t="s">
        <v>2109</v>
      </c>
      <c r="C418" t="s">
        <v>915</v>
      </c>
      <c r="D418" t="s">
        <v>928</v>
      </c>
      <c r="E418" t="s">
        <v>2152</v>
      </c>
      <c r="F418" t="s">
        <v>2153</v>
      </c>
      <c r="G418" t="s">
        <v>2154</v>
      </c>
    </row>
    <row r="419" spans="1:7">
      <c r="A419">
        <v>373</v>
      </c>
      <c r="B419" t="s">
        <v>2109</v>
      </c>
      <c r="C419" t="s">
        <v>927</v>
      </c>
      <c r="D419" t="s">
        <v>928</v>
      </c>
      <c r="E419" t="s">
        <v>2155</v>
      </c>
      <c r="F419" t="s">
        <v>2156</v>
      </c>
      <c r="G419" t="s">
        <v>2157</v>
      </c>
    </row>
    <row r="420" spans="1:7">
      <c r="A420">
        <v>372</v>
      </c>
      <c r="B420" t="s">
        <v>2109</v>
      </c>
      <c r="C420" t="s">
        <v>979</v>
      </c>
      <c r="D420" t="s">
        <v>928</v>
      </c>
      <c r="E420" t="s">
        <v>2158</v>
      </c>
      <c r="F420" t="s">
        <v>2159</v>
      </c>
      <c r="G420" t="s">
        <v>2160</v>
      </c>
    </row>
    <row r="421" spans="1:7">
      <c r="A421">
        <v>371</v>
      </c>
      <c r="B421" t="s">
        <v>2109</v>
      </c>
      <c r="C421" t="s">
        <v>979</v>
      </c>
      <c r="D421" t="s">
        <v>928</v>
      </c>
      <c r="E421" t="s">
        <v>2161</v>
      </c>
      <c r="F421" t="s">
        <v>2162</v>
      </c>
      <c r="G421" t="s">
        <v>2163</v>
      </c>
    </row>
    <row r="422" spans="1:7">
      <c r="A422">
        <v>370</v>
      </c>
      <c r="B422" t="s">
        <v>2109</v>
      </c>
      <c r="C422" t="s">
        <v>979</v>
      </c>
      <c r="D422" t="s">
        <v>928</v>
      </c>
      <c r="E422" t="s">
        <v>2164</v>
      </c>
      <c r="F422" t="s">
        <v>2165</v>
      </c>
      <c r="G422" t="s">
        <v>2166</v>
      </c>
    </row>
    <row r="423" spans="1:7">
      <c r="A423">
        <v>369</v>
      </c>
      <c r="B423" t="s">
        <v>2109</v>
      </c>
      <c r="C423" t="s">
        <v>979</v>
      </c>
      <c r="D423" t="s">
        <v>928</v>
      </c>
      <c r="E423" t="s">
        <v>2167</v>
      </c>
      <c r="F423" t="s">
        <v>2168</v>
      </c>
      <c r="G423" t="s">
        <v>2169</v>
      </c>
    </row>
    <row r="424" spans="1:7">
      <c r="A424">
        <v>368</v>
      </c>
      <c r="B424" t="s">
        <v>2109</v>
      </c>
      <c r="C424" t="s">
        <v>979</v>
      </c>
      <c r="D424" t="s">
        <v>928</v>
      </c>
      <c r="E424" t="s">
        <v>2170</v>
      </c>
      <c r="F424" t="s">
        <v>2171</v>
      </c>
      <c r="G424" t="s">
        <v>2172</v>
      </c>
    </row>
    <row r="425" spans="1:7">
      <c r="A425">
        <v>367</v>
      </c>
      <c r="B425" t="s">
        <v>2109</v>
      </c>
      <c r="C425" t="s">
        <v>927</v>
      </c>
      <c r="D425" t="s">
        <v>928</v>
      </c>
      <c r="E425" t="s">
        <v>2173</v>
      </c>
      <c r="F425" t="s">
        <v>2174</v>
      </c>
      <c r="G425" t="s">
        <v>2175</v>
      </c>
    </row>
    <row r="426" spans="1:7">
      <c r="A426">
        <v>366</v>
      </c>
      <c r="B426" t="s">
        <v>2109</v>
      </c>
      <c r="C426" t="s">
        <v>979</v>
      </c>
      <c r="D426" t="s">
        <v>928</v>
      </c>
      <c r="E426" t="s">
        <v>2176</v>
      </c>
      <c r="F426" t="s">
        <v>2177</v>
      </c>
      <c r="G426" t="s">
        <v>2178</v>
      </c>
    </row>
    <row r="427" spans="1:7">
      <c r="A427">
        <v>365</v>
      </c>
      <c r="B427" t="s">
        <v>2109</v>
      </c>
      <c r="C427" t="s">
        <v>979</v>
      </c>
      <c r="D427" t="s">
        <v>928</v>
      </c>
      <c r="E427" t="s">
        <v>2179</v>
      </c>
      <c r="F427" t="s">
        <v>2180</v>
      </c>
      <c r="G427" t="s">
        <v>2181</v>
      </c>
    </row>
    <row r="428" spans="1:7">
      <c r="A428">
        <v>364</v>
      </c>
      <c r="B428" t="s">
        <v>2109</v>
      </c>
      <c r="C428" t="s">
        <v>979</v>
      </c>
      <c r="D428" t="s">
        <v>928</v>
      </c>
      <c r="E428" t="s">
        <v>2182</v>
      </c>
      <c r="F428" t="s">
        <v>2183</v>
      </c>
      <c r="G428" t="s">
        <v>2184</v>
      </c>
    </row>
    <row r="429" spans="1:7">
      <c r="A429">
        <v>363</v>
      </c>
      <c r="B429" t="s">
        <v>2109</v>
      </c>
      <c r="C429" t="s">
        <v>979</v>
      </c>
      <c r="D429" t="s">
        <v>928</v>
      </c>
      <c r="E429" t="s">
        <v>2185</v>
      </c>
      <c r="F429" t="s">
        <v>2186</v>
      </c>
      <c r="G429" t="s">
        <v>2187</v>
      </c>
    </row>
    <row r="430" spans="1:7">
      <c r="A430">
        <v>362</v>
      </c>
      <c r="B430" t="s">
        <v>2109</v>
      </c>
      <c r="C430" t="s">
        <v>979</v>
      </c>
      <c r="D430" t="s">
        <v>928</v>
      </c>
      <c r="E430" t="s">
        <v>2188</v>
      </c>
      <c r="F430" t="s">
        <v>2189</v>
      </c>
      <c r="G430" t="s">
        <v>2190</v>
      </c>
    </row>
    <row r="431" spans="1:7">
      <c r="A431">
        <v>361</v>
      </c>
      <c r="B431" t="s">
        <v>2109</v>
      </c>
      <c r="C431" t="s">
        <v>979</v>
      </c>
      <c r="D431" t="s">
        <v>928</v>
      </c>
      <c r="E431" t="s">
        <v>2191</v>
      </c>
      <c r="F431" t="s">
        <v>2192</v>
      </c>
      <c r="G431" t="s">
        <v>2193</v>
      </c>
    </row>
    <row r="432" spans="1:7">
      <c r="A432">
        <v>360</v>
      </c>
      <c r="B432" t="s">
        <v>2109</v>
      </c>
      <c r="C432" t="s">
        <v>927</v>
      </c>
      <c r="D432" t="s">
        <v>928</v>
      </c>
      <c r="E432" t="s">
        <v>2194</v>
      </c>
      <c r="F432" t="s">
        <v>2195</v>
      </c>
      <c r="G432" t="s">
        <v>2196</v>
      </c>
    </row>
    <row r="433" spans="1:7">
      <c r="A433">
        <v>359</v>
      </c>
      <c r="B433" t="s">
        <v>2109</v>
      </c>
      <c r="C433" t="s">
        <v>979</v>
      </c>
      <c r="D433" t="s">
        <v>928</v>
      </c>
      <c r="E433" t="s">
        <v>2197</v>
      </c>
      <c r="F433" t="s">
        <v>2198</v>
      </c>
      <c r="G433" t="s">
        <v>2199</v>
      </c>
    </row>
    <row r="434" spans="1:7">
      <c r="A434">
        <v>358</v>
      </c>
      <c r="B434" t="s">
        <v>2109</v>
      </c>
      <c r="C434" t="s">
        <v>927</v>
      </c>
      <c r="D434" t="s">
        <v>928</v>
      </c>
      <c r="E434" t="s">
        <v>2200</v>
      </c>
      <c r="F434" t="s">
        <v>2201</v>
      </c>
      <c r="G434" t="s">
        <v>2202</v>
      </c>
    </row>
    <row r="435" spans="1:7">
      <c r="A435">
        <v>357</v>
      </c>
      <c r="B435" t="s">
        <v>2109</v>
      </c>
      <c r="C435" t="s">
        <v>979</v>
      </c>
      <c r="D435" t="s">
        <v>928</v>
      </c>
      <c r="E435" t="s">
        <v>2203</v>
      </c>
      <c r="F435" t="s">
        <v>2204</v>
      </c>
      <c r="G435" t="s">
        <v>2205</v>
      </c>
    </row>
    <row r="436" spans="1:7">
      <c r="A436">
        <v>356</v>
      </c>
      <c r="B436" t="s">
        <v>2109</v>
      </c>
      <c r="C436" t="s">
        <v>915</v>
      </c>
      <c r="D436" t="s">
        <v>916</v>
      </c>
      <c r="E436" t="s">
        <v>2206</v>
      </c>
      <c r="F436" t="s">
        <v>2207</v>
      </c>
      <c r="G436" t="s">
        <v>2208</v>
      </c>
    </row>
    <row r="437" spans="1:7">
      <c r="A437">
        <v>355</v>
      </c>
      <c r="B437" t="s">
        <v>2109</v>
      </c>
      <c r="C437" t="s">
        <v>915</v>
      </c>
      <c r="D437" t="s">
        <v>916</v>
      </c>
      <c r="E437" t="s">
        <v>2209</v>
      </c>
      <c r="F437" t="s">
        <v>2210</v>
      </c>
      <c r="G437" t="s">
        <v>2211</v>
      </c>
    </row>
    <row r="438" spans="1:7">
      <c r="A438">
        <v>354</v>
      </c>
      <c r="B438" t="s">
        <v>2109</v>
      </c>
      <c r="C438" t="s">
        <v>915</v>
      </c>
      <c r="D438" t="s">
        <v>916</v>
      </c>
      <c r="E438" t="s">
        <v>2212</v>
      </c>
      <c r="F438" t="s">
        <v>2210</v>
      </c>
      <c r="G438" t="s">
        <v>2213</v>
      </c>
    </row>
    <row r="439" spans="1:7">
      <c r="A439">
        <v>353</v>
      </c>
      <c r="B439" t="s">
        <v>2109</v>
      </c>
      <c r="C439" t="s">
        <v>927</v>
      </c>
      <c r="D439" t="s">
        <v>916</v>
      </c>
      <c r="E439" t="s">
        <v>2214</v>
      </c>
      <c r="F439" t="s">
        <v>2210</v>
      </c>
      <c r="G439" t="s">
        <v>2215</v>
      </c>
    </row>
    <row r="440" spans="1:7">
      <c r="A440">
        <v>352</v>
      </c>
      <c r="B440" t="s">
        <v>2109</v>
      </c>
      <c r="C440" t="s">
        <v>927</v>
      </c>
      <c r="D440" t="s">
        <v>916</v>
      </c>
      <c r="E440" t="s">
        <v>2216</v>
      </c>
      <c r="F440" t="s">
        <v>2217</v>
      </c>
      <c r="G440" t="s">
        <v>2218</v>
      </c>
    </row>
    <row r="441" spans="1:7">
      <c r="A441">
        <v>351</v>
      </c>
      <c r="B441" t="s">
        <v>2109</v>
      </c>
      <c r="C441" t="s">
        <v>979</v>
      </c>
      <c r="D441" t="s">
        <v>928</v>
      </c>
      <c r="E441" t="s">
        <v>2219</v>
      </c>
      <c r="F441" t="s">
        <v>2220</v>
      </c>
      <c r="G441" t="s">
        <v>2221</v>
      </c>
    </row>
    <row r="442" spans="1:7">
      <c r="A442">
        <v>350</v>
      </c>
      <c r="B442" t="s">
        <v>2109</v>
      </c>
      <c r="C442" t="s">
        <v>915</v>
      </c>
      <c r="D442" t="s">
        <v>928</v>
      </c>
      <c r="E442" t="s">
        <v>2222</v>
      </c>
      <c r="F442" t="s">
        <v>2223</v>
      </c>
      <c r="G442" t="s">
        <v>2224</v>
      </c>
    </row>
    <row r="443" spans="1:7">
      <c r="A443">
        <v>349</v>
      </c>
      <c r="B443" t="s">
        <v>2109</v>
      </c>
      <c r="C443" t="s">
        <v>979</v>
      </c>
      <c r="D443" t="s">
        <v>928</v>
      </c>
      <c r="E443" t="s">
        <v>2225</v>
      </c>
      <c r="F443" t="s">
        <v>2226</v>
      </c>
      <c r="G443" t="s">
        <v>2227</v>
      </c>
    </row>
    <row r="444" spans="1:7">
      <c r="A444">
        <v>348</v>
      </c>
      <c r="B444" t="s">
        <v>2109</v>
      </c>
      <c r="C444" t="s">
        <v>915</v>
      </c>
      <c r="D444" t="s">
        <v>928</v>
      </c>
      <c r="E444" t="s">
        <v>2228</v>
      </c>
      <c r="F444" t="s">
        <v>2229</v>
      </c>
      <c r="G444" t="s">
        <v>2230</v>
      </c>
    </row>
    <row r="445" spans="1:7">
      <c r="A445">
        <v>347</v>
      </c>
      <c r="B445" t="s">
        <v>2109</v>
      </c>
      <c r="C445" t="s">
        <v>915</v>
      </c>
      <c r="D445" t="s">
        <v>916</v>
      </c>
      <c r="E445" t="s">
        <v>2231</v>
      </c>
      <c r="F445" t="s">
        <v>2117</v>
      </c>
      <c r="G445" t="s">
        <v>2232</v>
      </c>
    </row>
    <row r="446" spans="1:7">
      <c r="A446">
        <v>346</v>
      </c>
      <c r="B446" t="s">
        <v>2109</v>
      </c>
      <c r="C446" t="s">
        <v>927</v>
      </c>
      <c r="D446" t="s">
        <v>916</v>
      </c>
      <c r="E446" t="s">
        <v>2233</v>
      </c>
      <c r="F446" t="s">
        <v>2234</v>
      </c>
      <c r="G446" t="s">
        <v>2235</v>
      </c>
    </row>
    <row r="447" spans="1:7">
      <c r="A447">
        <v>345</v>
      </c>
      <c r="B447" t="s">
        <v>2109</v>
      </c>
      <c r="C447" t="s">
        <v>927</v>
      </c>
      <c r="D447" t="s">
        <v>928</v>
      </c>
      <c r="E447" t="s">
        <v>2236</v>
      </c>
      <c r="F447" t="s">
        <v>2237</v>
      </c>
      <c r="G447" t="s">
        <v>2238</v>
      </c>
    </row>
    <row r="448" spans="1:7">
      <c r="A448">
        <v>344</v>
      </c>
      <c r="B448" t="s">
        <v>2109</v>
      </c>
      <c r="C448" t="s">
        <v>979</v>
      </c>
      <c r="D448" t="s">
        <v>928</v>
      </c>
      <c r="E448" t="s">
        <v>2239</v>
      </c>
      <c r="F448" t="s">
        <v>2240</v>
      </c>
      <c r="G448" t="s">
        <v>2241</v>
      </c>
    </row>
    <row r="449" spans="1:7">
      <c r="A449">
        <v>343</v>
      </c>
      <c r="B449" t="s">
        <v>2109</v>
      </c>
      <c r="C449" t="s">
        <v>979</v>
      </c>
      <c r="D449" t="s">
        <v>928</v>
      </c>
      <c r="E449" t="s">
        <v>2242</v>
      </c>
      <c r="F449" t="s">
        <v>2243</v>
      </c>
      <c r="G449" t="s">
        <v>2244</v>
      </c>
    </row>
    <row r="450" spans="1:7">
      <c r="A450">
        <v>342</v>
      </c>
      <c r="B450" t="s">
        <v>2109</v>
      </c>
      <c r="C450" t="s">
        <v>979</v>
      </c>
      <c r="D450" t="s">
        <v>928</v>
      </c>
      <c r="E450" t="s">
        <v>2245</v>
      </c>
      <c r="F450" t="s">
        <v>2246</v>
      </c>
      <c r="G450" t="s">
        <v>2247</v>
      </c>
    </row>
    <row r="451" spans="1:7">
      <c r="A451">
        <v>341</v>
      </c>
      <c r="B451" t="s">
        <v>2109</v>
      </c>
      <c r="C451" t="s">
        <v>979</v>
      </c>
      <c r="D451" t="s">
        <v>928</v>
      </c>
      <c r="E451" t="s">
        <v>2248</v>
      </c>
      <c r="F451" t="s">
        <v>2249</v>
      </c>
      <c r="G451" t="s">
        <v>2250</v>
      </c>
    </row>
    <row r="452" spans="1:7">
      <c r="A452">
        <v>340</v>
      </c>
      <c r="B452" t="s">
        <v>2109</v>
      </c>
      <c r="C452" t="s">
        <v>979</v>
      </c>
      <c r="D452" t="s">
        <v>928</v>
      </c>
      <c r="E452" t="s">
        <v>2251</v>
      </c>
      <c r="F452" t="s">
        <v>2252</v>
      </c>
      <c r="G452" t="s">
        <v>2253</v>
      </c>
    </row>
    <row r="453" spans="1:7">
      <c r="A453">
        <v>339</v>
      </c>
      <c r="B453" t="s">
        <v>2109</v>
      </c>
      <c r="C453" t="s">
        <v>927</v>
      </c>
      <c r="D453" t="s">
        <v>928</v>
      </c>
      <c r="E453" t="s">
        <v>2254</v>
      </c>
      <c r="F453" t="s">
        <v>2255</v>
      </c>
      <c r="G453" t="s">
        <v>2256</v>
      </c>
    </row>
    <row r="454" spans="1:7">
      <c r="A454">
        <v>338</v>
      </c>
      <c r="B454" t="s">
        <v>2109</v>
      </c>
      <c r="C454" t="s">
        <v>979</v>
      </c>
      <c r="D454" t="s">
        <v>928</v>
      </c>
      <c r="E454" t="s">
        <v>2257</v>
      </c>
      <c r="F454" t="s">
        <v>2258</v>
      </c>
      <c r="G454" t="s">
        <v>2259</v>
      </c>
    </row>
    <row r="455" spans="1:7">
      <c r="A455">
        <v>337</v>
      </c>
      <c r="B455" t="s">
        <v>2109</v>
      </c>
      <c r="C455" t="s">
        <v>979</v>
      </c>
      <c r="D455" t="s">
        <v>928</v>
      </c>
      <c r="E455" t="s">
        <v>2260</v>
      </c>
      <c r="F455" t="s">
        <v>2261</v>
      </c>
      <c r="G455" t="s">
        <v>2262</v>
      </c>
    </row>
    <row r="456" spans="1:7">
      <c r="A456">
        <v>336</v>
      </c>
      <c r="B456" t="s">
        <v>2109</v>
      </c>
      <c r="C456" t="s">
        <v>979</v>
      </c>
      <c r="D456" t="s">
        <v>928</v>
      </c>
      <c r="E456" t="s">
        <v>2263</v>
      </c>
      <c r="F456" t="s">
        <v>2264</v>
      </c>
      <c r="G456" t="s">
        <v>2265</v>
      </c>
    </row>
    <row r="457" spans="1:7">
      <c r="A457">
        <v>335</v>
      </c>
      <c r="B457" t="s">
        <v>2109</v>
      </c>
      <c r="C457" t="s">
        <v>979</v>
      </c>
      <c r="D457" t="s">
        <v>928</v>
      </c>
      <c r="E457" t="s">
        <v>2266</v>
      </c>
      <c r="F457" t="s">
        <v>2267</v>
      </c>
      <c r="G457" t="s">
        <v>2268</v>
      </c>
    </row>
    <row r="458" spans="1:7">
      <c r="A458">
        <v>334</v>
      </c>
      <c r="B458" t="s">
        <v>2109</v>
      </c>
      <c r="C458" t="s">
        <v>979</v>
      </c>
      <c r="D458" t="s">
        <v>928</v>
      </c>
      <c r="E458" t="s">
        <v>2269</v>
      </c>
      <c r="F458" t="s">
        <v>2270</v>
      </c>
      <c r="G458" t="s">
        <v>2271</v>
      </c>
    </row>
    <row r="459" spans="1:7">
      <c r="A459">
        <v>333</v>
      </c>
      <c r="B459" t="s">
        <v>2109</v>
      </c>
      <c r="C459" t="s">
        <v>979</v>
      </c>
      <c r="D459" t="s">
        <v>928</v>
      </c>
      <c r="E459" t="s">
        <v>2272</v>
      </c>
      <c r="F459" t="s">
        <v>2273</v>
      </c>
      <c r="G459" t="s">
        <v>2274</v>
      </c>
    </row>
    <row r="460" spans="1:7">
      <c r="A460">
        <v>332</v>
      </c>
      <c r="B460" t="s">
        <v>2109</v>
      </c>
      <c r="C460" t="s">
        <v>979</v>
      </c>
      <c r="D460" t="s">
        <v>928</v>
      </c>
      <c r="E460" t="s">
        <v>2275</v>
      </c>
      <c r="F460" t="s">
        <v>2276</v>
      </c>
      <c r="G460" t="s">
        <v>2277</v>
      </c>
    </row>
    <row r="461" spans="1:7">
      <c r="A461">
        <v>331</v>
      </c>
      <c r="B461" t="s">
        <v>2109</v>
      </c>
      <c r="C461" t="s">
        <v>927</v>
      </c>
      <c r="D461" t="s">
        <v>928</v>
      </c>
      <c r="E461" t="s">
        <v>2278</v>
      </c>
      <c r="F461" t="s">
        <v>2279</v>
      </c>
      <c r="G461" t="s">
        <v>2280</v>
      </c>
    </row>
    <row r="462" spans="1:7">
      <c r="A462">
        <v>330</v>
      </c>
      <c r="B462" t="s">
        <v>2109</v>
      </c>
      <c r="C462" t="s">
        <v>979</v>
      </c>
      <c r="D462" t="s">
        <v>928</v>
      </c>
      <c r="E462" t="s">
        <v>2281</v>
      </c>
      <c r="F462" t="s">
        <v>2282</v>
      </c>
      <c r="G462" t="s">
        <v>2283</v>
      </c>
    </row>
    <row r="463" spans="1:7">
      <c r="A463">
        <v>329</v>
      </c>
      <c r="B463" t="s">
        <v>2109</v>
      </c>
      <c r="C463" t="s">
        <v>979</v>
      </c>
      <c r="D463" t="s">
        <v>928</v>
      </c>
      <c r="E463" t="s">
        <v>2284</v>
      </c>
      <c r="F463" t="s">
        <v>2285</v>
      </c>
      <c r="G463" t="s">
        <v>2286</v>
      </c>
    </row>
    <row r="464" spans="1:7">
      <c r="A464">
        <v>328</v>
      </c>
      <c r="B464" t="s">
        <v>2109</v>
      </c>
      <c r="C464" t="s">
        <v>979</v>
      </c>
      <c r="D464" t="s">
        <v>928</v>
      </c>
      <c r="E464" t="s">
        <v>2287</v>
      </c>
      <c r="F464" t="s">
        <v>2288</v>
      </c>
      <c r="G464" t="s">
        <v>2289</v>
      </c>
    </row>
    <row r="465" spans="1:7">
      <c r="A465">
        <v>327</v>
      </c>
      <c r="B465" t="s">
        <v>2109</v>
      </c>
      <c r="C465" t="s">
        <v>979</v>
      </c>
      <c r="D465" t="s">
        <v>928</v>
      </c>
      <c r="E465" t="s">
        <v>2290</v>
      </c>
      <c r="F465" t="s">
        <v>2291</v>
      </c>
      <c r="G465" t="s">
        <v>2292</v>
      </c>
    </row>
    <row r="466" spans="1:7">
      <c r="A466">
        <v>326</v>
      </c>
      <c r="B466" t="s">
        <v>2109</v>
      </c>
      <c r="C466" t="s">
        <v>979</v>
      </c>
      <c r="D466" t="s">
        <v>928</v>
      </c>
      <c r="E466" t="s">
        <v>2293</v>
      </c>
      <c r="F466" t="s">
        <v>2294</v>
      </c>
      <c r="G466" t="s">
        <v>2295</v>
      </c>
    </row>
    <row r="467" spans="1:7">
      <c r="A467">
        <v>325</v>
      </c>
      <c r="B467" t="s">
        <v>2109</v>
      </c>
      <c r="C467" t="s">
        <v>979</v>
      </c>
      <c r="D467" t="s">
        <v>928</v>
      </c>
      <c r="E467" t="s">
        <v>2296</v>
      </c>
      <c r="F467" t="s">
        <v>2297</v>
      </c>
      <c r="G467" t="s">
        <v>2298</v>
      </c>
    </row>
    <row r="468" spans="1:7">
      <c r="A468">
        <v>324</v>
      </c>
      <c r="B468" t="s">
        <v>2109</v>
      </c>
      <c r="C468" t="s">
        <v>979</v>
      </c>
      <c r="D468" t="s">
        <v>928</v>
      </c>
      <c r="E468" t="s">
        <v>2299</v>
      </c>
      <c r="F468" t="s">
        <v>2300</v>
      </c>
      <c r="G468" t="s">
        <v>2301</v>
      </c>
    </row>
    <row r="469" spans="1:7">
      <c r="A469">
        <v>323</v>
      </c>
      <c r="B469" t="s">
        <v>2109</v>
      </c>
      <c r="C469" t="s">
        <v>915</v>
      </c>
      <c r="D469" t="s">
        <v>928</v>
      </c>
      <c r="E469" t="s">
        <v>2302</v>
      </c>
      <c r="F469" t="s">
        <v>2303</v>
      </c>
      <c r="G469" t="s">
        <v>2304</v>
      </c>
    </row>
    <row r="470" spans="1:7">
      <c r="A470">
        <v>322</v>
      </c>
      <c r="B470" t="s">
        <v>2109</v>
      </c>
      <c r="C470" t="s">
        <v>927</v>
      </c>
      <c r="D470" t="s">
        <v>928</v>
      </c>
      <c r="E470" t="s">
        <v>2305</v>
      </c>
      <c r="F470" t="s">
        <v>2306</v>
      </c>
      <c r="G470" t="s">
        <v>2307</v>
      </c>
    </row>
    <row r="471" spans="1:7">
      <c r="A471">
        <v>321</v>
      </c>
      <c r="B471" t="s">
        <v>2109</v>
      </c>
      <c r="C471" t="s">
        <v>979</v>
      </c>
      <c r="D471" t="s">
        <v>928</v>
      </c>
      <c r="E471" t="s">
        <v>2308</v>
      </c>
      <c r="F471" t="s">
        <v>2309</v>
      </c>
      <c r="G471" t="s">
        <v>2310</v>
      </c>
    </row>
    <row r="472" spans="1:7">
      <c r="A472">
        <v>320</v>
      </c>
      <c r="B472" t="s">
        <v>2109</v>
      </c>
      <c r="C472" t="s">
        <v>1011</v>
      </c>
      <c r="D472" t="s">
        <v>928</v>
      </c>
      <c r="E472" t="s">
        <v>2311</v>
      </c>
      <c r="F472" t="s">
        <v>2312</v>
      </c>
      <c r="G472" t="s">
        <v>2313</v>
      </c>
    </row>
    <row r="473" spans="1:7">
      <c r="A473">
        <v>319</v>
      </c>
      <c r="B473" t="s">
        <v>2109</v>
      </c>
      <c r="C473" t="s">
        <v>979</v>
      </c>
      <c r="D473" t="s">
        <v>928</v>
      </c>
      <c r="E473" t="s">
        <v>2314</v>
      </c>
      <c r="F473" t="s">
        <v>2315</v>
      </c>
      <c r="G473" t="s">
        <v>2316</v>
      </c>
    </row>
    <row r="474" spans="1:7">
      <c r="A474">
        <v>318</v>
      </c>
      <c r="B474" t="s">
        <v>2109</v>
      </c>
      <c r="C474" t="s">
        <v>927</v>
      </c>
      <c r="D474" t="s">
        <v>916</v>
      </c>
      <c r="E474" t="s">
        <v>2317</v>
      </c>
      <c r="F474" t="s">
        <v>2318</v>
      </c>
      <c r="G474" t="s">
        <v>2319</v>
      </c>
    </row>
    <row r="475" spans="1:7">
      <c r="A475">
        <v>317</v>
      </c>
      <c r="B475" t="s">
        <v>2109</v>
      </c>
      <c r="C475" t="s">
        <v>979</v>
      </c>
      <c r="D475" t="s">
        <v>928</v>
      </c>
      <c r="E475" t="s">
        <v>2320</v>
      </c>
      <c r="F475" t="s">
        <v>2321</v>
      </c>
      <c r="G475" t="s">
        <v>2322</v>
      </c>
    </row>
    <row r="476" spans="1:7">
      <c r="A476">
        <v>316</v>
      </c>
      <c r="B476" t="s">
        <v>2109</v>
      </c>
      <c r="C476" t="s">
        <v>979</v>
      </c>
      <c r="D476" t="s">
        <v>928</v>
      </c>
      <c r="E476" t="s">
        <v>2323</v>
      </c>
      <c r="F476" t="s">
        <v>2324</v>
      </c>
      <c r="G476" t="s">
        <v>2325</v>
      </c>
    </row>
    <row r="477" spans="1:7">
      <c r="A477">
        <v>315</v>
      </c>
      <c r="B477" t="s">
        <v>2109</v>
      </c>
      <c r="C477" t="s">
        <v>915</v>
      </c>
      <c r="D477" t="s">
        <v>916</v>
      </c>
      <c r="E477" t="s">
        <v>2326</v>
      </c>
      <c r="F477" t="s">
        <v>2327</v>
      </c>
      <c r="G477" t="s">
        <v>2328</v>
      </c>
    </row>
    <row r="478" spans="1:7">
      <c r="A478">
        <v>314</v>
      </c>
      <c r="B478" t="s">
        <v>2109</v>
      </c>
      <c r="C478" t="s">
        <v>927</v>
      </c>
      <c r="D478" t="s">
        <v>916</v>
      </c>
      <c r="E478" t="s">
        <v>2329</v>
      </c>
      <c r="F478" t="s">
        <v>2327</v>
      </c>
      <c r="G478" t="s">
        <v>2330</v>
      </c>
    </row>
    <row r="479" spans="1:7">
      <c r="A479">
        <v>313</v>
      </c>
      <c r="B479" t="s">
        <v>2109</v>
      </c>
      <c r="C479" t="s">
        <v>979</v>
      </c>
      <c r="D479" t="s">
        <v>928</v>
      </c>
      <c r="E479" t="s">
        <v>2331</v>
      </c>
      <c r="F479" t="s">
        <v>2332</v>
      </c>
      <c r="G479" t="s">
        <v>2333</v>
      </c>
    </row>
    <row r="480" spans="1:7">
      <c r="A480">
        <v>312</v>
      </c>
      <c r="B480" t="s">
        <v>2109</v>
      </c>
      <c r="C480" t="s">
        <v>915</v>
      </c>
      <c r="D480" t="s">
        <v>916</v>
      </c>
      <c r="E480" t="s">
        <v>2334</v>
      </c>
      <c r="F480" t="s">
        <v>2335</v>
      </c>
      <c r="G480" t="s">
        <v>2336</v>
      </c>
    </row>
    <row r="481" spans="1:7">
      <c r="A481">
        <v>311</v>
      </c>
      <c r="B481" t="s">
        <v>2109</v>
      </c>
      <c r="C481" t="s">
        <v>979</v>
      </c>
      <c r="D481" t="s">
        <v>928</v>
      </c>
      <c r="E481" t="s">
        <v>2337</v>
      </c>
      <c r="F481" t="s">
        <v>2338</v>
      </c>
      <c r="G481" t="s">
        <v>2339</v>
      </c>
    </row>
    <row r="482" spans="1:7">
      <c r="A482">
        <v>310</v>
      </c>
      <c r="B482" t="s">
        <v>2109</v>
      </c>
      <c r="C482" t="s">
        <v>1011</v>
      </c>
      <c r="D482" t="s">
        <v>928</v>
      </c>
      <c r="E482" t="s">
        <v>2340</v>
      </c>
      <c r="F482" t="s">
        <v>2341</v>
      </c>
      <c r="G482" t="s">
        <v>2342</v>
      </c>
    </row>
    <row r="483" spans="1:7">
      <c r="A483">
        <v>309</v>
      </c>
      <c r="B483" t="s">
        <v>2109</v>
      </c>
      <c r="C483" t="s">
        <v>1011</v>
      </c>
      <c r="D483" t="s">
        <v>928</v>
      </c>
      <c r="E483" t="s">
        <v>2343</v>
      </c>
      <c r="F483" t="s">
        <v>2344</v>
      </c>
      <c r="G483" t="s">
        <v>2345</v>
      </c>
    </row>
    <row r="484" spans="1:7">
      <c r="A484">
        <v>308</v>
      </c>
      <c r="B484" t="s">
        <v>2109</v>
      </c>
      <c r="C484" t="s">
        <v>927</v>
      </c>
      <c r="D484" t="s">
        <v>928</v>
      </c>
      <c r="E484" t="s">
        <v>2346</v>
      </c>
      <c r="F484" t="s">
        <v>2347</v>
      </c>
      <c r="G484" t="s">
        <v>2348</v>
      </c>
    </row>
    <row r="485" spans="1:7">
      <c r="A485">
        <v>307</v>
      </c>
      <c r="B485" t="s">
        <v>2109</v>
      </c>
      <c r="C485" t="s">
        <v>927</v>
      </c>
      <c r="D485" t="s">
        <v>928</v>
      </c>
      <c r="E485" t="s">
        <v>2349</v>
      </c>
      <c r="F485" t="s">
        <v>2350</v>
      </c>
      <c r="G485" t="s">
        <v>2351</v>
      </c>
    </row>
    <row r="486" spans="1:7">
      <c r="A486">
        <v>306</v>
      </c>
      <c r="B486" t="s">
        <v>2109</v>
      </c>
      <c r="C486" t="s">
        <v>1011</v>
      </c>
      <c r="D486" t="s">
        <v>928</v>
      </c>
      <c r="E486" t="s">
        <v>2352</v>
      </c>
      <c r="F486" t="s">
        <v>2353</v>
      </c>
      <c r="G486" t="s">
        <v>2354</v>
      </c>
    </row>
    <row r="487" spans="1:7">
      <c r="A487">
        <v>305</v>
      </c>
      <c r="B487" t="s">
        <v>2109</v>
      </c>
      <c r="C487" t="s">
        <v>927</v>
      </c>
      <c r="D487" t="s">
        <v>928</v>
      </c>
      <c r="E487" t="s">
        <v>2355</v>
      </c>
      <c r="F487" t="s">
        <v>2356</v>
      </c>
      <c r="G487" t="s">
        <v>2357</v>
      </c>
    </row>
    <row r="488" spans="1:7">
      <c r="A488">
        <v>304</v>
      </c>
      <c r="B488" t="s">
        <v>2109</v>
      </c>
      <c r="C488" t="s">
        <v>979</v>
      </c>
      <c r="D488" t="s">
        <v>928</v>
      </c>
      <c r="E488" t="s">
        <v>2358</v>
      </c>
      <c r="F488" t="s">
        <v>2359</v>
      </c>
      <c r="G488" t="s">
        <v>2360</v>
      </c>
    </row>
    <row r="489" spans="1:7">
      <c r="A489">
        <v>303</v>
      </c>
      <c r="B489" t="s">
        <v>2109</v>
      </c>
      <c r="C489" t="s">
        <v>979</v>
      </c>
      <c r="D489" t="s">
        <v>928</v>
      </c>
      <c r="E489" t="s">
        <v>2361</v>
      </c>
      <c r="F489" t="s">
        <v>2362</v>
      </c>
      <c r="G489" t="s">
        <v>2363</v>
      </c>
    </row>
    <row r="490" spans="1:7">
      <c r="A490">
        <v>302</v>
      </c>
      <c r="B490" t="s">
        <v>2109</v>
      </c>
      <c r="C490" t="s">
        <v>927</v>
      </c>
      <c r="D490" t="s">
        <v>916</v>
      </c>
      <c r="E490" t="s">
        <v>2364</v>
      </c>
      <c r="F490" t="s">
        <v>2335</v>
      </c>
      <c r="G490" t="s">
        <v>2365</v>
      </c>
    </row>
    <row r="491" spans="1:7">
      <c r="A491">
        <v>301</v>
      </c>
      <c r="B491" t="s">
        <v>2109</v>
      </c>
      <c r="C491" t="s">
        <v>927</v>
      </c>
      <c r="D491" t="s">
        <v>928</v>
      </c>
      <c r="E491" t="s">
        <v>2366</v>
      </c>
      <c r="F491" t="s">
        <v>2367</v>
      </c>
      <c r="G491" t="s">
        <v>2368</v>
      </c>
    </row>
    <row r="492" spans="1:7">
      <c r="A492">
        <v>300</v>
      </c>
      <c r="B492" t="s">
        <v>2109</v>
      </c>
      <c r="C492" t="s">
        <v>979</v>
      </c>
      <c r="D492" t="s">
        <v>928</v>
      </c>
      <c r="E492" t="s">
        <v>2369</v>
      </c>
      <c r="F492" t="s">
        <v>2370</v>
      </c>
      <c r="G492" t="s">
        <v>2371</v>
      </c>
    </row>
    <row r="493" spans="1:7">
      <c r="A493">
        <v>299</v>
      </c>
      <c r="B493" t="s">
        <v>2109</v>
      </c>
      <c r="C493" t="s">
        <v>979</v>
      </c>
      <c r="D493" t="s">
        <v>928</v>
      </c>
      <c r="E493" t="s">
        <v>2372</v>
      </c>
      <c r="F493" t="s">
        <v>2373</v>
      </c>
      <c r="G493" t="s">
        <v>2374</v>
      </c>
    </row>
    <row r="494" spans="1:7">
      <c r="A494">
        <v>298</v>
      </c>
      <c r="B494" t="s">
        <v>2109</v>
      </c>
      <c r="C494" t="s">
        <v>915</v>
      </c>
      <c r="D494" t="s">
        <v>928</v>
      </c>
      <c r="E494" t="s">
        <v>2375</v>
      </c>
      <c r="F494" t="s">
        <v>2376</v>
      </c>
      <c r="G494" t="s">
        <v>2377</v>
      </c>
    </row>
    <row r="495" spans="1:7">
      <c r="A495">
        <v>297</v>
      </c>
      <c r="B495" t="s">
        <v>2109</v>
      </c>
      <c r="C495" t="s">
        <v>915</v>
      </c>
      <c r="D495" t="s">
        <v>955</v>
      </c>
      <c r="E495" t="s">
        <v>2378</v>
      </c>
      <c r="F495" t="s">
        <v>2379</v>
      </c>
      <c r="G495" t="s">
        <v>2380</v>
      </c>
    </row>
    <row r="496" spans="1:7">
      <c r="A496">
        <v>296</v>
      </c>
      <c r="B496" t="s">
        <v>2109</v>
      </c>
      <c r="C496" t="s">
        <v>920</v>
      </c>
      <c r="D496" t="s">
        <v>916</v>
      </c>
      <c r="E496" t="s">
        <v>2381</v>
      </c>
      <c r="F496" t="s">
        <v>2382</v>
      </c>
      <c r="G496" t="s">
        <v>2383</v>
      </c>
    </row>
    <row r="497" spans="1:7">
      <c r="A497">
        <v>295</v>
      </c>
      <c r="B497" t="s">
        <v>2109</v>
      </c>
      <c r="C497" t="s">
        <v>915</v>
      </c>
      <c r="D497" t="s">
        <v>916</v>
      </c>
      <c r="E497" t="s">
        <v>2384</v>
      </c>
      <c r="F497" t="s">
        <v>2318</v>
      </c>
      <c r="G497" t="s">
        <v>2385</v>
      </c>
    </row>
    <row r="498" spans="1:7">
      <c r="A498">
        <v>294</v>
      </c>
      <c r="B498" t="s">
        <v>2109</v>
      </c>
      <c r="C498" t="s">
        <v>920</v>
      </c>
      <c r="D498" t="s">
        <v>916</v>
      </c>
      <c r="E498" t="s">
        <v>2386</v>
      </c>
      <c r="F498" t="s">
        <v>2387</v>
      </c>
      <c r="G498" t="s">
        <v>2388</v>
      </c>
    </row>
    <row r="499" spans="1:7">
      <c r="A499">
        <v>293</v>
      </c>
      <c r="B499" t="s">
        <v>2109</v>
      </c>
      <c r="C499" t="s">
        <v>915</v>
      </c>
      <c r="D499" t="s">
        <v>916</v>
      </c>
      <c r="E499" t="s">
        <v>2389</v>
      </c>
      <c r="F499" t="s">
        <v>2390</v>
      </c>
      <c r="G499" t="s">
        <v>2391</v>
      </c>
    </row>
    <row r="500" spans="1:7">
      <c r="A500">
        <v>292</v>
      </c>
      <c r="B500" t="s">
        <v>2109</v>
      </c>
      <c r="C500" t="s">
        <v>927</v>
      </c>
      <c r="D500" t="s">
        <v>916</v>
      </c>
      <c r="E500" t="s">
        <v>2392</v>
      </c>
      <c r="F500" t="s">
        <v>2393</v>
      </c>
      <c r="G500" t="s">
        <v>2394</v>
      </c>
    </row>
    <row r="501" spans="1:7">
      <c r="A501">
        <v>291</v>
      </c>
      <c r="B501" t="s">
        <v>2109</v>
      </c>
      <c r="C501" t="s">
        <v>979</v>
      </c>
      <c r="D501" t="s">
        <v>928</v>
      </c>
      <c r="E501" t="s">
        <v>2395</v>
      </c>
      <c r="F501" t="s">
        <v>2396</v>
      </c>
      <c r="G501" t="s">
        <v>2397</v>
      </c>
    </row>
    <row r="502" spans="1:7">
      <c r="A502">
        <v>290</v>
      </c>
      <c r="B502" t="s">
        <v>2109</v>
      </c>
      <c r="C502" t="s">
        <v>979</v>
      </c>
      <c r="D502" t="s">
        <v>928</v>
      </c>
      <c r="E502" t="s">
        <v>2398</v>
      </c>
      <c r="F502" t="s">
        <v>2399</v>
      </c>
      <c r="G502" t="s">
        <v>2400</v>
      </c>
    </row>
    <row r="503" spans="1:7">
      <c r="A503">
        <v>289</v>
      </c>
      <c r="B503" t="s">
        <v>2109</v>
      </c>
      <c r="C503" t="s">
        <v>927</v>
      </c>
      <c r="D503" t="s">
        <v>928</v>
      </c>
      <c r="E503" t="s">
        <v>2401</v>
      </c>
      <c r="F503" t="s">
        <v>2402</v>
      </c>
      <c r="G503" t="s">
        <v>2403</v>
      </c>
    </row>
    <row r="504" spans="1:7">
      <c r="A504">
        <v>288</v>
      </c>
      <c r="B504" t="s">
        <v>2109</v>
      </c>
      <c r="C504" t="s">
        <v>979</v>
      </c>
      <c r="D504" t="s">
        <v>928</v>
      </c>
      <c r="E504" t="s">
        <v>2404</v>
      </c>
      <c r="F504" t="s">
        <v>2405</v>
      </c>
      <c r="G504" t="s">
        <v>2406</v>
      </c>
    </row>
    <row r="505" spans="1:7">
      <c r="A505">
        <v>287</v>
      </c>
      <c r="B505" t="s">
        <v>2109</v>
      </c>
      <c r="C505" t="s">
        <v>915</v>
      </c>
      <c r="D505" t="s">
        <v>928</v>
      </c>
      <c r="E505" t="s">
        <v>2407</v>
      </c>
      <c r="F505" t="s">
        <v>2408</v>
      </c>
      <c r="G505" t="s">
        <v>2409</v>
      </c>
    </row>
    <row r="506" spans="1:7">
      <c r="A506">
        <v>286</v>
      </c>
      <c r="B506" t="s">
        <v>2109</v>
      </c>
      <c r="C506" t="s">
        <v>915</v>
      </c>
      <c r="D506" t="s">
        <v>916</v>
      </c>
      <c r="E506" t="s">
        <v>2410</v>
      </c>
      <c r="F506" t="s">
        <v>2411</v>
      </c>
      <c r="G506" t="s">
        <v>2412</v>
      </c>
    </row>
    <row r="507" spans="1:7">
      <c r="A507">
        <v>285</v>
      </c>
      <c r="B507" t="s">
        <v>2109</v>
      </c>
      <c r="C507" t="s">
        <v>927</v>
      </c>
      <c r="D507" t="s">
        <v>916</v>
      </c>
      <c r="E507" t="s">
        <v>2413</v>
      </c>
      <c r="F507" t="s">
        <v>2414</v>
      </c>
      <c r="G507" t="s">
        <v>2415</v>
      </c>
    </row>
    <row r="508" spans="1:7">
      <c r="A508">
        <v>284</v>
      </c>
      <c r="B508" t="s">
        <v>2109</v>
      </c>
      <c r="C508" t="s">
        <v>927</v>
      </c>
      <c r="D508" t="s">
        <v>928</v>
      </c>
      <c r="E508" t="s">
        <v>2416</v>
      </c>
      <c r="F508" t="s">
        <v>2417</v>
      </c>
      <c r="G508" t="s">
        <v>2418</v>
      </c>
    </row>
    <row r="509" spans="1:7">
      <c r="A509">
        <v>283</v>
      </c>
      <c r="B509" t="s">
        <v>2109</v>
      </c>
      <c r="C509" t="s">
        <v>979</v>
      </c>
      <c r="D509" t="s">
        <v>928</v>
      </c>
      <c r="E509" t="s">
        <v>2419</v>
      </c>
      <c r="F509" t="s">
        <v>2420</v>
      </c>
      <c r="G509" t="s">
        <v>2421</v>
      </c>
    </row>
    <row r="510" spans="1:7">
      <c r="A510">
        <v>282</v>
      </c>
      <c r="B510" t="s">
        <v>2109</v>
      </c>
      <c r="C510" t="s">
        <v>979</v>
      </c>
      <c r="D510" t="s">
        <v>928</v>
      </c>
      <c r="E510" t="s">
        <v>2422</v>
      </c>
      <c r="F510" t="s">
        <v>2423</v>
      </c>
      <c r="G510" t="s">
        <v>2424</v>
      </c>
    </row>
    <row r="511" spans="1:7">
      <c r="A511">
        <v>281</v>
      </c>
      <c r="B511" t="s">
        <v>2109</v>
      </c>
      <c r="C511" t="s">
        <v>927</v>
      </c>
      <c r="D511" t="s">
        <v>916</v>
      </c>
      <c r="E511" t="s">
        <v>2425</v>
      </c>
      <c r="F511" t="s">
        <v>2426</v>
      </c>
      <c r="G511" t="s">
        <v>2427</v>
      </c>
    </row>
    <row r="512" spans="1:7">
      <c r="A512">
        <v>280</v>
      </c>
      <c r="B512" t="s">
        <v>2109</v>
      </c>
      <c r="C512" t="s">
        <v>979</v>
      </c>
      <c r="D512" t="s">
        <v>928</v>
      </c>
      <c r="E512" t="s">
        <v>2428</v>
      </c>
      <c r="F512" t="s">
        <v>2429</v>
      </c>
      <c r="G512" t="s">
        <v>2430</v>
      </c>
    </row>
    <row r="513" spans="1:7">
      <c r="A513">
        <v>279</v>
      </c>
      <c r="B513" t="s">
        <v>2109</v>
      </c>
      <c r="C513" t="s">
        <v>979</v>
      </c>
      <c r="D513" t="s">
        <v>928</v>
      </c>
      <c r="E513" t="s">
        <v>2431</v>
      </c>
      <c r="F513" t="s">
        <v>2432</v>
      </c>
      <c r="G513" t="s">
        <v>2433</v>
      </c>
    </row>
    <row r="514" spans="1:7">
      <c r="A514">
        <v>278</v>
      </c>
      <c r="B514" t="s">
        <v>2434</v>
      </c>
      <c r="C514" t="s">
        <v>927</v>
      </c>
      <c r="D514" t="s">
        <v>928</v>
      </c>
      <c r="E514" t="s">
        <v>2435</v>
      </c>
      <c r="F514" t="s">
        <v>2436</v>
      </c>
      <c r="G514" t="s">
        <v>2437</v>
      </c>
    </row>
    <row r="515" spans="1:7">
      <c r="A515">
        <v>277</v>
      </c>
      <c r="B515" t="s">
        <v>2434</v>
      </c>
      <c r="C515" t="s">
        <v>979</v>
      </c>
      <c r="D515" t="s">
        <v>928</v>
      </c>
      <c r="E515" t="s">
        <v>2438</v>
      </c>
      <c r="F515" t="s">
        <v>2439</v>
      </c>
      <c r="G515" t="s">
        <v>2440</v>
      </c>
    </row>
    <row r="516" spans="1:7">
      <c r="A516">
        <v>276</v>
      </c>
      <c r="B516" t="s">
        <v>2434</v>
      </c>
      <c r="C516" t="s">
        <v>927</v>
      </c>
      <c r="D516" t="s">
        <v>928</v>
      </c>
      <c r="E516" t="s">
        <v>2441</v>
      </c>
      <c r="F516" t="s">
        <v>2442</v>
      </c>
      <c r="G516" t="s">
        <v>2443</v>
      </c>
    </row>
    <row r="517" spans="1:7">
      <c r="A517">
        <v>275</v>
      </c>
      <c r="B517" t="s">
        <v>2434</v>
      </c>
      <c r="C517" t="s">
        <v>979</v>
      </c>
      <c r="D517" t="s">
        <v>928</v>
      </c>
      <c r="E517" t="s">
        <v>2444</v>
      </c>
      <c r="F517" t="s">
        <v>2445</v>
      </c>
      <c r="G517" t="s">
        <v>2446</v>
      </c>
    </row>
    <row r="518" spans="1:7">
      <c r="A518">
        <v>274</v>
      </c>
      <c r="B518" t="s">
        <v>2434</v>
      </c>
      <c r="C518" t="s">
        <v>979</v>
      </c>
      <c r="D518" t="s">
        <v>928</v>
      </c>
      <c r="E518" t="s">
        <v>2447</v>
      </c>
      <c r="F518" t="s">
        <v>2448</v>
      </c>
      <c r="G518" t="s">
        <v>2449</v>
      </c>
    </row>
    <row r="519" spans="1:7">
      <c r="A519">
        <v>273</v>
      </c>
      <c r="B519" t="s">
        <v>2434</v>
      </c>
      <c r="C519" t="s">
        <v>915</v>
      </c>
      <c r="D519" t="s">
        <v>916</v>
      </c>
      <c r="E519" t="s">
        <v>2450</v>
      </c>
      <c r="F519" t="s">
        <v>2451</v>
      </c>
      <c r="G519" t="s">
        <v>2452</v>
      </c>
    </row>
    <row r="520" spans="1:7">
      <c r="A520">
        <v>272</v>
      </c>
      <c r="B520" t="s">
        <v>2434</v>
      </c>
      <c r="C520" t="s">
        <v>979</v>
      </c>
      <c r="D520" t="s">
        <v>928</v>
      </c>
      <c r="E520" t="s">
        <v>2453</v>
      </c>
      <c r="F520" t="s">
        <v>2454</v>
      </c>
      <c r="G520" t="s">
        <v>2455</v>
      </c>
    </row>
    <row r="521" spans="1:7">
      <c r="A521">
        <v>271</v>
      </c>
      <c r="B521" t="s">
        <v>2434</v>
      </c>
      <c r="C521" t="s">
        <v>979</v>
      </c>
      <c r="D521" t="s">
        <v>928</v>
      </c>
      <c r="E521" t="s">
        <v>2456</v>
      </c>
      <c r="F521" t="s">
        <v>2457</v>
      </c>
      <c r="G521" t="s">
        <v>2458</v>
      </c>
    </row>
    <row r="522" spans="1:7">
      <c r="A522">
        <v>270</v>
      </c>
      <c r="B522" t="s">
        <v>2434</v>
      </c>
      <c r="C522" t="s">
        <v>920</v>
      </c>
      <c r="D522" t="s">
        <v>928</v>
      </c>
      <c r="E522" t="s">
        <v>2459</v>
      </c>
      <c r="F522" t="s">
        <v>2460</v>
      </c>
      <c r="G522" t="s">
        <v>2461</v>
      </c>
    </row>
    <row r="523" spans="1:7">
      <c r="A523">
        <v>269</v>
      </c>
      <c r="B523" t="s">
        <v>2434</v>
      </c>
      <c r="C523" t="s">
        <v>979</v>
      </c>
      <c r="D523" t="s">
        <v>928</v>
      </c>
      <c r="E523" t="s">
        <v>2462</v>
      </c>
      <c r="F523" t="s">
        <v>2463</v>
      </c>
      <c r="G523" t="s">
        <v>2464</v>
      </c>
    </row>
    <row r="524" spans="1:7">
      <c r="A524">
        <v>268</v>
      </c>
      <c r="B524" t="s">
        <v>2434</v>
      </c>
      <c r="C524" t="s">
        <v>979</v>
      </c>
      <c r="D524" t="s">
        <v>928</v>
      </c>
      <c r="E524" t="s">
        <v>2465</v>
      </c>
      <c r="F524" t="s">
        <v>2466</v>
      </c>
      <c r="G524" t="s">
        <v>2467</v>
      </c>
    </row>
    <row r="525" spans="1:7">
      <c r="A525">
        <v>267</v>
      </c>
      <c r="B525" t="s">
        <v>2434</v>
      </c>
      <c r="C525" t="s">
        <v>979</v>
      </c>
      <c r="D525" t="s">
        <v>928</v>
      </c>
      <c r="E525" t="s">
        <v>2468</v>
      </c>
      <c r="F525" t="s">
        <v>2469</v>
      </c>
      <c r="G525" t="s">
        <v>2470</v>
      </c>
    </row>
    <row r="526" spans="1:7">
      <c r="A526">
        <v>266</v>
      </c>
      <c r="B526" t="s">
        <v>2434</v>
      </c>
      <c r="C526" t="s">
        <v>915</v>
      </c>
      <c r="D526" t="s">
        <v>916</v>
      </c>
      <c r="E526" t="s">
        <v>2471</v>
      </c>
      <c r="F526" t="s">
        <v>2472</v>
      </c>
      <c r="G526" t="s">
        <v>2473</v>
      </c>
    </row>
    <row r="527" spans="1:7">
      <c r="A527">
        <v>265</v>
      </c>
      <c r="B527" t="s">
        <v>2434</v>
      </c>
      <c r="C527" t="s">
        <v>927</v>
      </c>
      <c r="D527" t="s">
        <v>916</v>
      </c>
      <c r="E527" t="s">
        <v>2474</v>
      </c>
      <c r="F527" t="s">
        <v>2472</v>
      </c>
      <c r="G527" t="s">
        <v>2475</v>
      </c>
    </row>
    <row r="528" spans="1:7">
      <c r="A528">
        <v>264</v>
      </c>
      <c r="B528" t="s">
        <v>2434</v>
      </c>
      <c r="C528" t="s">
        <v>979</v>
      </c>
      <c r="D528" t="s">
        <v>928</v>
      </c>
      <c r="E528" t="s">
        <v>2476</v>
      </c>
      <c r="F528" t="s">
        <v>2477</v>
      </c>
      <c r="G528" t="s">
        <v>2478</v>
      </c>
    </row>
    <row r="529" spans="1:7">
      <c r="A529">
        <v>263</v>
      </c>
      <c r="B529" t="s">
        <v>2434</v>
      </c>
      <c r="C529" t="s">
        <v>979</v>
      </c>
      <c r="D529" t="s">
        <v>928</v>
      </c>
      <c r="E529" t="s">
        <v>2479</v>
      </c>
      <c r="F529" t="s">
        <v>2480</v>
      </c>
      <c r="G529" t="s">
        <v>2481</v>
      </c>
    </row>
    <row r="530" spans="1:7">
      <c r="A530">
        <v>262</v>
      </c>
      <c r="B530" t="s">
        <v>2434</v>
      </c>
      <c r="C530" t="s">
        <v>979</v>
      </c>
      <c r="D530" t="s">
        <v>928</v>
      </c>
      <c r="E530" t="s">
        <v>2482</v>
      </c>
      <c r="F530" t="s">
        <v>2483</v>
      </c>
      <c r="G530" t="s">
        <v>2484</v>
      </c>
    </row>
    <row r="531" spans="1:7">
      <c r="A531">
        <v>261</v>
      </c>
      <c r="B531" t="s">
        <v>2434</v>
      </c>
      <c r="C531" t="s">
        <v>927</v>
      </c>
      <c r="D531" t="s">
        <v>928</v>
      </c>
      <c r="E531" t="s">
        <v>2485</v>
      </c>
      <c r="F531" t="s">
        <v>2486</v>
      </c>
      <c r="G531" t="s">
        <v>2487</v>
      </c>
    </row>
    <row r="532" spans="1:7">
      <c r="A532">
        <v>260</v>
      </c>
      <c r="B532" t="s">
        <v>2434</v>
      </c>
      <c r="C532" t="s">
        <v>979</v>
      </c>
      <c r="D532" t="s">
        <v>928</v>
      </c>
      <c r="E532" t="s">
        <v>2488</v>
      </c>
      <c r="F532" t="s">
        <v>2489</v>
      </c>
      <c r="G532" t="s">
        <v>2490</v>
      </c>
    </row>
    <row r="533" spans="1:7">
      <c r="A533">
        <v>259</v>
      </c>
      <c r="B533" t="s">
        <v>2434</v>
      </c>
      <c r="C533" t="s">
        <v>927</v>
      </c>
      <c r="D533" t="s">
        <v>928</v>
      </c>
      <c r="E533" t="s">
        <v>2491</v>
      </c>
      <c r="F533" t="s">
        <v>2492</v>
      </c>
      <c r="G533" t="s">
        <v>2493</v>
      </c>
    </row>
    <row r="534" spans="1:7">
      <c r="A534">
        <v>258</v>
      </c>
      <c r="B534" t="s">
        <v>2434</v>
      </c>
      <c r="C534" t="s">
        <v>979</v>
      </c>
      <c r="D534" t="s">
        <v>928</v>
      </c>
      <c r="E534" t="s">
        <v>2494</v>
      </c>
      <c r="F534" t="s">
        <v>2495</v>
      </c>
      <c r="G534" t="s">
        <v>2496</v>
      </c>
    </row>
    <row r="535" spans="1:7">
      <c r="A535">
        <v>257</v>
      </c>
      <c r="B535" t="s">
        <v>2434</v>
      </c>
      <c r="C535" t="s">
        <v>915</v>
      </c>
      <c r="D535" t="s">
        <v>916</v>
      </c>
      <c r="E535" t="s">
        <v>2497</v>
      </c>
      <c r="F535" t="s">
        <v>2498</v>
      </c>
      <c r="G535" t="s">
        <v>2499</v>
      </c>
    </row>
    <row r="536" spans="1:7">
      <c r="A536">
        <v>256</v>
      </c>
      <c r="B536" t="s">
        <v>2434</v>
      </c>
      <c r="C536" t="s">
        <v>927</v>
      </c>
      <c r="D536" t="s">
        <v>928</v>
      </c>
      <c r="E536" t="s">
        <v>2500</v>
      </c>
      <c r="F536" t="s">
        <v>2501</v>
      </c>
      <c r="G536" t="s">
        <v>2502</v>
      </c>
    </row>
    <row r="537" spans="1:7">
      <c r="A537">
        <v>255</v>
      </c>
      <c r="B537" t="s">
        <v>2434</v>
      </c>
      <c r="C537" t="s">
        <v>979</v>
      </c>
      <c r="D537" t="s">
        <v>928</v>
      </c>
      <c r="E537" t="s">
        <v>2503</v>
      </c>
      <c r="F537" t="s">
        <v>2504</v>
      </c>
      <c r="G537" t="s">
        <v>2505</v>
      </c>
    </row>
    <row r="538" spans="1:7">
      <c r="A538">
        <v>254</v>
      </c>
      <c r="B538" t="s">
        <v>2434</v>
      </c>
      <c r="C538" t="s">
        <v>979</v>
      </c>
      <c r="D538" t="s">
        <v>928</v>
      </c>
      <c r="E538" t="s">
        <v>2506</v>
      </c>
      <c r="F538" t="s">
        <v>2507</v>
      </c>
      <c r="G538" t="s">
        <v>2508</v>
      </c>
    </row>
    <row r="539" spans="1:7">
      <c r="A539">
        <v>253</v>
      </c>
      <c r="B539" t="s">
        <v>2434</v>
      </c>
      <c r="C539" t="s">
        <v>915</v>
      </c>
      <c r="D539" t="s">
        <v>916</v>
      </c>
      <c r="E539" t="s">
        <v>2509</v>
      </c>
      <c r="F539" t="s">
        <v>2510</v>
      </c>
      <c r="G539" t="s">
        <v>2511</v>
      </c>
    </row>
    <row r="540" spans="1:7">
      <c r="A540">
        <v>252</v>
      </c>
      <c r="B540" t="s">
        <v>2434</v>
      </c>
      <c r="C540" t="s">
        <v>927</v>
      </c>
      <c r="D540" t="s">
        <v>916</v>
      </c>
      <c r="E540" t="s">
        <v>2512</v>
      </c>
      <c r="F540" t="s">
        <v>2510</v>
      </c>
      <c r="G540" t="s">
        <v>2513</v>
      </c>
    </row>
    <row r="541" spans="1:7">
      <c r="A541">
        <v>251</v>
      </c>
      <c r="B541" t="s">
        <v>2434</v>
      </c>
      <c r="C541" t="s">
        <v>979</v>
      </c>
      <c r="D541" t="s">
        <v>928</v>
      </c>
      <c r="E541" t="s">
        <v>2514</v>
      </c>
      <c r="F541" t="s">
        <v>2515</v>
      </c>
      <c r="G541" t="s">
        <v>2516</v>
      </c>
    </row>
    <row r="542" spans="1:7">
      <c r="A542">
        <v>250</v>
      </c>
      <c r="B542" t="s">
        <v>2434</v>
      </c>
      <c r="C542" t="s">
        <v>979</v>
      </c>
      <c r="D542" t="s">
        <v>928</v>
      </c>
      <c r="E542" t="s">
        <v>2517</v>
      </c>
      <c r="F542" t="s">
        <v>2518</v>
      </c>
      <c r="G542" t="s">
        <v>2519</v>
      </c>
    </row>
    <row r="543" spans="1:7">
      <c r="A543">
        <v>249</v>
      </c>
      <c r="B543" t="s">
        <v>2434</v>
      </c>
      <c r="C543" t="s">
        <v>979</v>
      </c>
      <c r="D543" t="s">
        <v>928</v>
      </c>
      <c r="E543" t="s">
        <v>2520</v>
      </c>
      <c r="F543" t="s">
        <v>2521</v>
      </c>
      <c r="G543" t="s">
        <v>2522</v>
      </c>
    </row>
    <row r="544" spans="1:7">
      <c r="A544">
        <v>248</v>
      </c>
      <c r="B544" t="s">
        <v>2434</v>
      </c>
      <c r="C544" t="s">
        <v>979</v>
      </c>
      <c r="D544" t="s">
        <v>928</v>
      </c>
      <c r="E544" t="s">
        <v>2523</v>
      </c>
      <c r="F544" t="s">
        <v>2524</v>
      </c>
      <c r="G544" t="s">
        <v>2525</v>
      </c>
    </row>
    <row r="545" spans="1:7">
      <c r="A545">
        <v>247</v>
      </c>
      <c r="B545" t="s">
        <v>2434</v>
      </c>
      <c r="C545" t="s">
        <v>915</v>
      </c>
      <c r="D545" t="s">
        <v>916</v>
      </c>
      <c r="E545" t="s">
        <v>2526</v>
      </c>
      <c r="F545" t="s">
        <v>2527</v>
      </c>
      <c r="G545" t="s">
        <v>2528</v>
      </c>
    </row>
    <row r="546" spans="1:7">
      <c r="A546">
        <v>246</v>
      </c>
      <c r="B546" t="s">
        <v>2434</v>
      </c>
      <c r="C546" t="s">
        <v>927</v>
      </c>
      <c r="D546" t="s">
        <v>916</v>
      </c>
      <c r="E546" t="s">
        <v>2529</v>
      </c>
      <c r="F546" t="s">
        <v>2527</v>
      </c>
      <c r="G546" t="s">
        <v>2530</v>
      </c>
    </row>
    <row r="547" spans="1:7">
      <c r="A547">
        <v>245</v>
      </c>
      <c r="B547" t="s">
        <v>2434</v>
      </c>
      <c r="C547" t="s">
        <v>927</v>
      </c>
      <c r="D547" t="s">
        <v>916</v>
      </c>
      <c r="E547" t="s">
        <v>2531</v>
      </c>
      <c r="F547" t="s">
        <v>2532</v>
      </c>
      <c r="G547" t="s">
        <v>2533</v>
      </c>
    </row>
    <row r="548" spans="1:7">
      <c r="A548">
        <v>244</v>
      </c>
      <c r="B548" t="s">
        <v>2434</v>
      </c>
      <c r="C548" t="s">
        <v>979</v>
      </c>
      <c r="D548" t="s">
        <v>928</v>
      </c>
      <c r="E548" t="s">
        <v>2534</v>
      </c>
      <c r="F548" t="s">
        <v>2535</v>
      </c>
      <c r="G548" t="s">
        <v>2536</v>
      </c>
    </row>
    <row r="549" spans="1:7">
      <c r="A549">
        <v>243</v>
      </c>
      <c r="B549" t="s">
        <v>2434</v>
      </c>
      <c r="C549" t="s">
        <v>915</v>
      </c>
      <c r="D549" t="s">
        <v>916</v>
      </c>
      <c r="E549" t="s">
        <v>2537</v>
      </c>
      <c r="F549" t="s">
        <v>2538</v>
      </c>
      <c r="G549" t="s">
        <v>2539</v>
      </c>
    </row>
    <row r="550" spans="1:7">
      <c r="A550">
        <v>242</v>
      </c>
      <c r="B550" t="s">
        <v>2434</v>
      </c>
      <c r="C550" t="s">
        <v>927</v>
      </c>
      <c r="D550" t="s">
        <v>928</v>
      </c>
      <c r="E550" t="s">
        <v>2540</v>
      </c>
      <c r="F550" t="s">
        <v>2541</v>
      </c>
      <c r="G550" t="s">
        <v>2542</v>
      </c>
    </row>
    <row r="551" spans="1:7">
      <c r="A551">
        <v>241</v>
      </c>
      <c r="B551" t="s">
        <v>2434</v>
      </c>
      <c r="C551" t="s">
        <v>979</v>
      </c>
      <c r="D551" t="s">
        <v>928</v>
      </c>
      <c r="E551" t="s">
        <v>2543</v>
      </c>
      <c r="F551" t="s">
        <v>2544</v>
      </c>
      <c r="G551" t="s">
        <v>2545</v>
      </c>
    </row>
    <row r="552" spans="1:7">
      <c r="A552">
        <v>240</v>
      </c>
      <c r="B552" t="s">
        <v>2434</v>
      </c>
      <c r="C552" t="s">
        <v>927</v>
      </c>
      <c r="D552" t="s">
        <v>928</v>
      </c>
      <c r="E552" t="s">
        <v>2546</v>
      </c>
      <c r="F552" t="s">
        <v>2547</v>
      </c>
      <c r="G552" t="s">
        <v>2548</v>
      </c>
    </row>
    <row r="553" spans="1:7">
      <c r="A553">
        <v>239</v>
      </c>
      <c r="B553" t="s">
        <v>2434</v>
      </c>
      <c r="C553" t="s">
        <v>979</v>
      </c>
      <c r="D553" t="s">
        <v>928</v>
      </c>
      <c r="E553" t="s">
        <v>2549</v>
      </c>
      <c r="F553" t="s">
        <v>2550</v>
      </c>
      <c r="G553" t="s">
        <v>2551</v>
      </c>
    </row>
    <row r="554" spans="1:7">
      <c r="A554">
        <v>238</v>
      </c>
      <c r="B554" t="s">
        <v>2434</v>
      </c>
      <c r="C554" t="s">
        <v>927</v>
      </c>
      <c r="D554" t="s">
        <v>928</v>
      </c>
      <c r="E554" t="s">
        <v>2552</v>
      </c>
      <c r="F554" t="s">
        <v>2553</v>
      </c>
      <c r="G554" t="s">
        <v>2554</v>
      </c>
    </row>
    <row r="555" spans="1:7">
      <c r="A555">
        <v>237</v>
      </c>
      <c r="B555" t="s">
        <v>2434</v>
      </c>
      <c r="C555" t="s">
        <v>927</v>
      </c>
      <c r="D555" t="s">
        <v>928</v>
      </c>
      <c r="E555" t="s">
        <v>2555</v>
      </c>
      <c r="F555" t="s">
        <v>2556</v>
      </c>
      <c r="G555" t="s">
        <v>2557</v>
      </c>
    </row>
    <row r="556" spans="1:7">
      <c r="A556">
        <v>236</v>
      </c>
      <c r="B556" t="s">
        <v>2434</v>
      </c>
      <c r="C556" t="s">
        <v>979</v>
      </c>
      <c r="D556" t="s">
        <v>928</v>
      </c>
      <c r="E556" t="s">
        <v>2558</v>
      </c>
      <c r="F556" t="s">
        <v>2559</v>
      </c>
      <c r="G556" t="s">
        <v>2560</v>
      </c>
    </row>
    <row r="557" spans="1:7">
      <c r="A557">
        <v>235</v>
      </c>
      <c r="B557" t="s">
        <v>2434</v>
      </c>
      <c r="C557" t="s">
        <v>915</v>
      </c>
      <c r="D557" t="s">
        <v>928</v>
      </c>
      <c r="E557" t="s">
        <v>2561</v>
      </c>
      <c r="F557" t="s">
        <v>2562</v>
      </c>
      <c r="G557" t="s">
        <v>2563</v>
      </c>
    </row>
    <row r="558" spans="1:7">
      <c r="A558">
        <v>234</v>
      </c>
      <c r="B558" t="s">
        <v>2434</v>
      </c>
      <c r="C558" t="s">
        <v>979</v>
      </c>
      <c r="D558" t="s">
        <v>928</v>
      </c>
      <c r="E558" t="s">
        <v>2564</v>
      </c>
      <c r="F558" t="s">
        <v>2565</v>
      </c>
      <c r="G558" t="s">
        <v>2566</v>
      </c>
    </row>
    <row r="559" spans="1:7">
      <c r="A559">
        <v>233</v>
      </c>
      <c r="B559" t="s">
        <v>2434</v>
      </c>
      <c r="C559" t="s">
        <v>979</v>
      </c>
      <c r="D559" t="s">
        <v>928</v>
      </c>
      <c r="E559" t="s">
        <v>2567</v>
      </c>
      <c r="F559" t="s">
        <v>2568</v>
      </c>
      <c r="G559" t="s">
        <v>2569</v>
      </c>
    </row>
    <row r="560" spans="1:7">
      <c r="A560">
        <v>232</v>
      </c>
      <c r="B560" t="s">
        <v>2434</v>
      </c>
      <c r="C560" t="s">
        <v>979</v>
      </c>
      <c r="D560" t="s">
        <v>928</v>
      </c>
      <c r="E560" t="s">
        <v>2570</v>
      </c>
      <c r="F560" t="s">
        <v>2571</v>
      </c>
      <c r="G560" t="s">
        <v>2572</v>
      </c>
    </row>
    <row r="561" spans="1:7">
      <c r="A561">
        <v>231</v>
      </c>
      <c r="B561" t="s">
        <v>2434</v>
      </c>
      <c r="C561" t="s">
        <v>979</v>
      </c>
      <c r="D561" t="s">
        <v>928</v>
      </c>
      <c r="E561" t="s">
        <v>2573</v>
      </c>
      <c r="F561" t="s">
        <v>2574</v>
      </c>
      <c r="G561" t="s">
        <v>2575</v>
      </c>
    </row>
    <row r="562" spans="1:7">
      <c r="A562">
        <v>230</v>
      </c>
      <c r="B562" t="s">
        <v>2434</v>
      </c>
      <c r="C562" t="s">
        <v>979</v>
      </c>
      <c r="D562" t="s">
        <v>928</v>
      </c>
      <c r="E562" t="s">
        <v>2576</v>
      </c>
      <c r="F562" t="s">
        <v>2577</v>
      </c>
      <c r="G562" t="s">
        <v>2578</v>
      </c>
    </row>
    <row r="563" spans="1:7">
      <c r="A563">
        <v>229</v>
      </c>
      <c r="B563" t="s">
        <v>2434</v>
      </c>
      <c r="C563" t="s">
        <v>915</v>
      </c>
      <c r="D563" t="s">
        <v>928</v>
      </c>
      <c r="E563" t="s">
        <v>2579</v>
      </c>
      <c r="F563" t="s">
        <v>2580</v>
      </c>
      <c r="G563" t="s">
        <v>2581</v>
      </c>
    </row>
    <row r="564" spans="1:7">
      <c r="A564">
        <v>228</v>
      </c>
      <c r="B564" t="s">
        <v>2434</v>
      </c>
      <c r="C564" t="s">
        <v>1011</v>
      </c>
      <c r="D564" t="s">
        <v>928</v>
      </c>
      <c r="E564" t="s">
        <v>2582</v>
      </c>
      <c r="F564" t="s">
        <v>2583</v>
      </c>
      <c r="G564" t="s">
        <v>2584</v>
      </c>
    </row>
    <row r="565" spans="1:7">
      <c r="A565">
        <v>227</v>
      </c>
      <c r="B565" t="s">
        <v>2434</v>
      </c>
      <c r="C565" t="s">
        <v>915</v>
      </c>
      <c r="D565" t="s">
        <v>928</v>
      </c>
      <c r="E565" t="s">
        <v>2585</v>
      </c>
      <c r="F565" t="s">
        <v>2586</v>
      </c>
      <c r="G565" t="s">
        <v>2587</v>
      </c>
    </row>
    <row r="566" spans="1:7">
      <c r="A566">
        <v>226</v>
      </c>
      <c r="B566" t="s">
        <v>2434</v>
      </c>
      <c r="C566" t="s">
        <v>927</v>
      </c>
      <c r="D566" t="s">
        <v>928</v>
      </c>
      <c r="E566" t="s">
        <v>2588</v>
      </c>
      <c r="F566" t="s">
        <v>2589</v>
      </c>
      <c r="G566" t="s">
        <v>2590</v>
      </c>
    </row>
    <row r="567" spans="1:7">
      <c r="A567">
        <v>225</v>
      </c>
      <c r="B567" t="s">
        <v>2434</v>
      </c>
      <c r="C567" t="s">
        <v>979</v>
      </c>
      <c r="D567" t="s">
        <v>928</v>
      </c>
      <c r="E567" t="s">
        <v>2591</v>
      </c>
      <c r="F567" t="s">
        <v>2592</v>
      </c>
      <c r="G567" t="s">
        <v>2593</v>
      </c>
    </row>
    <row r="568" spans="1:7">
      <c r="A568">
        <v>224</v>
      </c>
      <c r="B568" t="s">
        <v>2434</v>
      </c>
      <c r="C568" t="s">
        <v>927</v>
      </c>
      <c r="D568" t="s">
        <v>928</v>
      </c>
      <c r="E568" t="s">
        <v>2594</v>
      </c>
      <c r="F568" t="s">
        <v>2595</v>
      </c>
      <c r="G568" t="s">
        <v>2596</v>
      </c>
    </row>
    <row r="569" spans="1:7">
      <c r="A569">
        <v>223</v>
      </c>
      <c r="B569" t="s">
        <v>2434</v>
      </c>
      <c r="C569" t="s">
        <v>979</v>
      </c>
      <c r="D569" t="s">
        <v>928</v>
      </c>
      <c r="E569" t="s">
        <v>2597</v>
      </c>
      <c r="F569" t="s">
        <v>2598</v>
      </c>
      <c r="G569" t="s">
        <v>2599</v>
      </c>
    </row>
    <row r="570" spans="1:7">
      <c r="A570">
        <v>222</v>
      </c>
      <c r="B570" t="s">
        <v>2434</v>
      </c>
      <c r="C570" t="s">
        <v>915</v>
      </c>
      <c r="D570" t="s">
        <v>916</v>
      </c>
      <c r="E570" t="s">
        <v>2600</v>
      </c>
      <c r="F570" t="s">
        <v>2601</v>
      </c>
      <c r="G570" t="s">
        <v>2602</v>
      </c>
    </row>
    <row r="571" spans="1:7">
      <c r="A571">
        <v>221</v>
      </c>
      <c r="B571" t="s">
        <v>2434</v>
      </c>
      <c r="C571" t="s">
        <v>915</v>
      </c>
      <c r="D571" t="s">
        <v>928</v>
      </c>
      <c r="E571" t="s">
        <v>2603</v>
      </c>
      <c r="F571" t="s">
        <v>2604</v>
      </c>
      <c r="G571" t="s">
        <v>2605</v>
      </c>
    </row>
    <row r="572" spans="1:7">
      <c r="A572">
        <v>220</v>
      </c>
      <c r="B572" t="s">
        <v>2434</v>
      </c>
      <c r="C572" t="s">
        <v>927</v>
      </c>
      <c r="D572" t="s">
        <v>928</v>
      </c>
      <c r="E572" t="s">
        <v>2606</v>
      </c>
      <c r="F572" t="s">
        <v>2607</v>
      </c>
      <c r="G572" t="s">
        <v>2608</v>
      </c>
    </row>
    <row r="573" spans="1:7">
      <c r="A573">
        <v>219</v>
      </c>
      <c r="B573" t="s">
        <v>2434</v>
      </c>
      <c r="C573" t="s">
        <v>979</v>
      </c>
      <c r="D573" t="s">
        <v>928</v>
      </c>
      <c r="E573" t="s">
        <v>2609</v>
      </c>
      <c r="F573" t="s">
        <v>2610</v>
      </c>
      <c r="G573" t="s">
        <v>2611</v>
      </c>
    </row>
    <row r="574" spans="1:7">
      <c r="A574">
        <v>218</v>
      </c>
      <c r="B574" t="s">
        <v>2434</v>
      </c>
      <c r="C574" t="s">
        <v>915</v>
      </c>
      <c r="D574" t="s">
        <v>916</v>
      </c>
      <c r="E574" t="s">
        <v>2612</v>
      </c>
      <c r="F574" t="s">
        <v>2613</v>
      </c>
      <c r="G574" t="s">
        <v>2614</v>
      </c>
    </row>
    <row r="575" spans="1:7">
      <c r="A575">
        <v>217</v>
      </c>
      <c r="B575" t="s">
        <v>2434</v>
      </c>
      <c r="C575" t="s">
        <v>927</v>
      </c>
      <c r="D575" t="s">
        <v>916</v>
      </c>
      <c r="E575" t="s">
        <v>2615</v>
      </c>
      <c r="F575" t="s">
        <v>2613</v>
      </c>
      <c r="G575" t="s">
        <v>2616</v>
      </c>
    </row>
    <row r="576" spans="1:7">
      <c r="A576">
        <v>216</v>
      </c>
      <c r="B576" t="s">
        <v>2434</v>
      </c>
      <c r="C576" t="s">
        <v>979</v>
      </c>
      <c r="D576" t="s">
        <v>928</v>
      </c>
      <c r="E576" t="s">
        <v>2617</v>
      </c>
      <c r="F576" t="s">
        <v>2618</v>
      </c>
      <c r="G576" t="s">
        <v>2619</v>
      </c>
    </row>
    <row r="577" spans="1:7">
      <c r="A577">
        <v>215</v>
      </c>
      <c r="B577" t="s">
        <v>2434</v>
      </c>
      <c r="C577" t="s">
        <v>927</v>
      </c>
      <c r="D577" t="s">
        <v>916</v>
      </c>
      <c r="E577" t="s">
        <v>2620</v>
      </c>
      <c r="F577" t="s">
        <v>2451</v>
      </c>
      <c r="G577" t="s">
        <v>2621</v>
      </c>
    </row>
    <row r="578" spans="1:7">
      <c r="A578">
        <v>214</v>
      </c>
      <c r="B578" t="s">
        <v>2434</v>
      </c>
      <c r="C578" t="s">
        <v>979</v>
      </c>
      <c r="D578" t="s">
        <v>928</v>
      </c>
      <c r="E578" t="s">
        <v>2622</v>
      </c>
      <c r="F578" t="s">
        <v>2623</v>
      </c>
      <c r="G578" t="s">
        <v>2624</v>
      </c>
    </row>
    <row r="579" spans="1:7">
      <c r="A579">
        <v>213</v>
      </c>
      <c r="B579" t="s">
        <v>2434</v>
      </c>
      <c r="C579" t="s">
        <v>915</v>
      </c>
      <c r="D579" t="s">
        <v>916</v>
      </c>
      <c r="E579" t="s">
        <v>2625</v>
      </c>
      <c r="F579" t="s">
        <v>2626</v>
      </c>
      <c r="G579" t="s">
        <v>2627</v>
      </c>
    </row>
    <row r="580" spans="1:7">
      <c r="A580">
        <v>212</v>
      </c>
      <c r="B580" t="s">
        <v>2434</v>
      </c>
      <c r="C580" t="s">
        <v>927</v>
      </c>
      <c r="D580" t="s">
        <v>916</v>
      </c>
      <c r="E580" t="s">
        <v>2628</v>
      </c>
      <c r="F580" t="s">
        <v>2626</v>
      </c>
      <c r="G580" t="s">
        <v>2629</v>
      </c>
    </row>
    <row r="581" spans="1:7">
      <c r="A581">
        <v>211</v>
      </c>
      <c r="B581" t="s">
        <v>2630</v>
      </c>
      <c r="C581" t="s">
        <v>927</v>
      </c>
      <c r="D581" t="s">
        <v>928</v>
      </c>
      <c r="E581" t="s">
        <v>2631</v>
      </c>
      <c r="F581" t="s">
        <v>2632</v>
      </c>
      <c r="G581" t="s">
        <v>2633</v>
      </c>
    </row>
    <row r="582" spans="1:7">
      <c r="A582">
        <v>210</v>
      </c>
      <c r="B582" t="s">
        <v>2630</v>
      </c>
      <c r="C582" t="s">
        <v>979</v>
      </c>
      <c r="D582" t="s">
        <v>928</v>
      </c>
      <c r="E582" t="s">
        <v>2634</v>
      </c>
      <c r="F582" t="s">
        <v>2635</v>
      </c>
      <c r="G582" t="s">
        <v>2636</v>
      </c>
    </row>
    <row r="583" spans="1:7">
      <c r="A583">
        <v>209</v>
      </c>
      <c r="B583" t="s">
        <v>2630</v>
      </c>
      <c r="C583" t="s">
        <v>915</v>
      </c>
      <c r="D583" t="s">
        <v>928</v>
      </c>
      <c r="E583" t="s">
        <v>2637</v>
      </c>
      <c r="F583" t="s">
        <v>2638</v>
      </c>
      <c r="G583" t="s">
        <v>2639</v>
      </c>
    </row>
    <row r="584" spans="1:7">
      <c r="A584">
        <v>208</v>
      </c>
      <c r="B584" t="s">
        <v>2630</v>
      </c>
      <c r="C584" t="s">
        <v>979</v>
      </c>
      <c r="D584" t="s">
        <v>928</v>
      </c>
      <c r="E584" t="s">
        <v>2640</v>
      </c>
      <c r="F584" t="s">
        <v>2641</v>
      </c>
      <c r="G584" t="s">
        <v>2642</v>
      </c>
    </row>
    <row r="585" spans="1:7">
      <c r="A585">
        <v>207</v>
      </c>
      <c r="B585" t="s">
        <v>2630</v>
      </c>
      <c r="C585" t="s">
        <v>915</v>
      </c>
      <c r="D585" t="s">
        <v>916</v>
      </c>
      <c r="E585" t="s">
        <v>2643</v>
      </c>
      <c r="F585" t="s">
        <v>2644</v>
      </c>
      <c r="G585" t="s">
        <v>2645</v>
      </c>
    </row>
    <row r="586" spans="1:7">
      <c r="A586">
        <v>206</v>
      </c>
      <c r="B586" t="s">
        <v>2630</v>
      </c>
      <c r="C586" t="s">
        <v>979</v>
      </c>
      <c r="D586" t="s">
        <v>928</v>
      </c>
      <c r="E586" t="s">
        <v>2646</v>
      </c>
      <c r="F586" t="s">
        <v>2647</v>
      </c>
      <c r="G586" t="s">
        <v>2648</v>
      </c>
    </row>
    <row r="587" spans="1:7">
      <c r="A587">
        <v>205</v>
      </c>
      <c r="B587" t="s">
        <v>2630</v>
      </c>
      <c r="C587" t="s">
        <v>979</v>
      </c>
      <c r="D587" t="s">
        <v>928</v>
      </c>
      <c r="E587" t="s">
        <v>2649</v>
      </c>
      <c r="F587" t="s">
        <v>2650</v>
      </c>
      <c r="G587" t="s">
        <v>2651</v>
      </c>
    </row>
    <row r="588" spans="1:7">
      <c r="A588">
        <v>204</v>
      </c>
      <c r="B588" t="s">
        <v>2630</v>
      </c>
      <c r="C588" t="s">
        <v>979</v>
      </c>
      <c r="D588" t="s">
        <v>928</v>
      </c>
      <c r="E588" t="s">
        <v>2652</v>
      </c>
      <c r="F588" t="s">
        <v>2653</v>
      </c>
      <c r="G588" t="s">
        <v>2654</v>
      </c>
    </row>
    <row r="589" spans="1:7">
      <c r="A589">
        <v>203</v>
      </c>
      <c r="B589" t="s">
        <v>2630</v>
      </c>
      <c r="C589" t="s">
        <v>979</v>
      </c>
      <c r="D589" t="s">
        <v>928</v>
      </c>
      <c r="E589" t="s">
        <v>2655</v>
      </c>
      <c r="F589" t="s">
        <v>2656</v>
      </c>
      <c r="G589" t="s">
        <v>2657</v>
      </c>
    </row>
    <row r="590" spans="1:7">
      <c r="A590">
        <v>202</v>
      </c>
      <c r="B590" t="s">
        <v>2630</v>
      </c>
      <c r="C590" t="s">
        <v>915</v>
      </c>
      <c r="D590" t="s">
        <v>916</v>
      </c>
      <c r="E590" t="s">
        <v>2658</v>
      </c>
      <c r="F590" t="s">
        <v>2659</v>
      </c>
      <c r="G590" t="s">
        <v>2660</v>
      </c>
    </row>
    <row r="591" spans="1:7">
      <c r="A591">
        <v>201</v>
      </c>
      <c r="B591" t="s">
        <v>2630</v>
      </c>
      <c r="C591" t="s">
        <v>915</v>
      </c>
      <c r="D591" t="s">
        <v>928</v>
      </c>
      <c r="E591" t="s">
        <v>2661</v>
      </c>
      <c r="F591" t="s">
        <v>2662</v>
      </c>
      <c r="G591" t="s">
        <v>2663</v>
      </c>
    </row>
    <row r="592" spans="1:7">
      <c r="A592">
        <v>200</v>
      </c>
      <c r="B592" t="s">
        <v>2630</v>
      </c>
      <c r="C592" t="s">
        <v>979</v>
      </c>
      <c r="D592" t="s">
        <v>928</v>
      </c>
      <c r="E592" t="s">
        <v>2664</v>
      </c>
      <c r="F592" t="s">
        <v>2665</v>
      </c>
      <c r="G592" t="s">
        <v>2666</v>
      </c>
    </row>
    <row r="593" spans="1:7">
      <c r="A593">
        <v>199</v>
      </c>
      <c r="B593" t="s">
        <v>2630</v>
      </c>
      <c r="C593" t="s">
        <v>915</v>
      </c>
      <c r="D593" t="s">
        <v>928</v>
      </c>
      <c r="E593" t="s">
        <v>2667</v>
      </c>
      <c r="F593" t="s">
        <v>2668</v>
      </c>
      <c r="G593" t="s">
        <v>2669</v>
      </c>
    </row>
    <row r="594" spans="1:7">
      <c r="A594">
        <v>198</v>
      </c>
      <c r="B594" t="s">
        <v>2630</v>
      </c>
      <c r="C594" t="s">
        <v>927</v>
      </c>
      <c r="D594" t="s">
        <v>928</v>
      </c>
      <c r="E594" t="s">
        <v>2670</v>
      </c>
      <c r="F594" t="s">
        <v>2671</v>
      </c>
      <c r="G594" t="s">
        <v>2672</v>
      </c>
    </row>
    <row r="595" spans="1:7">
      <c r="A595">
        <v>197</v>
      </c>
      <c r="B595" t="s">
        <v>2630</v>
      </c>
      <c r="C595" t="s">
        <v>979</v>
      </c>
      <c r="D595" t="s">
        <v>928</v>
      </c>
      <c r="E595" t="s">
        <v>2673</v>
      </c>
      <c r="F595" t="s">
        <v>2674</v>
      </c>
      <c r="G595" t="s">
        <v>2675</v>
      </c>
    </row>
    <row r="596" spans="1:7">
      <c r="A596">
        <v>196</v>
      </c>
      <c r="B596" t="s">
        <v>2630</v>
      </c>
      <c r="C596" t="s">
        <v>979</v>
      </c>
      <c r="D596" t="s">
        <v>928</v>
      </c>
      <c r="E596" t="s">
        <v>2676</v>
      </c>
      <c r="F596" t="s">
        <v>2677</v>
      </c>
      <c r="G596" t="s">
        <v>2678</v>
      </c>
    </row>
    <row r="597" spans="1:7">
      <c r="A597">
        <v>195</v>
      </c>
      <c r="B597" t="s">
        <v>2630</v>
      </c>
      <c r="C597" t="s">
        <v>915</v>
      </c>
      <c r="D597" t="s">
        <v>916</v>
      </c>
      <c r="E597" t="s">
        <v>2679</v>
      </c>
      <c r="F597" t="s">
        <v>2680</v>
      </c>
      <c r="G597" t="s">
        <v>2681</v>
      </c>
    </row>
    <row r="598" spans="1:7">
      <c r="A598">
        <v>194</v>
      </c>
      <c r="B598" t="s">
        <v>2630</v>
      </c>
      <c r="C598" t="s">
        <v>979</v>
      </c>
      <c r="D598" t="s">
        <v>928</v>
      </c>
      <c r="E598" t="s">
        <v>2682</v>
      </c>
      <c r="F598" t="s">
        <v>2683</v>
      </c>
      <c r="G598" t="s">
        <v>2684</v>
      </c>
    </row>
    <row r="599" spans="1:7">
      <c r="A599">
        <v>193</v>
      </c>
      <c r="B599" t="s">
        <v>2630</v>
      </c>
      <c r="C599" t="s">
        <v>927</v>
      </c>
      <c r="D599" t="s">
        <v>928</v>
      </c>
      <c r="E599" t="s">
        <v>2685</v>
      </c>
      <c r="F599" t="s">
        <v>2686</v>
      </c>
      <c r="G599" t="s">
        <v>2687</v>
      </c>
    </row>
    <row r="600" spans="1:7">
      <c r="A600">
        <v>192</v>
      </c>
      <c r="B600" t="s">
        <v>2630</v>
      </c>
      <c r="C600" t="s">
        <v>1011</v>
      </c>
      <c r="D600" t="s">
        <v>928</v>
      </c>
      <c r="E600" t="s">
        <v>2688</v>
      </c>
      <c r="F600" t="s">
        <v>2689</v>
      </c>
      <c r="G600" t="s">
        <v>2690</v>
      </c>
    </row>
    <row r="601" spans="1:7">
      <c r="A601">
        <v>191</v>
      </c>
      <c r="B601" t="s">
        <v>2630</v>
      </c>
      <c r="C601" t="s">
        <v>979</v>
      </c>
      <c r="D601" t="s">
        <v>928</v>
      </c>
      <c r="E601" t="s">
        <v>2691</v>
      </c>
      <c r="F601" t="s">
        <v>2692</v>
      </c>
      <c r="G601" t="s">
        <v>2693</v>
      </c>
    </row>
    <row r="602" spans="1:7">
      <c r="A602">
        <v>190</v>
      </c>
      <c r="B602" t="s">
        <v>2630</v>
      </c>
      <c r="C602" t="s">
        <v>927</v>
      </c>
      <c r="D602" t="s">
        <v>928</v>
      </c>
      <c r="E602" t="s">
        <v>2694</v>
      </c>
      <c r="F602" t="s">
        <v>2695</v>
      </c>
      <c r="G602" t="s">
        <v>2696</v>
      </c>
    </row>
    <row r="603" spans="1:7">
      <c r="A603">
        <v>189</v>
      </c>
      <c r="B603" t="s">
        <v>2630</v>
      </c>
      <c r="C603" t="s">
        <v>927</v>
      </c>
      <c r="D603" t="s">
        <v>928</v>
      </c>
      <c r="E603" t="s">
        <v>2697</v>
      </c>
      <c r="F603" t="s">
        <v>2698</v>
      </c>
      <c r="G603" t="s">
        <v>2699</v>
      </c>
    </row>
    <row r="604" spans="1:7">
      <c r="A604">
        <v>188</v>
      </c>
      <c r="B604" t="s">
        <v>2630</v>
      </c>
      <c r="C604" t="s">
        <v>927</v>
      </c>
      <c r="D604" t="s">
        <v>928</v>
      </c>
      <c r="E604" t="s">
        <v>2700</v>
      </c>
      <c r="F604" t="s">
        <v>2701</v>
      </c>
      <c r="G604" t="s">
        <v>2702</v>
      </c>
    </row>
    <row r="605" spans="1:7">
      <c r="A605">
        <v>187</v>
      </c>
      <c r="B605" t="s">
        <v>2630</v>
      </c>
      <c r="C605" t="s">
        <v>979</v>
      </c>
      <c r="D605" t="s">
        <v>928</v>
      </c>
      <c r="E605" t="s">
        <v>2703</v>
      </c>
      <c r="F605" t="s">
        <v>2704</v>
      </c>
      <c r="G605" t="s">
        <v>2705</v>
      </c>
    </row>
    <row r="606" spans="1:7">
      <c r="A606">
        <v>186</v>
      </c>
      <c r="B606" t="s">
        <v>2630</v>
      </c>
      <c r="C606" t="s">
        <v>979</v>
      </c>
      <c r="D606" t="s">
        <v>928</v>
      </c>
      <c r="E606" t="s">
        <v>2706</v>
      </c>
      <c r="F606" t="s">
        <v>2707</v>
      </c>
      <c r="G606" t="s">
        <v>2708</v>
      </c>
    </row>
    <row r="607" spans="1:7">
      <c r="A607">
        <v>185</v>
      </c>
      <c r="B607" t="s">
        <v>2630</v>
      </c>
      <c r="C607" t="s">
        <v>927</v>
      </c>
      <c r="D607" t="s">
        <v>928</v>
      </c>
      <c r="E607" t="s">
        <v>2709</v>
      </c>
      <c r="F607" t="s">
        <v>2710</v>
      </c>
      <c r="G607" t="s">
        <v>2711</v>
      </c>
    </row>
    <row r="608" spans="1:7">
      <c r="A608">
        <v>184</v>
      </c>
      <c r="B608" t="s">
        <v>2630</v>
      </c>
      <c r="C608" t="s">
        <v>979</v>
      </c>
      <c r="D608" t="s">
        <v>928</v>
      </c>
      <c r="E608" t="s">
        <v>2712</v>
      </c>
      <c r="F608" t="s">
        <v>2713</v>
      </c>
      <c r="G608" t="s">
        <v>2714</v>
      </c>
    </row>
    <row r="609" spans="1:7">
      <c r="A609">
        <v>183</v>
      </c>
      <c r="B609" t="s">
        <v>2630</v>
      </c>
      <c r="C609" t="s">
        <v>979</v>
      </c>
      <c r="D609" t="s">
        <v>928</v>
      </c>
      <c r="E609" t="s">
        <v>2715</v>
      </c>
      <c r="F609" t="s">
        <v>2716</v>
      </c>
      <c r="G609" t="s">
        <v>2717</v>
      </c>
    </row>
    <row r="610" spans="1:7">
      <c r="A610">
        <v>182</v>
      </c>
      <c r="B610" t="s">
        <v>2630</v>
      </c>
      <c r="C610" t="s">
        <v>927</v>
      </c>
      <c r="D610" t="s">
        <v>928</v>
      </c>
      <c r="E610" t="s">
        <v>2718</v>
      </c>
      <c r="F610" t="s">
        <v>2719</v>
      </c>
      <c r="G610" t="s">
        <v>2720</v>
      </c>
    </row>
    <row r="611" spans="1:7">
      <c r="A611">
        <v>181</v>
      </c>
      <c r="B611" t="s">
        <v>2630</v>
      </c>
      <c r="C611" t="s">
        <v>979</v>
      </c>
      <c r="D611" t="s">
        <v>928</v>
      </c>
      <c r="E611" t="s">
        <v>2721</v>
      </c>
      <c r="F611" t="s">
        <v>2722</v>
      </c>
      <c r="G611" t="s">
        <v>2723</v>
      </c>
    </row>
    <row r="612" spans="1:7">
      <c r="A612">
        <v>180</v>
      </c>
      <c r="B612" t="s">
        <v>2630</v>
      </c>
      <c r="C612" t="s">
        <v>979</v>
      </c>
      <c r="D612" t="s">
        <v>928</v>
      </c>
      <c r="E612" t="s">
        <v>2724</v>
      </c>
      <c r="F612" t="s">
        <v>2725</v>
      </c>
      <c r="G612" t="s">
        <v>2726</v>
      </c>
    </row>
    <row r="613" spans="1:7">
      <c r="A613">
        <v>179</v>
      </c>
      <c r="B613" t="s">
        <v>2630</v>
      </c>
      <c r="C613" t="s">
        <v>915</v>
      </c>
      <c r="D613" t="s">
        <v>916</v>
      </c>
      <c r="E613" t="s">
        <v>2727</v>
      </c>
      <c r="F613" t="s">
        <v>2728</v>
      </c>
      <c r="G613" t="s">
        <v>2729</v>
      </c>
    </row>
    <row r="614" spans="1:7">
      <c r="A614">
        <v>178</v>
      </c>
      <c r="B614" t="s">
        <v>2630</v>
      </c>
      <c r="C614" t="s">
        <v>927</v>
      </c>
      <c r="D614" t="s">
        <v>928</v>
      </c>
      <c r="E614" t="s">
        <v>2730</v>
      </c>
      <c r="F614" t="s">
        <v>2731</v>
      </c>
      <c r="G614" t="s">
        <v>2732</v>
      </c>
    </row>
    <row r="615" spans="1:7">
      <c r="A615">
        <v>177</v>
      </c>
      <c r="B615" t="s">
        <v>2630</v>
      </c>
      <c r="C615" t="s">
        <v>979</v>
      </c>
      <c r="D615" t="s">
        <v>928</v>
      </c>
      <c r="E615" t="s">
        <v>2733</v>
      </c>
      <c r="F615" t="s">
        <v>2734</v>
      </c>
      <c r="G615" t="s">
        <v>2735</v>
      </c>
    </row>
    <row r="616" spans="1:7">
      <c r="A616">
        <v>176</v>
      </c>
      <c r="B616" t="s">
        <v>2630</v>
      </c>
      <c r="C616" t="s">
        <v>979</v>
      </c>
      <c r="D616" t="s">
        <v>928</v>
      </c>
      <c r="E616" t="s">
        <v>2736</v>
      </c>
      <c r="F616" t="s">
        <v>2737</v>
      </c>
      <c r="G616" t="s">
        <v>2738</v>
      </c>
    </row>
    <row r="617" spans="1:7">
      <c r="A617">
        <v>175</v>
      </c>
      <c r="B617" t="s">
        <v>2630</v>
      </c>
      <c r="C617" t="s">
        <v>927</v>
      </c>
      <c r="D617" t="s">
        <v>928</v>
      </c>
      <c r="E617" t="s">
        <v>2739</v>
      </c>
      <c r="F617" t="s">
        <v>2740</v>
      </c>
      <c r="G617" t="s">
        <v>2741</v>
      </c>
    </row>
    <row r="618" spans="1:7">
      <c r="A618">
        <v>174</v>
      </c>
      <c r="B618" t="s">
        <v>2630</v>
      </c>
      <c r="C618" t="s">
        <v>979</v>
      </c>
      <c r="D618" t="s">
        <v>928</v>
      </c>
      <c r="E618" t="s">
        <v>2742</v>
      </c>
      <c r="F618" t="s">
        <v>2743</v>
      </c>
      <c r="G618" t="s">
        <v>2744</v>
      </c>
    </row>
    <row r="619" spans="1:7">
      <c r="A619">
        <v>173</v>
      </c>
      <c r="B619" t="s">
        <v>2630</v>
      </c>
      <c r="C619" t="s">
        <v>979</v>
      </c>
      <c r="D619" t="s">
        <v>928</v>
      </c>
      <c r="E619" t="s">
        <v>2745</v>
      </c>
      <c r="F619" t="s">
        <v>2746</v>
      </c>
      <c r="G619" t="s">
        <v>2747</v>
      </c>
    </row>
    <row r="620" spans="1:7">
      <c r="A620">
        <v>172</v>
      </c>
      <c r="B620" t="s">
        <v>2630</v>
      </c>
      <c r="C620" t="s">
        <v>927</v>
      </c>
      <c r="D620" t="s">
        <v>916</v>
      </c>
      <c r="E620" t="s">
        <v>2748</v>
      </c>
      <c r="F620" t="s">
        <v>2749</v>
      </c>
      <c r="G620" t="s">
        <v>2750</v>
      </c>
    </row>
    <row r="621" spans="1:7">
      <c r="A621">
        <v>171</v>
      </c>
      <c r="B621" t="s">
        <v>2630</v>
      </c>
      <c r="C621" t="s">
        <v>927</v>
      </c>
      <c r="D621" t="s">
        <v>928</v>
      </c>
      <c r="E621" t="s">
        <v>2751</v>
      </c>
      <c r="F621" t="s">
        <v>2752</v>
      </c>
      <c r="G621" t="s">
        <v>2753</v>
      </c>
    </row>
    <row r="622" spans="1:7">
      <c r="A622">
        <v>170</v>
      </c>
      <c r="B622" t="s">
        <v>2630</v>
      </c>
      <c r="C622" t="s">
        <v>979</v>
      </c>
      <c r="D622" t="s">
        <v>928</v>
      </c>
      <c r="E622" t="s">
        <v>2754</v>
      </c>
      <c r="F622" t="s">
        <v>2755</v>
      </c>
      <c r="G622" t="s">
        <v>2756</v>
      </c>
    </row>
    <row r="623" spans="1:7">
      <c r="A623">
        <v>169</v>
      </c>
      <c r="B623" t="s">
        <v>2630</v>
      </c>
      <c r="C623" t="s">
        <v>979</v>
      </c>
      <c r="D623" t="s">
        <v>928</v>
      </c>
      <c r="E623" t="s">
        <v>2757</v>
      </c>
      <c r="F623" t="s">
        <v>2758</v>
      </c>
      <c r="G623" t="s">
        <v>2759</v>
      </c>
    </row>
    <row r="624" spans="1:7">
      <c r="A624">
        <v>168</v>
      </c>
      <c r="B624" t="s">
        <v>2630</v>
      </c>
      <c r="C624" t="s">
        <v>979</v>
      </c>
      <c r="D624" t="s">
        <v>928</v>
      </c>
      <c r="E624" t="s">
        <v>2760</v>
      </c>
      <c r="F624" t="s">
        <v>2761</v>
      </c>
      <c r="G624" t="s">
        <v>2762</v>
      </c>
    </row>
    <row r="625" spans="1:7">
      <c r="A625">
        <v>167</v>
      </c>
      <c r="B625" t="s">
        <v>2630</v>
      </c>
      <c r="C625" t="s">
        <v>915</v>
      </c>
      <c r="D625" t="s">
        <v>928</v>
      </c>
      <c r="E625" t="s">
        <v>2763</v>
      </c>
      <c r="F625" t="s">
        <v>2764</v>
      </c>
      <c r="G625" t="s">
        <v>2765</v>
      </c>
    </row>
    <row r="626" spans="1:7">
      <c r="A626">
        <v>166</v>
      </c>
      <c r="B626" t="s">
        <v>2630</v>
      </c>
      <c r="C626" t="s">
        <v>927</v>
      </c>
      <c r="D626" t="s">
        <v>928</v>
      </c>
      <c r="E626" t="s">
        <v>2766</v>
      </c>
      <c r="F626" t="s">
        <v>2764</v>
      </c>
      <c r="G626" t="s">
        <v>2765</v>
      </c>
    </row>
    <row r="627" spans="1:7">
      <c r="A627">
        <v>165</v>
      </c>
      <c r="B627" t="s">
        <v>2630</v>
      </c>
      <c r="C627" t="s">
        <v>979</v>
      </c>
      <c r="D627" t="s">
        <v>928</v>
      </c>
      <c r="E627" t="s">
        <v>2767</v>
      </c>
      <c r="F627" t="s">
        <v>2768</v>
      </c>
      <c r="G627" t="s">
        <v>2769</v>
      </c>
    </row>
    <row r="628" spans="1:7">
      <c r="A628">
        <v>164</v>
      </c>
      <c r="B628" t="s">
        <v>2630</v>
      </c>
      <c r="C628" t="s">
        <v>979</v>
      </c>
      <c r="D628" t="s">
        <v>928</v>
      </c>
      <c r="E628" t="s">
        <v>2770</v>
      </c>
      <c r="F628" t="s">
        <v>2771</v>
      </c>
      <c r="G628" t="s">
        <v>2772</v>
      </c>
    </row>
    <row r="629" spans="1:7">
      <c r="A629">
        <v>163</v>
      </c>
      <c r="B629" t="s">
        <v>2630</v>
      </c>
      <c r="C629" t="s">
        <v>915</v>
      </c>
      <c r="D629" t="s">
        <v>928</v>
      </c>
      <c r="E629" t="s">
        <v>2773</v>
      </c>
      <c r="F629" t="s">
        <v>2774</v>
      </c>
      <c r="G629" t="s">
        <v>2775</v>
      </c>
    </row>
    <row r="630" spans="1:7">
      <c r="A630">
        <v>162</v>
      </c>
      <c r="B630" t="s">
        <v>2630</v>
      </c>
      <c r="C630" t="s">
        <v>920</v>
      </c>
      <c r="D630" t="s">
        <v>928</v>
      </c>
      <c r="E630" t="s">
        <v>2776</v>
      </c>
      <c r="F630" t="s">
        <v>2777</v>
      </c>
      <c r="G630" t="s">
        <v>2778</v>
      </c>
    </row>
    <row r="631" spans="1:7">
      <c r="A631">
        <v>161</v>
      </c>
      <c r="B631" t="s">
        <v>2779</v>
      </c>
      <c r="C631" t="s">
        <v>979</v>
      </c>
      <c r="D631" t="s">
        <v>928</v>
      </c>
      <c r="E631" t="s">
        <v>2780</v>
      </c>
      <c r="F631" t="s">
        <v>2781</v>
      </c>
      <c r="G631" t="s">
        <v>2782</v>
      </c>
    </row>
    <row r="632" spans="1:7">
      <c r="A632">
        <v>160</v>
      </c>
      <c r="B632" t="s">
        <v>2779</v>
      </c>
      <c r="C632" t="s">
        <v>979</v>
      </c>
      <c r="D632" t="s">
        <v>928</v>
      </c>
      <c r="E632" t="s">
        <v>2783</v>
      </c>
      <c r="F632" t="s">
        <v>2784</v>
      </c>
      <c r="G632" t="s">
        <v>2785</v>
      </c>
    </row>
    <row r="633" spans="1:7">
      <c r="A633">
        <v>159</v>
      </c>
      <c r="B633" t="s">
        <v>2779</v>
      </c>
      <c r="C633" t="s">
        <v>927</v>
      </c>
      <c r="D633" t="s">
        <v>928</v>
      </c>
      <c r="E633" t="s">
        <v>2786</v>
      </c>
      <c r="F633" t="s">
        <v>2787</v>
      </c>
      <c r="G633" t="s">
        <v>2788</v>
      </c>
    </row>
    <row r="634" spans="1:7">
      <c r="A634">
        <v>158</v>
      </c>
      <c r="B634" t="s">
        <v>2779</v>
      </c>
      <c r="C634" t="s">
        <v>979</v>
      </c>
      <c r="D634" t="s">
        <v>928</v>
      </c>
      <c r="E634" t="s">
        <v>2789</v>
      </c>
      <c r="F634" t="s">
        <v>2787</v>
      </c>
      <c r="G634" t="s">
        <v>2788</v>
      </c>
    </row>
    <row r="635" spans="1:7">
      <c r="A635">
        <v>157</v>
      </c>
      <c r="B635" t="s">
        <v>2779</v>
      </c>
      <c r="C635" t="s">
        <v>979</v>
      </c>
      <c r="D635" t="s">
        <v>928</v>
      </c>
      <c r="E635" t="s">
        <v>2790</v>
      </c>
      <c r="F635" t="s">
        <v>2791</v>
      </c>
      <c r="G635" t="s">
        <v>2792</v>
      </c>
    </row>
    <row r="636" spans="1:7">
      <c r="A636">
        <v>156</v>
      </c>
      <c r="B636" t="s">
        <v>2779</v>
      </c>
      <c r="C636" t="s">
        <v>927</v>
      </c>
      <c r="D636" t="s">
        <v>916</v>
      </c>
      <c r="E636" t="s">
        <v>2793</v>
      </c>
      <c r="F636" t="s">
        <v>2794</v>
      </c>
      <c r="G636" t="s">
        <v>2795</v>
      </c>
    </row>
    <row r="637" spans="1:7">
      <c r="A637">
        <v>155</v>
      </c>
      <c r="B637" t="s">
        <v>2779</v>
      </c>
      <c r="C637" t="s">
        <v>979</v>
      </c>
      <c r="D637" t="s">
        <v>928</v>
      </c>
      <c r="E637" t="s">
        <v>2796</v>
      </c>
      <c r="F637" t="s">
        <v>2797</v>
      </c>
      <c r="G637" t="s">
        <v>2798</v>
      </c>
    </row>
    <row r="638" spans="1:7">
      <c r="A638">
        <v>154</v>
      </c>
      <c r="B638" t="s">
        <v>2779</v>
      </c>
      <c r="C638" t="s">
        <v>915</v>
      </c>
      <c r="D638" t="s">
        <v>928</v>
      </c>
      <c r="E638" t="s">
        <v>2799</v>
      </c>
      <c r="F638" t="s">
        <v>2800</v>
      </c>
      <c r="G638" t="s">
        <v>2801</v>
      </c>
    </row>
    <row r="639" spans="1:7">
      <c r="A639">
        <v>153</v>
      </c>
      <c r="B639" t="s">
        <v>2779</v>
      </c>
      <c r="C639" t="s">
        <v>915</v>
      </c>
      <c r="D639" t="s">
        <v>928</v>
      </c>
      <c r="E639" t="s">
        <v>2802</v>
      </c>
      <c r="F639" t="s">
        <v>2803</v>
      </c>
      <c r="G639" t="s">
        <v>2804</v>
      </c>
    </row>
    <row r="640" spans="1:7">
      <c r="A640">
        <v>152</v>
      </c>
      <c r="B640" t="s">
        <v>2779</v>
      </c>
      <c r="C640" t="s">
        <v>979</v>
      </c>
      <c r="D640" t="s">
        <v>928</v>
      </c>
      <c r="E640" t="s">
        <v>2805</v>
      </c>
      <c r="F640" t="s">
        <v>2806</v>
      </c>
      <c r="G640" t="s">
        <v>2807</v>
      </c>
    </row>
    <row r="641" spans="1:7">
      <c r="A641">
        <v>151</v>
      </c>
      <c r="B641" t="s">
        <v>2779</v>
      </c>
      <c r="C641" t="s">
        <v>979</v>
      </c>
      <c r="D641" t="s">
        <v>928</v>
      </c>
      <c r="E641" t="s">
        <v>2808</v>
      </c>
      <c r="F641" t="s">
        <v>2809</v>
      </c>
      <c r="G641" t="s">
        <v>2810</v>
      </c>
    </row>
    <row r="642" spans="1:7">
      <c r="A642">
        <v>150</v>
      </c>
      <c r="B642" t="s">
        <v>2779</v>
      </c>
      <c r="C642" t="s">
        <v>915</v>
      </c>
      <c r="D642" t="s">
        <v>916</v>
      </c>
      <c r="E642" t="s">
        <v>2811</v>
      </c>
      <c r="F642" t="s">
        <v>2812</v>
      </c>
      <c r="G642" t="s">
        <v>2813</v>
      </c>
    </row>
    <row r="643" spans="1:7">
      <c r="A643">
        <v>149</v>
      </c>
      <c r="B643" t="s">
        <v>2779</v>
      </c>
      <c r="C643" t="s">
        <v>915</v>
      </c>
      <c r="D643" t="s">
        <v>928</v>
      </c>
      <c r="E643" t="s">
        <v>2814</v>
      </c>
      <c r="F643" t="s">
        <v>2815</v>
      </c>
      <c r="G643" t="s">
        <v>2816</v>
      </c>
    </row>
    <row r="644" spans="1:7">
      <c r="A644">
        <v>148</v>
      </c>
      <c r="B644" t="s">
        <v>2779</v>
      </c>
      <c r="C644" t="s">
        <v>1011</v>
      </c>
      <c r="D644" t="s">
        <v>928</v>
      </c>
      <c r="E644" t="s">
        <v>2817</v>
      </c>
      <c r="F644" t="s">
        <v>2818</v>
      </c>
      <c r="G644" t="s">
        <v>2819</v>
      </c>
    </row>
    <row r="645" spans="1:7">
      <c r="A645">
        <v>147</v>
      </c>
      <c r="B645" t="s">
        <v>2779</v>
      </c>
      <c r="C645" t="s">
        <v>927</v>
      </c>
      <c r="D645" t="s">
        <v>928</v>
      </c>
      <c r="E645" t="s">
        <v>2820</v>
      </c>
      <c r="F645" t="s">
        <v>2821</v>
      </c>
      <c r="G645" t="s">
        <v>2822</v>
      </c>
    </row>
    <row r="646" spans="1:7">
      <c r="A646">
        <v>146</v>
      </c>
      <c r="B646" t="s">
        <v>2779</v>
      </c>
      <c r="C646" t="s">
        <v>979</v>
      </c>
      <c r="D646" t="s">
        <v>928</v>
      </c>
      <c r="E646" t="s">
        <v>2823</v>
      </c>
      <c r="F646" t="s">
        <v>2824</v>
      </c>
      <c r="G646" t="s">
        <v>2825</v>
      </c>
    </row>
    <row r="647" spans="1:7">
      <c r="A647">
        <v>145</v>
      </c>
      <c r="B647" t="s">
        <v>2779</v>
      </c>
      <c r="C647" t="s">
        <v>927</v>
      </c>
      <c r="D647" t="s">
        <v>928</v>
      </c>
      <c r="E647" t="s">
        <v>2826</v>
      </c>
      <c r="F647" t="s">
        <v>2827</v>
      </c>
      <c r="G647" t="s">
        <v>2828</v>
      </c>
    </row>
    <row r="648" spans="1:7">
      <c r="A648">
        <v>144</v>
      </c>
      <c r="B648" t="s">
        <v>2779</v>
      </c>
      <c r="C648" t="s">
        <v>979</v>
      </c>
      <c r="D648" t="s">
        <v>928</v>
      </c>
      <c r="E648" t="s">
        <v>2829</v>
      </c>
      <c r="F648" t="s">
        <v>2830</v>
      </c>
      <c r="G648" t="s">
        <v>2831</v>
      </c>
    </row>
    <row r="649" spans="1:7">
      <c r="A649">
        <v>143</v>
      </c>
      <c r="B649" t="s">
        <v>2779</v>
      </c>
      <c r="C649" t="s">
        <v>979</v>
      </c>
      <c r="D649" t="s">
        <v>928</v>
      </c>
      <c r="E649" t="s">
        <v>2832</v>
      </c>
      <c r="F649" t="s">
        <v>2833</v>
      </c>
      <c r="G649" t="s">
        <v>2834</v>
      </c>
    </row>
    <row r="650" spans="1:7">
      <c r="A650">
        <v>142</v>
      </c>
      <c r="B650" t="s">
        <v>2779</v>
      </c>
      <c r="C650" t="s">
        <v>979</v>
      </c>
      <c r="D650" t="s">
        <v>928</v>
      </c>
      <c r="E650" t="s">
        <v>2835</v>
      </c>
      <c r="F650" t="s">
        <v>2836</v>
      </c>
      <c r="G650" t="s">
        <v>2837</v>
      </c>
    </row>
    <row r="651" spans="1:7">
      <c r="A651">
        <v>141</v>
      </c>
      <c r="B651" t="s">
        <v>2779</v>
      </c>
      <c r="C651" t="s">
        <v>915</v>
      </c>
      <c r="D651" t="s">
        <v>916</v>
      </c>
      <c r="E651" t="s">
        <v>2838</v>
      </c>
      <c r="F651" t="s">
        <v>2839</v>
      </c>
      <c r="G651" t="s">
        <v>2840</v>
      </c>
    </row>
    <row r="652" spans="1:7">
      <c r="A652">
        <v>140</v>
      </c>
      <c r="B652" t="s">
        <v>2779</v>
      </c>
      <c r="C652" t="s">
        <v>915</v>
      </c>
      <c r="D652" t="s">
        <v>916</v>
      </c>
      <c r="E652" t="s">
        <v>2841</v>
      </c>
      <c r="F652" t="s">
        <v>2839</v>
      </c>
      <c r="G652" t="s">
        <v>2842</v>
      </c>
    </row>
    <row r="653" spans="1:7">
      <c r="A653">
        <v>139</v>
      </c>
      <c r="B653" t="s">
        <v>2779</v>
      </c>
      <c r="C653" t="s">
        <v>927</v>
      </c>
      <c r="D653" t="s">
        <v>916</v>
      </c>
      <c r="E653" t="s">
        <v>2843</v>
      </c>
      <c r="F653" t="s">
        <v>2839</v>
      </c>
      <c r="G653" t="s">
        <v>2844</v>
      </c>
    </row>
    <row r="654" spans="1:7">
      <c r="A654">
        <v>138</v>
      </c>
      <c r="B654" t="s">
        <v>2779</v>
      </c>
      <c r="C654" t="s">
        <v>915</v>
      </c>
      <c r="D654" t="s">
        <v>916</v>
      </c>
      <c r="E654" t="s">
        <v>2845</v>
      </c>
      <c r="F654" t="s">
        <v>2846</v>
      </c>
      <c r="G654" t="s">
        <v>2847</v>
      </c>
    </row>
    <row r="655" spans="1:7">
      <c r="A655">
        <v>137</v>
      </c>
      <c r="B655" t="s">
        <v>2779</v>
      </c>
      <c r="C655" t="s">
        <v>927</v>
      </c>
      <c r="D655" t="s">
        <v>916</v>
      </c>
      <c r="E655" t="s">
        <v>2848</v>
      </c>
      <c r="F655" t="s">
        <v>2846</v>
      </c>
      <c r="G655" t="s">
        <v>2849</v>
      </c>
    </row>
    <row r="656" spans="1:7">
      <c r="A656">
        <v>136</v>
      </c>
      <c r="B656" t="s">
        <v>2779</v>
      </c>
      <c r="C656" t="s">
        <v>915</v>
      </c>
      <c r="D656" t="s">
        <v>916</v>
      </c>
      <c r="E656" t="s">
        <v>2850</v>
      </c>
      <c r="F656" t="s">
        <v>2851</v>
      </c>
      <c r="G656" t="s">
        <v>2852</v>
      </c>
    </row>
    <row r="657" spans="1:7">
      <c r="A657">
        <v>135</v>
      </c>
      <c r="B657" t="s">
        <v>2779</v>
      </c>
      <c r="C657" t="s">
        <v>915</v>
      </c>
      <c r="D657" t="s">
        <v>916</v>
      </c>
      <c r="E657" t="s">
        <v>2853</v>
      </c>
      <c r="F657" t="s">
        <v>2854</v>
      </c>
      <c r="G657" t="s">
        <v>2855</v>
      </c>
    </row>
    <row r="658" spans="1:7">
      <c r="A658">
        <v>134</v>
      </c>
      <c r="B658" t="s">
        <v>2779</v>
      </c>
      <c r="C658" t="s">
        <v>927</v>
      </c>
      <c r="D658" t="s">
        <v>916</v>
      </c>
      <c r="E658" t="s">
        <v>2856</v>
      </c>
      <c r="F658" t="s">
        <v>2854</v>
      </c>
      <c r="G658" t="s">
        <v>2857</v>
      </c>
    </row>
    <row r="659" spans="1:7">
      <c r="A659">
        <v>133</v>
      </c>
      <c r="B659" t="s">
        <v>2779</v>
      </c>
      <c r="C659" t="s">
        <v>927</v>
      </c>
      <c r="D659" t="s">
        <v>916</v>
      </c>
      <c r="E659" t="s">
        <v>2858</v>
      </c>
      <c r="F659" t="s">
        <v>2851</v>
      </c>
      <c r="G659" t="s">
        <v>2859</v>
      </c>
    </row>
    <row r="660" spans="1:7">
      <c r="A660">
        <v>132</v>
      </c>
      <c r="B660" t="s">
        <v>2779</v>
      </c>
      <c r="C660" t="s">
        <v>979</v>
      </c>
      <c r="D660" t="s">
        <v>928</v>
      </c>
      <c r="E660" t="s">
        <v>2860</v>
      </c>
      <c r="F660" t="s">
        <v>2861</v>
      </c>
      <c r="G660" t="s">
        <v>2862</v>
      </c>
    </row>
    <row r="661" spans="1:7">
      <c r="A661">
        <v>131</v>
      </c>
      <c r="B661" t="s">
        <v>2779</v>
      </c>
      <c r="C661" t="s">
        <v>979</v>
      </c>
      <c r="D661" t="s">
        <v>928</v>
      </c>
      <c r="E661" t="s">
        <v>2863</v>
      </c>
      <c r="F661" t="s">
        <v>2864</v>
      </c>
      <c r="G661" t="s">
        <v>2865</v>
      </c>
    </row>
    <row r="662" spans="1:7">
      <c r="A662">
        <v>130</v>
      </c>
      <c r="B662" t="s">
        <v>2779</v>
      </c>
      <c r="C662" t="s">
        <v>979</v>
      </c>
      <c r="D662" t="s">
        <v>928</v>
      </c>
      <c r="E662" t="s">
        <v>2866</v>
      </c>
      <c r="F662" t="s">
        <v>2867</v>
      </c>
      <c r="G662" t="s">
        <v>2868</v>
      </c>
    </row>
    <row r="663" spans="1:7">
      <c r="A663">
        <v>129</v>
      </c>
      <c r="B663" t="s">
        <v>2779</v>
      </c>
      <c r="C663" t="s">
        <v>979</v>
      </c>
      <c r="D663" t="s">
        <v>928</v>
      </c>
      <c r="E663" t="s">
        <v>2869</v>
      </c>
      <c r="F663" t="s">
        <v>2870</v>
      </c>
      <c r="G663" t="s">
        <v>2871</v>
      </c>
    </row>
    <row r="664" spans="1:7">
      <c r="A664">
        <v>128</v>
      </c>
      <c r="B664" t="s">
        <v>2779</v>
      </c>
      <c r="C664" t="s">
        <v>927</v>
      </c>
      <c r="D664" t="s">
        <v>928</v>
      </c>
      <c r="E664" t="s">
        <v>2872</v>
      </c>
      <c r="F664" t="s">
        <v>2873</v>
      </c>
      <c r="G664" t="s">
        <v>2874</v>
      </c>
    </row>
    <row r="665" spans="1:7">
      <c r="A665">
        <v>127</v>
      </c>
      <c r="B665" t="s">
        <v>2779</v>
      </c>
      <c r="C665" t="s">
        <v>979</v>
      </c>
      <c r="D665" t="s">
        <v>928</v>
      </c>
      <c r="E665" t="s">
        <v>2875</v>
      </c>
      <c r="F665" t="s">
        <v>2876</v>
      </c>
      <c r="G665" t="s">
        <v>2877</v>
      </c>
    </row>
    <row r="666" spans="1:7">
      <c r="A666">
        <v>126</v>
      </c>
      <c r="B666" t="s">
        <v>2779</v>
      </c>
      <c r="C666" t="s">
        <v>979</v>
      </c>
      <c r="D666" t="s">
        <v>928</v>
      </c>
      <c r="E666" t="s">
        <v>2878</v>
      </c>
      <c r="F666" t="s">
        <v>2879</v>
      </c>
      <c r="G666" t="s">
        <v>2880</v>
      </c>
    </row>
    <row r="667" spans="1:7">
      <c r="A667">
        <v>125</v>
      </c>
      <c r="B667" t="s">
        <v>2779</v>
      </c>
      <c r="C667" t="s">
        <v>979</v>
      </c>
      <c r="D667" t="s">
        <v>928</v>
      </c>
      <c r="E667" t="s">
        <v>2881</v>
      </c>
      <c r="F667" t="s">
        <v>2882</v>
      </c>
      <c r="G667" t="s">
        <v>2883</v>
      </c>
    </row>
    <row r="668" spans="1:7">
      <c r="A668">
        <v>124</v>
      </c>
      <c r="B668" t="s">
        <v>2779</v>
      </c>
      <c r="C668" t="s">
        <v>979</v>
      </c>
      <c r="D668" t="s">
        <v>928</v>
      </c>
      <c r="E668" t="s">
        <v>2884</v>
      </c>
      <c r="F668" t="s">
        <v>2885</v>
      </c>
      <c r="G668" t="s">
        <v>2886</v>
      </c>
    </row>
    <row r="669" spans="1:7">
      <c r="A669">
        <v>123</v>
      </c>
      <c r="B669" t="s">
        <v>2779</v>
      </c>
      <c r="C669" t="s">
        <v>927</v>
      </c>
      <c r="D669" t="s">
        <v>928</v>
      </c>
      <c r="E669" t="s">
        <v>2887</v>
      </c>
      <c r="F669" t="s">
        <v>2888</v>
      </c>
      <c r="G669" t="s">
        <v>2889</v>
      </c>
    </row>
    <row r="670" spans="1:7">
      <c r="A670">
        <v>122</v>
      </c>
      <c r="B670" t="s">
        <v>2779</v>
      </c>
      <c r="C670" t="s">
        <v>979</v>
      </c>
      <c r="D670" t="s">
        <v>928</v>
      </c>
      <c r="E670" t="s">
        <v>2890</v>
      </c>
      <c r="F670" t="s">
        <v>2891</v>
      </c>
      <c r="G670" t="s">
        <v>2892</v>
      </c>
    </row>
    <row r="671" spans="1:7">
      <c r="A671">
        <v>121</v>
      </c>
      <c r="B671" t="s">
        <v>2779</v>
      </c>
      <c r="C671" t="s">
        <v>979</v>
      </c>
      <c r="D671" t="s">
        <v>928</v>
      </c>
      <c r="E671" t="s">
        <v>2893</v>
      </c>
      <c r="F671" t="s">
        <v>2894</v>
      </c>
      <c r="G671" t="s">
        <v>2895</v>
      </c>
    </row>
    <row r="672" spans="1:7">
      <c r="A672">
        <v>120</v>
      </c>
      <c r="B672" t="s">
        <v>2779</v>
      </c>
      <c r="C672" t="s">
        <v>979</v>
      </c>
      <c r="D672" t="s">
        <v>928</v>
      </c>
      <c r="E672" t="s">
        <v>2896</v>
      </c>
      <c r="F672" t="s">
        <v>2897</v>
      </c>
      <c r="G672" t="s">
        <v>2898</v>
      </c>
    </row>
    <row r="673" spans="1:7">
      <c r="A673">
        <v>119</v>
      </c>
      <c r="B673" t="s">
        <v>2779</v>
      </c>
      <c r="C673" t="s">
        <v>979</v>
      </c>
      <c r="D673" t="s">
        <v>928</v>
      </c>
      <c r="E673" t="s">
        <v>2899</v>
      </c>
      <c r="F673" t="s">
        <v>2900</v>
      </c>
      <c r="G673" t="s">
        <v>2901</v>
      </c>
    </row>
    <row r="674" spans="1:7">
      <c r="A674">
        <v>118</v>
      </c>
      <c r="B674" t="s">
        <v>2779</v>
      </c>
      <c r="C674" t="s">
        <v>915</v>
      </c>
      <c r="D674" t="s">
        <v>928</v>
      </c>
      <c r="E674" t="s">
        <v>2902</v>
      </c>
      <c r="F674" t="s">
        <v>2800</v>
      </c>
      <c r="G674" t="s">
        <v>2903</v>
      </c>
    </row>
    <row r="675" spans="1:7">
      <c r="A675">
        <v>117</v>
      </c>
      <c r="B675" t="s">
        <v>2779</v>
      </c>
      <c r="C675" t="s">
        <v>979</v>
      </c>
      <c r="D675" t="s">
        <v>928</v>
      </c>
      <c r="E675" t="s">
        <v>2904</v>
      </c>
      <c r="F675" t="s">
        <v>2905</v>
      </c>
      <c r="G675" t="s">
        <v>2906</v>
      </c>
    </row>
    <row r="676" spans="1:7">
      <c r="A676">
        <v>116</v>
      </c>
      <c r="B676" t="s">
        <v>2779</v>
      </c>
      <c r="C676" t="s">
        <v>979</v>
      </c>
      <c r="D676" t="s">
        <v>928</v>
      </c>
      <c r="E676" t="s">
        <v>2907</v>
      </c>
      <c r="F676" t="s">
        <v>2908</v>
      </c>
      <c r="G676" t="s">
        <v>2909</v>
      </c>
    </row>
    <row r="677" spans="1:7">
      <c r="A677">
        <v>115</v>
      </c>
      <c r="B677" t="s">
        <v>2779</v>
      </c>
      <c r="C677" t="s">
        <v>915</v>
      </c>
      <c r="D677" t="s">
        <v>916</v>
      </c>
      <c r="E677" t="s">
        <v>2910</v>
      </c>
      <c r="F677" t="s">
        <v>2911</v>
      </c>
      <c r="G677" t="s">
        <v>2912</v>
      </c>
    </row>
    <row r="678" spans="1:7">
      <c r="A678">
        <v>114</v>
      </c>
      <c r="B678" t="s">
        <v>2779</v>
      </c>
      <c r="C678" t="s">
        <v>927</v>
      </c>
      <c r="D678" t="s">
        <v>916</v>
      </c>
      <c r="E678" t="s">
        <v>2913</v>
      </c>
      <c r="F678" t="s">
        <v>2911</v>
      </c>
      <c r="G678" t="s">
        <v>2914</v>
      </c>
    </row>
    <row r="679" spans="1:7">
      <c r="A679">
        <v>113</v>
      </c>
      <c r="B679" t="s">
        <v>2779</v>
      </c>
      <c r="C679" t="s">
        <v>979</v>
      </c>
      <c r="D679" t="s">
        <v>928</v>
      </c>
      <c r="E679" t="s">
        <v>2915</v>
      </c>
      <c r="F679" t="s">
        <v>2916</v>
      </c>
      <c r="G679" t="s">
        <v>2917</v>
      </c>
    </row>
    <row r="680" spans="1:7">
      <c r="A680">
        <v>112</v>
      </c>
      <c r="B680" t="s">
        <v>2779</v>
      </c>
      <c r="C680" t="s">
        <v>979</v>
      </c>
      <c r="D680" t="s">
        <v>928</v>
      </c>
      <c r="E680" t="s">
        <v>2918</v>
      </c>
      <c r="F680" t="s">
        <v>2919</v>
      </c>
      <c r="G680" t="s">
        <v>2920</v>
      </c>
    </row>
    <row r="681" spans="1:7">
      <c r="A681">
        <v>111</v>
      </c>
      <c r="B681" t="s">
        <v>2779</v>
      </c>
      <c r="C681" t="s">
        <v>927</v>
      </c>
      <c r="D681" t="s">
        <v>928</v>
      </c>
      <c r="E681" t="s">
        <v>2921</v>
      </c>
      <c r="F681" t="s">
        <v>2922</v>
      </c>
      <c r="G681" t="s">
        <v>2923</v>
      </c>
    </row>
    <row r="682" spans="1:7">
      <c r="A682">
        <v>110</v>
      </c>
      <c r="B682" t="s">
        <v>2779</v>
      </c>
      <c r="C682" t="s">
        <v>979</v>
      </c>
      <c r="D682" t="s">
        <v>928</v>
      </c>
      <c r="E682" t="s">
        <v>2924</v>
      </c>
      <c r="F682" t="s">
        <v>2925</v>
      </c>
      <c r="G682" t="s">
        <v>2926</v>
      </c>
    </row>
    <row r="683" spans="1:7">
      <c r="A683">
        <v>109</v>
      </c>
      <c r="B683" t="s">
        <v>2779</v>
      </c>
      <c r="C683" t="s">
        <v>979</v>
      </c>
      <c r="D683" t="s">
        <v>928</v>
      </c>
      <c r="E683" t="s">
        <v>2927</v>
      </c>
      <c r="F683" t="s">
        <v>2928</v>
      </c>
      <c r="G683" t="s">
        <v>2929</v>
      </c>
    </row>
    <row r="684" spans="1:7">
      <c r="A684">
        <v>108</v>
      </c>
      <c r="B684" t="s">
        <v>2779</v>
      </c>
      <c r="C684" t="s">
        <v>979</v>
      </c>
      <c r="D684" t="s">
        <v>928</v>
      </c>
      <c r="E684" t="s">
        <v>2930</v>
      </c>
      <c r="F684" t="s">
        <v>2931</v>
      </c>
      <c r="G684" t="s">
        <v>2932</v>
      </c>
    </row>
    <row r="685" spans="1:7">
      <c r="A685">
        <v>107</v>
      </c>
      <c r="B685" t="s">
        <v>2779</v>
      </c>
      <c r="C685" t="s">
        <v>927</v>
      </c>
      <c r="D685" t="s">
        <v>928</v>
      </c>
      <c r="E685" t="s">
        <v>2933</v>
      </c>
      <c r="F685" t="s">
        <v>2934</v>
      </c>
      <c r="G685" t="s">
        <v>2935</v>
      </c>
    </row>
    <row r="686" spans="1:7">
      <c r="A686">
        <v>106</v>
      </c>
      <c r="B686" t="s">
        <v>2779</v>
      </c>
      <c r="C686" t="s">
        <v>979</v>
      </c>
      <c r="D686" t="s">
        <v>928</v>
      </c>
      <c r="E686" t="s">
        <v>2936</v>
      </c>
      <c r="F686" t="s">
        <v>2937</v>
      </c>
      <c r="G686" t="s">
        <v>2938</v>
      </c>
    </row>
    <row r="687" spans="1:7">
      <c r="A687">
        <v>105</v>
      </c>
      <c r="B687" t="s">
        <v>2779</v>
      </c>
      <c r="C687" t="s">
        <v>979</v>
      </c>
      <c r="D687" t="s">
        <v>928</v>
      </c>
      <c r="E687" t="s">
        <v>2939</v>
      </c>
      <c r="F687" t="s">
        <v>2940</v>
      </c>
      <c r="G687" t="s">
        <v>2941</v>
      </c>
    </row>
    <row r="688" spans="1:7">
      <c r="A688">
        <v>104</v>
      </c>
      <c r="B688" t="s">
        <v>2942</v>
      </c>
      <c r="C688" t="s">
        <v>979</v>
      </c>
      <c r="D688" t="s">
        <v>928</v>
      </c>
      <c r="E688" t="s">
        <v>2943</v>
      </c>
      <c r="F688" t="s">
        <v>2944</v>
      </c>
      <c r="G688" t="s">
        <v>2945</v>
      </c>
    </row>
    <row r="689" spans="1:7">
      <c r="A689">
        <v>103</v>
      </c>
      <c r="B689" t="s">
        <v>2942</v>
      </c>
      <c r="C689" t="s">
        <v>979</v>
      </c>
      <c r="D689" t="s">
        <v>928</v>
      </c>
      <c r="E689" t="s">
        <v>2946</v>
      </c>
      <c r="F689" t="s">
        <v>2947</v>
      </c>
      <c r="G689" t="s">
        <v>2948</v>
      </c>
    </row>
    <row r="690" spans="1:7">
      <c r="A690">
        <v>102</v>
      </c>
      <c r="B690" t="s">
        <v>2942</v>
      </c>
      <c r="C690" t="s">
        <v>915</v>
      </c>
      <c r="D690" t="s">
        <v>928</v>
      </c>
      <c r="E690" t="s">
        <v>2949</v>
      </c>
      <c r="F690" t="s">
        <v>2950</v>
      </c>
      <c r="G690" t="s">
        <v>2951</v>
      </c>
    </row>
    <row r="691" spans="1:7">
      <c r="A691">
        <v>101</v>
      </c>
      <c r="B691" t="s">
        <v>2942</v>
      </c>
      <c r="C691" t="s">
        <v>927</v>
      </c>
      <c r="D691" t="s">
        <v>928</v>
      </c>
      <c r="E691" t="s">
        <v>2952</v>
      </c>
      <c r="F691" t="s">
        <v>2953</v>
      </c>
      <c r="G691" t="s">
        <v>2954</v>
      </c>
    </row>
    <row r="692" spans="1:7">
      <c r="A692">
        <v>100</v>
      </c>
      <c r="B692" t="s">
        <v>2942</v>
      </c>
      <c r="C692" t="s">
        <v>979</v>
      </c>
      <c r="D692" t="s">
        <v>928</v>
      </c>
      <c r="E692" t="s">
        <v>2955</v>
      </c>
      <c r="F692" t="s">
        <v>2956</v>
      </c>
      <c r="G692" t="s">
        <v>2957</v>
      </c>
    </row>
    <row r="693" spans="1:7">
      <c r="A693">
        <v>99</v>
      </c>
      <c r="B693" t="s">
        <v>2942</v>
      </c>
      <c r="C693" t="s">
        <v>927</v>
      </c>
      <c r="D693" t="s">
        <v>928</v>
      </c>
      <c r="E693" t="s">
        <v>2958</v>
      </c>
      <c r="F693" t="s">
        <v>2959</v>
      </c>
      <c r="G693" t="s">
        <v>2960</v>
      </c>
    </row>
    <row r="694" spans="1:7">
      <c r="A694">
        <v>98</v>
      </c>
      <c r="B694" t="s">
        <v>2942</v>
      </c>
      <c r="C694" t="s">
        <v>979</v>
      </c>
      <c r="D694" t="s">
        <v>928</v>
      </c>
      <c r="E694" t="s">
        <v>2961</v>
      </c>
      <c r="F694" t="s">
        <v>2962</v>
      </c>
      <c r="G694" t="s">
        <v>2963</v>
      </c>
    </row>
    <row r="695" spans="1:7">
      <c r="A695">
        <v>97</v>
      </c>
      <c r="B695" t="s">
        <v>2942</v>
      </c>
      <c r="C695" t="s">
        <v>979</v>
      </c>
      <c r="D695" t="s">
        <v>928</v>
      </c>
      <c r="E695" t="s">
        <v>2964</v>
      </c>
      <c r="F695" t="s">
        <v>2965</v>
      </c>
      <c r="G695" t="s">
        <v>2966</v>
      </c>
    </row>
    <row r="696" spans="1:7">
      <c r="A696">
        <v>96</v>
      </c>
      <c r="B696" t="s">
        <v>2942</v>
      </c>
      <c r="C696" t="s">
        <v>979</v>
      </c>
      <c r="D696" t="s">
        <v>928</v>
      </c>
      <c r="E696" t="s">
        <v>2967</v>
      </c>
      <c r="F696" t="s">
        <v>2968</v>
      </c>
      <c r="G696" t="s">
        <v>2969</v>
      </c>
    </row>
    <row r="697" spans="1:7">
      <c r="A697">
        <v>95</v>
      </c>
      <c r="B697" t="s">
        <v>2942</v>
      </c>
      <c r="C697" t="s">
        <v>979</v>
      </c>
      <c r="D697" t="s">
        <v>928</v>
      </c>
      <c r="E697" t="s">
        <v>2970</v>
      </c>
      <c r="F697" t="s">
        <v>2971</v>
      </c>
      <c r="G697" t="s">
        <v>2972</v>
      </c>
    </row>
    <row r="698" spans="1:7">
      <c r="A698">
        <v>94</v>
      </c>
      <c r="B698" t="s">
        <v>2942</v>
      </c>
      <c r="C698" t="s">
        <v>979</v>
      </c>
      <c r="D698" t="s">
        <v>928</v>
      </c>
      <c r="E698" t="s">
        <v>2973</v>
      </c>
      <c r="F698" t="s">
        <v>2974</v>
      </c>
      <c r="G698" t="s">
        <v>2975</v>
      </c>
    </row>
    <row r="699" spans="1:7">
      <c r="A699">
        <v>93</v>
      </c>
      <c r="B699" t="s">
        <v>2942</v>
      </c>
      <c r="C699" t="s">
        <v>1011</v>
      </c>
      <c r="D699" t="s">
        <v>928</v>
      </c>
      <c r="E699" t="s">
        <v>2976</v>
      </c>
      <c r="F699" t="s">
        <v>2977</v>
      </c>
      <c r="G699" t="s">
        <v>2978</v>
      </c>
    </row>
    <row r="700" spans="1:7">
      <c r="A700">
        <v>92</v>
      </c>
      <c r="B700" t="s">
        <v>2942</v>
      </c>
      <c r="C700" t="s">
        <v>979</v>
      </c>
      <c r="D700" t="s">
        <v>928</v>
      </c>
      <c r="E700" t="s">
        <v>2979</v>
      </c>
      <c r="F700" t="s">
        <v>2980</v>
      </c>
      <c r="G700" t="s">
        <v>2981</v>
      </c>
    </row>
    <row r="701" spans="1:7">
      <c r="A701">
        <v>91</v>
      </c>
      <c r="B701" t="s">
        <v>2942</v>
      </c>
      <c r="C701" t="s">
        <v>979</v>
      </c>
      <c r="D701" t="s">
        <v>928</v>
      </c>
      <c r="E701" t="s">
        <v>2982</v>
      </c>
      <c r="F701" t="s">
        <v>2983</v>
      </c>
      <c r="G701" t="s">
        <v>2984</v>
      </c>
    </row>
    <row r="702" spans="1:7">
      <c r="A702">
        <v>90</v>
      </c>
      <c r="B702" t="s">
        <v>2942</v>
      </c>
      <c r="C702" t="s">
        <v>1011</v>
      </c>
      <c r="D702" t="s">
        <v>928</v>
      </c>
      <c r="E702" t="s">
        <v>2985</v>
      </c>
      <c r="F702" t="s">
        <v>2986</v>
      </c>
      <c r="G702" t="s">
        <v>2987</v>
      </c>
    </row>
    <row r="703" spans="1:7">
      <c r="A703">
        <v>89</v>
      </c>
      <c r="B703" t="s">
        <v>2942</v>
      </c>
      <c r="C703" t="s">
        <v>927</v>
      </c>
      <c r="D703" t="s">
        <v>928</v>
      </c>
      <c r="E703" t="s">
        <v>2988</v>
      </c>
      <c r="F703" t="s">
        <v>2989</v>
      </c>
      <c r="G703" t="s">
        <v>2990</v>
      </c>
    </row>
    <row r="704" spans="1:7">
      <c r="A704">
        <v>88</v>
      </c>
      <c r="B704" t="s">
        <v>2942</v>
      </c>
      <c r="C704" t="s">
        <v>979</v>
      </c>
      <c r="D704" t="s">
        <v>928</v>
      </c>
      <c r="E704" t="s">
        <v>2991</v>
      </c>
      <c r="F704" t="s">
        <v>2992</v>
      </c>
      <c r="G704" t="s">
        <v>2993</v>
      </c>
    </row>
    <row r="705" spans="1:7">
      <c r="A705">
        <v>87</v>
      </c>
      <c r="B705" t="s">
        <v>2942</v>
      </c>
      <c r="C705" t="s">
        <v>979</v>
      </c>
      <c r="D705" t="s">
        <v>928</v>
      </c>
      <c r="E705" t="s">
        <v>2994</v>
      </c>
      <c r="F705" t="s">
        <v>2995</v>
      </c>
      <c r="G705" t="s">
        <v>2996</v>
      </c>
    </row>
    <row r="706" spans="1:7">
      <c r="A706">
        <v>86</v>
      </c>
      <c r="B706" t="s">
        <v>2942</v>
      </c>
      <c r="C706" t="s">
        <v>979</v>
      </c>
      <c r="D706" t="s">
        <v>928</v>
      </c>
      <c r="E706" t="s">
        <v>2997</v>
      </c>
      <c r="F706" t="s">
        <v>2998</v>
      </c>
      <c r="G706" t="s">
        <v>2999</v>
      </c>
    </row>
    <row r="707" spans="1:7">
      <c r="A707">
        <v>85</v>
      </c>
      <c r="B707" t="s">
        <v>2942</v>
      </c>
      <c r="C707" t="s">
        <v>979</v>
      </c>
      <c r="D707" t="s">
        <v>928</v>
      </c>
      <c r="E707" t="s">
        <v>3000</v>
      </c>
      <c r="F707" t="s">
        <v>3001</v>
      </c>
      <c r="G707" t="s">
        <v>3002</v>
      </c>
    </row>
    <row r="708" spans="1:7">
      <c r="A708">
        <v>84</v>
      </c>
      <c r="B708" t="s">
        <v>2942</v>
      </c>
      <c r="C708" t="s">
        <v>979</v>
      </c>
      <c r="D708" t="s">
        <v>928</v>
      </c>
      <c r="E708" t="s">
        <v>3003</v>
      </c>
      <c r="F708" t="s">
        <v>3004</v>
      </c>
      <c r="G708" t="s">
        <v>3005</v>
      </c>
    </row>
    <row r="709" spans="1:7">
      <c r="A709">
        <v>83</v>
      </c>
      <c r="B709" t="s">
        <v>2942</v>
      </c>
      <c r="C709" t="s">
        <v>927</v>
      </c>
      <c r="D709" t="s">
        <v>928</v>
      </c>
      <c r="E709" t="s">
        <v>3006</v>
      </c>
      <c r="F709" t="s">
        <v>3007</v>
      </c>
      <c r="G709" t="s">
        <v>3008</v>
      </c>
    </row>
    <row r="710" spans="1:7">
      <c r="A710">
        <v>82</v>
      </c>
      <c r="B710" t="s">
        <v>2942</v>
      </c>
      <c r="C710" t="s">
        <v>979</v>
      </c>
      <c r="D710" t="s">
        <v>928</v>
      </c>
      <c r="E710" t="s">
        <v>3009</v>
      </c>
      <c r="F710" t="s">
        <v>3010</v>
      </c>
      <c r="G710" t="s">
        <v>3011</v>
      </c>
    </row>
    <row r="711" spans="1:7">
      <c r="A711">
        <v>81</v>
      </c>
      <c r="B711" t="s">
        <v>2942</v>
      </c>
      <c r="C711" t="s">
        <v>1011</v>
      </c>
      <c r="D711" t="s">
        <v>928</v>
      </c>
      <c r="E711" t="s">
        <v>3012</v>
      </c>
      <c r="F711" t="s">
        <v>3013</v>
      </c>
      <c r="G711" t="s">
        <v>3014</v>
      </c>
    </row>
    <row r="712" spans="1:7">
      <c r="A712">
        <v>80</v>
      </c>
      <c r="B712" t="s">
        <v>2942</v>
      </c>
      <c r="C712" t="s">
        <v>927</v>
      </c>
      <c r="D712" t="s">
        <v>916</v>
      </c>
      <c r="E712" t="s">
        <v>3015</v>
      </c>
      <c r="F712" t="s">
        <v>3016</v>
      </c>
      <c r="G712" t="s">
        <v>3017</v>
      </c>
    </row>
    <row r="713" spans="1:7">
      <c r="A713">
        <v>79</v>
      </c>
      <c r="B713" t="s">
        <v>2942</v>
      </c>
      <c r="C713" t="s">
        <v>979</v>
      </c>
      <c r="D713" t="s">
        <v>928</v>
      </c>
      <c r="E713" t="s">
        <v>3018</v>
      </c>
      <c r="F713" t="s">
        <v>3019</v>
      </c>
      <c r="G713" t="s">
        <v>3020</v>
      </c>
    </row>
    <row r="714" spans="1:7">
      <c r="A714">
        <v>78</v>
      </c>
      <c r="B714" t="s">
        <v>2942</v>
      </c>
      <c r="C714" t="s">
        <v>927</v>
      </c>
      <c r="D714" t="s">
        <v>928</v>
      </c>
      <c r="E714" t="s">
        <v>3021</v>
      </c>
      <c r="F714" t="s">
        <v>3022</v>
      </c>
      <c r="G714" t="s">
        <v>3023</v>
      </c>
    </row>
    <row r="715" spans="1:7">
      <c r="A715">
        <v>77</v>
      </c>
      <c r="B715" t="s">
        <v>2942</v>
      </c>
      <c r="C715" t="s">
        <v>979</v>
      </c>
      <c r="D715" t="s">
        <v>928</v>
      </c>
      <c r="E715" t="s">
        <v>3024</v>
      </c>
      <c r="F715" t="s">
        <v>3025</v>
      </c>
      <c r="G715" t="s">
        <v>3026</v>
      </c>
    </row>
    <row r="716" spans="1:7">
      <c r="A716">
        <v>76</v>
      </c>
      <c r="B716" t="s">
        <v>2942</v>
      </c>
      <c r="C716" t="s">
        <v>915</v>
      </c>
      <c r="D716" t="s">
        <v>916</v>
      </c>
      <c r="E716" t="s">
        <v>3027</v>
      </c>
      <c r="F716" t="s">
        <v>3028</v>
      </c>
      <c r="G716" t="s">
        <v>3029</v>
      </c>
    </row>
    <row r="717" spans="1:7">
      <c r="A717">
        <v>75</v>
      </c>
      <c r="B717" t="s">
        <v>2942</v>
      </c>
      <c r="C717" t="s">
        <v>979</v>
      </c>
      <c r="D717" t="s">
        <v>928</v>
      </c>
      <c r="E717" t="s">
        <v>3030</v>
      </c>
      <c r="F717" t="s">
        <v>3031</v>
      </c>
      <c r="G717" t="s">
        <v>3032</v>
      </c>
    </row>
    <row r="718" spans="1:7">
      <c r="A718">
        <v>74</v>
      </c>
      <c r="B718" t="s">
        <v>2942</v>
      </c>
      <c r="C718" t="s">
        <v>927</v>
      </c>
      <c r="D718" t="s">
        <v>928</v>
      </c>
      <c r="E718" t="s">
        <v>3033</v>
      </c>
      <c r="F718" t="s">
        <v>3034</v>
      </c>
      <c r="G718" t="s">
        <v>3035</v>
      </c>
    </row>
    <row r="719" spans="1:7">
      <c r="A719">
        <v>73</v>
      </c>
      <c r="B719" t="s">
        <v>2942</v>
      </c>
      <c r="C719" t="s">
        <v>979</v>
      </c>
      <c r="D719" t="s">
        <v>928</v>
      </c>
      <c r="E719" t="s">
        <v>3036</v>
      </c>
      <c r="F719" t="s">
        <v>3037</v>
      </c>
      <c r="G719" t="s">
        <v>3038</v>
      </c>
    </row>
    <row r="720" spans="1:7">
      <c r="A720">
        <v>72</v>
      </c>
      <c r="B720" t="s">
        <v>2942</v>
      </c>
      <c r="C720" t="s">
        <v>979</v>
      </c>
      <c r="D720" t="s">
        <v>928</v>
      </c>
      <c r="E720" t="s">
        <v>3039</v>
      </c>
      <c r="F720" t="s">
        <v>3040</v>
      </c>
      <c r="G720" t="s">
        <v>3041</v>
      </c>
    </row>
    <row r="721" spans="1:7">
      <c r="A721">
        <v>71</v>
      </c>
      <c r="B721" t="s">
        <v>2942</v>
      </c>
      <c r="C721" t="s">
        <v>915</v>
      </c>
      <c r="D721" t="s">
        <v>928</v>
      </c>
      <c r="E721" t="s">
        <v>3042</v>
      </c>
      <c r="F721" t="s">
        <v>3043</v>
      </c>
      <c r="G721" t="s">
        <v>3044</v>
      </c>
    </row>
    <row r="722" spans="1:7">
      <c r="A722">
        <v>70</v>
      </c>
      <c r="B722" t="s">
        <v>2942</v>
      </c>
      <c r="C722" t="s">
        <v>915</v>
      </c>
      <c r="D722" t="s">
        <v>916</v>
      </c>
      <c r="E722" t="s">
        <v>3045</v>
      </c>
      <c r="F722" t="s">
        <v>3046</v>
      </c>
      <c r="G722" t="s">
        <v>3047</v>
      </c>
    </row>
    <row r="723" spans="1:7">
      <c r="A723">
        <v>69</v>
      </c>
      <c r="B723" t="s">
        <v>2942</v>
      </c>
      <c r="C723" t="s">
        <v>927</v>
      </c>
      <c r="D723" t="s">
        <v>928</v>
      </c>
      <c r="E723" t="s">
        <v>3048</v>
      </c>
      <c r="F723" t="s">
        <v>3049</v>
      </c>
      <c r="G723" t="s">
        <v>3050</v>
      </c>
    </row>
    <row r="724" spans="1:7">
      <c r="A724">
        <v>68</v>
      </c>
      <c r="B724" t="s">
        <v>2942</v>
      </c>
      <c r="C724" t="s">
        <v>979</v>
      </c>
      <c r="D724" t="s">
        <v>928</v>
      </c>
      <c r="E724" t="s">
        <v>3051</v>
      </c>
      <c r="F724" t="s">
        <v>3052</v>
      </c>
      <c r="G724" t="s">
        <v>3053</v>
      </c>
    </row>
    <row r="725" spans="1:7">
      <c r="A725">
        <v>67</v>
      </c>
      <c r="B725" t="s">
        <v>2942</v>
      </c>
      <c r="C725" t="s">
        <v>927</v>
      </c>
      <c r="D725" t="s">
        <v>928</v>
      </c>
      <c r="E725" t="s">
        <v>3054</v>
      </c>
      <c r="F725" t="s">
        <v>3055</v>
      </c>
      <c r="G725" t="s">
        <v>3056</v>
      </c>
    </row>
    <row r="726" spans="1:7">
      <c r="A726">
        <v>66</v>
      </c>
      <c r="B726" t="s">
        <v>2942</v>
      </c>
      <c r="C726" t="s">
        <v>979</v>
      </c>
      <c r="D726" t="s">
        <v>928</v>
      </c>
      <c r="E726" t="s">
        <v>3057</v>
      </c>
      <c r="F726" t="s">
        <v>3058</v>
      </c>
      <c r="G726" t="s">
        <v>3059</v>
      </c>
    </row>
    <row r="727" spans="1:7">
      <c r="A727">
        <v>65</v>
      </c>
      <c r="B727" t="s">
        <v>2942</v>
      </c>
      <c r="C727" t="s">
        <v>1011</v>
      </c>
      <c r="D727" t="s">
        <v>928</v>
      </c>
      <c r="E727" t="s">
        <v>3060</v>
      </c>
      <c r="F727" t="s">
        <v>3061</v>
      </c>
      <c r="G727" t="s">
        <v>3062</v>
      </c>
    </row>
    <row r="728" spans="1:7">
      <c r="A728">
        <v>64</v>
      </c>
      <c r="B728" t="s">
        <v>2942</v>
      </c>
      <c r="C728" t="s">
        <v>927</v>
      </c>
      <c r="D728" t="s">
        <v>928</v>
      </c>
      <c r="E728" t="s">
        <v>3063</v>
      </c>
      <c r="F728" t="s">
        <v>3064</v>
      </c>
      <c r="G728" t="s">
        <v>3065</v>
      </c>
    </row>
    <row r="729" spans="1:7">
      <c r="A729">
        <v>63</v>
      </c>
      <c r="B729" t="s">
        <v>2942</v>
      </c>
      <c r="C729" t="s">
        <v>979</v>
      </c>
      <c r="D729" t="s">
        <v>928</v>
      </c>
      <c r="E729" t="s">
        <v>3066</v>
      </c>
      <c r="F729" t="s">
        <v>3067</v>
      </c>
      <c r="G729" t="s">
        <v>3068</v>
      </c>
    </row>
    <row r="730" spans="1:7">
      <c r="A730">
        <v>62</v>
      </c>
      <c r="B730" t="s">
        <v>2942</v>
      </c>
      <c r="C730" t="s">
        <v>979</v>
      </c>
      <c r="D730" t="s">
        <v>928</v>
      </c>
      <c r="E730" t="s">
        <v>3069</v>
      </c>
      <c r="F730" t="s">
        <v>3070</v>
      </c>
      <c r="G730" t="s">
        <v>3071</v>
      </c>
    </row>
    <row r="731" spans="1:7">
      <c r="A731">
        <v>61</v>
      </c>
      <c r="B731" t="s">
        <v>2942</v>
      </c>
      <c r="C731" t="s">
        <v>979</v>
      </c>
      <c r="D731" t="s">
        <v>928</v>
      </c>
      <c r="E731" t="s">
        <v>3072</v>
      </c>
      <c r="F731" t="s">
        <v>3073</v>
      </c>
      <c r="G731" t="s">
        <v>3074</v>
      </c>
    </row>
    <row r="732" spans="1:7">
      <c r="A732">
        <v>60</v>
      </c>
      <c r="B732" t="s">
        <v>2942</v>
      </c>
      <c r="C732" t="s">
        <v>915</v>
      </c>
      <c r="D732" t="s">
        <v>928</v>
      </c>
      <c r="E732" t="s">
        <v>3075</v>
      </c>
      <c r="F732" t="s">
        <v>3076</v>
      </c>
      <c r="G732" t="s">
        <v>3077</v>
      </c>
    </row>
    <row r="733" spans="1:7">
      <c r="A733">
        <v>59</v>
      </c>
      <c r="B733" t="s">
        <v>2942</v>
      </c>
      <c r="C733" t="s">
        <v>927</v>
      </c>
      <c r="D733" t="s">
        <v>928</v>
      </c>
      <c r="E733" t="s">
        <v>3078</v>
      </c>
      <c r="F733" t="s">
        <v>3076</v>
      </c>
      <c r="G733" t="s">
        <v>3077</v>
      </c>
    </row>
    <row r="734" spans="1:7">
      <c r="A734">
        <v>58</v>
      </c>
      <c r="B734" t="s">
        <v>2942</v>
      </c>
      <c r="C734" t="s">
        <v>920</v>
      </c>
      <c r="D734" t="s">
        <v>916</v>
      </c>
      <c r="E734" t="s">
        <v>3079</v>
      </c>
      <c r="F734" t="s">
        <v>3080</v>
      </c>
      <c r="G734" t="s">
        <v>3081</v>
      </c>
    </row>
    <row r="735" spans="1:7">
      <c r="A735">
        <v>57</v>
      </c>
      <c r="B735" t="s">
        <v>2942</v>
      </c>
      <c r="C735" t="s">
        <v>915</v>
      </c>
      <c r="D735" t="s">
        <v>916</v>
      </c>
      <c r="E735" t="s">
        <v>3082</v>
      </c>
      <c r="F735" t="s">
        <v>3083</v>
      </c>
      <c r="G735" t="s">
        <v>3084</v>
      </c>
    </row>
    <row r="736" spans="1:7">
      <c r="A736">
        <v>56</v>
      </c>
      <c r="B736" t="s">
        <v>2942</v>
      </c>
      <c r="C736" t="s">
        <v>927</v>
      </c>
      <c r="D736" t="s">
        <v>916</v>
      </c>
      <c r="E736" t="s">
        <v>3085</v>
      </c>
      <c r="F736" t="s">
        <v>3083</v>
      </c>
      <c r="G736" t="s">
        <v>3086</v>
      </c>
    </row>
    <row r="737" spans="1:7">
      <c r="A737">
        <v>55</v>
      </c>
      <c r="B737" t="s">
        <v>2942</v>
      </c>
      <c r="C737" t="s">
        <v>979</v>
      </c>
      <c r="D737" t="s">
        <v>928</v>
      </c>
      <c r="E737" t="s">
        <v>3087</v>
      </c>
      <c r="F737" t="s">
        <v>3088</v>
      </c>
      <c r="G737" t="s">
        <v>3089</v>
      </c>
    </row>
    <row r="738" spans="1:7">
      <c r="A738">
        <v>54</v>
      </c>
      <c r="B738" t="s">
        <v>2942</v>
      </c>
      <c r="C738" t="s">
        <v>979</v>
      </c>
      <c r="D738" t="s">
        <v>928</v>
      </c>
      <c r="E738" t="s">
        <v>3090</v>
      </c>
      <c r="F738" t="s">
        <v>3091</v>
      </c>
      <c r="G738" t="s">
        <v>3092</v>
      </c>
    </row>
    <row r="739" spans="1:7">
      <c r="A739">
        <v>53</v>
      </c>
      <c r="B739" t="s">
        <v>2942</v>
      </c>
      <c r="C739" t="s">
        <v>979</v>
      </c>
      <c r="D739" t="s">
        <v>928</v>
      </c>
      <c r="E739" t="s">
        <v>3093</v>
      </c>
      <c r="F739" t="s">
        <v>3094</v>
      </c>
      <c r="G739" t="s">
        <v>3095</v>
      </c>
    </row>
    <row r="740" spans="1:7">
      <c r="A740">
        <v>52</v>
      </c>
      <c r="B740" t="s">
        <v>2942</v>
      </c>
      <c r="C740" t="s">
        <v>915</v>
      </c>
      <c r="D740" t="s">
        <v>916</v>
      </c>
      <c r="E740" t="s">
        <v>3096</v>
      </c>
      <c r="F740" t="s">
        <v>3097</v>
      </c>
      <c r="G740" t="s">
        <v>3098</v>
      </c>
    </row>
    <row r="741" spans="1:7">
      <c r="A741">
        <v>51</v>
      </c>
      <c r="B741" t="s">
        <v>2942</v>
      </c>
      <c r="C741" t="s">
        <v>915</v>
      </c>
      <c r="D741" t="s">
        <v>928</v>
      </c>
      <c r="E741" t="s">
        <v>3099</v>
      </c>
      <c r="F741" t="s">
        <v>3100</v>
      </c>
      <c r="G741" t="s">
        <v>3101</v>
      </c>
    </row>
    <row r="742" spans="1:7">
      <c r="A742">
        <v>50</v>
      </c>
      <c r="B742" t="s">
        <v>2942</v>
      </c>
      <c r="C742" t="s">
        <v>927</v>
      </c>
      <c r="D742" t="s">
        <v>916</v>
      </c>
      <c r="E742" t="s">
        <v>3102</v>
      </c>
      <c r="F742" t="s">
        <v>3103</v>
      </c>
      <c r="G742" t="s">
        <v>3104</v>
      </c>
    </row>
    <row r="743" spans="1:7">
      <c r="A743">
        <v>49</v>
      </c>
      <c r="B743" t="s">
        <v>2942</v>
      </c>
      <c r="C743" t="s">
        <v>979</v>
      </c>
      <c r="D743" t="s">
        <v>928</v>
      </c>
      <c r="E743" t="s">
        <v>3105</v>
      </c>
      <c r="F743" t="s">
        <v>3106</v>
      </c>
      <c r="G743" t="s">
        <v>3107</v>
      </c>
    </row>
    <row r="744" spans="1:7">
      <c r="A744">
        <v>48</v>
      </c>
      <c r="B744" t="s">
        <v>3108</v>
      </c>
      <c r="C744" t="s">
        <v>927</v>
      </c>
      <c r="D744" t="s">
        <v>928</v>
      </c>
      <c r="E744" t="s">
        <v>3109</v>
      </c>
      <c r="F744" t="s">
        <v>3110</v>
      </c>
      <c r="G744" t="s">
        <v>3111</v>
      </c>
    </row>
    <row r="745" spans="1:7">
      <c r="A745">
        <v>47</v>
      </c>
      <c r="B745" t="s">
        <v>3108</v>
      </c>
      <c r="C745" t="s">
        <v>979</v>
      </c>
      <c r="D745" t="s">
        <v>928</v>
      </c>
      <c r="E745" t="s">
        <v>3112</v>
      </c>
      <c r="F745" t="s">
        <v>3113</v>
      </c>
      <c r="G745" t="s">
        <v>3114</v>
      </c>
    </row>
    <row r="746" spans="1:7">
      <c r="A746">
        <v>46</v>
      </c>
      <c r="B746" t="s">
        <v>3108</v>
      </c>
      <c r="C746" t="s">
        <v>915</v>
      </c>
      <c r="D746" t="s">
        <v>928</v>
      </c>
      <c r="E746" t="s">
        <v>3115</v>
      </c>
      <c r="F746" t="s">
        <v>3116</v>
      </c>
      <c r="G746" t="s">
        <v>3117</v>
      </c>
    </row>
    <row r="747" spans="1:7">
      <c r="A747">
        <v>45</v>
      </c>
      <c r="B747" t="s">
        <v>3108</v>
      </c>
      <c r="C747" t="s">
        <v>927</v>
      </c>
      <c r="D747" t="s">
        <v>928</v>
      </c>
      <c r="E747" t="s">
        <v>3118</v>
      </c>
      <c r="F747" t="s">
        <v>3119</v>
      </c>
      <c r="G747" t="s">
        <v>3120</v>
      </c>
    </row>
    <row r="748" spans="1:7">
      <c r="A748">
        <v>44</v>
      </c>
      <c r="B748" t="s">
        <v>3108</v>
      </c>
      <c r="C748" t="s">
        <v>979</v>
      </c>
      <c r="D748" t="s">
        <v>928</v>
      </c>
      <c r="E748" t="s">
        <v>3121</v>
      </c>
      <c r="F748" t="s">
        <v>3122</v>
      </c>
      <c r="G748" t="s">
        <v>3123</v>
      </c>
    </row>
    <row r="749" spans="1:7">
      <c r="A749">
        <v>43</v>
      </c>
      <c r="B749" t="s">
        <v>3108</v>
      </c>
      <c r="C749" t="s">
        <v>927</v>
      </c>
      <c r="D749" t="s">
        <v>928</v>
      </c>
      <c r="E749" t="s">
        <v>3124</v>
      </c>
      <c r="F749" t="s">
        <v>3125</v>
      </c>
      <c r="G749" t="s">
        <v>3126</v>
      </c>
    </row>
    <row r="750" spans="1:7">
      <c r="A750">
        <v>42</v>
      </c>
      <c r="B750" t="s">
        <v>3108</v>
      </c>
      <c r="C750" t="s">
        <v>979</v>
      </c>
      <c r="D750" t="s">
        <v>928</v>
      </c>
      <c r="E750" t="s">
        <v>3127</v>
      </c>
      <c r="F750" t="s">
        <v>3128</v>
      </c>
      <c r="G750" t="s">
        <v>3129</v>
      </c>
    </row>
    <row r="751" spans="1:7">
      <c r="A751">
        <v>41</v>
      </c>
      <c r="B751" t="s">
        <v>3108</v>
      </c>
      <c r="C751" t="s">
        <v>927</v>
      </c>
      <c r="D751" t="s">
        <v>928</v>
      </c>
      <c r="E751" t="s">
        <v>3130</v>
      </c>
      <c r="F751" t="s">
        <v>3131</v>
      </c>
      <c r="G751" t="s">
        <v>3132</v>
      </c>
    </row>
    <row r="752" spans="1:7">
      <c r="A752">
        <v>40</v>
      </c>
      <c r="B752" t="s">
        <v>3108</v>
      </c>
      <c r="C752" t="s">
        <v>979</v>
      </c>
      <c r="D752" t="s">
        <v>928</v>
      </c>
      <c r="E752" t="s">
        <v>3133</v>
      </c>
      <c r="F752" t="s">
        <v>3134</v>
      </c>
      <c r="G752" t="s">
        <v>3135</v>
      </c>
    </row>
    <row r="753" spans="1:7">
      <c r="A753">
        <v>39</v>
      </c>
      <c r="B753" t="s">
        <v>3108</v>
      </c>
      <c r="C753" t="s">
        <v>979</v>
      </c>
      <c r="D753" t="s">
        <v>928</v>
      </c>
      <c r="E753" t="s">
        <v>3136</v>
      </c>
      <c r="F753" t="s">
        <v>3137</v>
      </c>
      <c r="G753" t="s">
        <v>3138</v>
      </c>
    </row>
    <row r="754" spans="1:7">
      <c r="A754">
        <v>38</v>
      </c>
      <c r="B754" t="s">
        <v>3108</v>
      </c>
      <c r="C754" t="s">
        <v>915</v>
      </c>
      <c r="D754" t="s">
        <v>928</v>
      </c>
      <c r="E754" t="s">
        <v>3139</v>
      </c>
      <c r="F754" t="s">
        <v>3140</v>
      </c>
      <c r="G754" t="s">
        <v>3141</v>
      </c>
    </row>
    <row r="755" spans="1:7">
      <c r="A755">
        <v>37</v>
      </c>
      <c r="B755" t="s">
        <v>3108</v>
      </c>
      <c r="C755" t="s">
        <v>927</v>
      </c>
      <c r="D755" t="s">
        <v>928</v>
      </c>
      <c r="E755" t="s">
        <v>3142</v>
      </c>
      <c r="F755" t="s">
        <v>3140</v>
      </c>
      <c r="G755" t="s">
        <v>3141</v>
      </c>
    </row>
    <row r="756" spans="1:7">
      <c r="A756">
        <v>36</v>
      </c>
      <c r="B756" t="s">
        <v>3108</v>
      </c>
      <c r="C756" t="s">
        <v>979</v>
      </c>
      <c r="D756" t="s">
        <v>928</v>
      </c>
      <c r="E756" t="s">
        <v>3143</v>
      </c>
      <c r="F756" t="s">
        <v>3140</v>
      </c>
      <c r="G756" t="s">
        <v>3141</v>
      </c>
    </row>
    <row r="757" spans="1:7">
      <c r="A757">
        <v>35</v>
      </c>
      <c r="B757" t="s">
        <v>3108</v>
      </c>
      <c r="C757" t="s">
        <v>979</v>
      </c>
      <c r="D757" t="s">
        <v>928</v>
      </c>
      <c r="E757" t="s">
        <v>3144</v>
      </c>
      <c r="F757" t="s">
        <v>3145</v>
      </c>
      <c r="G757" t="s">
        <v>3146</v>
      </c>
    </row>
    <row r="758" spans="1:7">
      <c r="A758">
        <v>34</v>
      </c>
      <c r="B758" t="s">
        <v>3108</v>
      </c>
      <c r="C758" t="s">
        <v>979</v>
      </c>
      <c r="D758" t="s">
        <v>928</v>
      </c>
      <c r="E758" t="s">
        <v>3147</v>
      </c>
      <c r="F758" t="s">
        <v>3148</v>
      </c>
      <c r="G758" t="s">
        <v>3149</v>
      </c>
    </row>
    <row r="759" spans="1:7">
      <c r="A759">
        <v>33</v>
      </c>
      <c r="B759" t="s">
        <v>3108</v>
      </c>
      <c r="C759" t="s">
        <v>927</v>
      </c>
      <c r="D759" t="s">
        <v>928</v>
      </c>
      <c r="E759" t="s">
        <v>3150</v>
      </c>
      <c r="F759" t="s">
        <v>3137</v>
      </c>
      <c r="G759" t="s">
        <v>3138</v>
      </c>
    </row>
    <row r="760" spans="1:7">
      <c r="A760">
        <v>32</v>
      </c>
      <c r="B760" t="s">
        <v>3108</v>
      </c>
      <c r="C760" t="s">
        <v>979</v>
      </c>
      <c r="D760" t="s">
        <v>928</v>
      </c>
      <c r="E760" t="s">
        <v>3151</v>
      </c>
      <c r="F760" t="s">
        <v>3152</v>
      </c>
      <c r="G760" t="s">
        <v>3153</v>
      </c>
    </row>
    <row r="761" spans="1:7">
      <c r="A761">
        <v>31</v>
      </c>
      <c r="B761" t="s">
        <v>3108</v>
      </c>
      <c r="C761" t="s">
        <v>979</v>
      </c>
      <c r="D761" t="s">
        <v>928</v>
      </c>
      <c r="E761" t="s">
        <v>3154</v>
      </c>
      <c r="F761" t="s">
        <v>3155</v>
      </c>
      <c r="G761" t="s">
        <v>3156</v>
      </c>
    </row>
    <row r="762" spans="1:7">
      <c r="A762">
        <v>30</v>
      </c>
      <c r="B762" t="s">
        <v>3108</v>
      </c>
      <c r="C762" t="s">
        <v>927</v>
      </c>
      <c r="D762" t="s">
        <v>928</v>
      </c>
      <c r="E762" t="s">
        <v>3157</v>
      </c>
      <c r="F762" t="s">
        <v>3158</v>
      </c>
      <c r="G762" t="s">
        <v>3159</v>
      </c>
    </row>
    <row r="763" spans="1:7">
      <c r="A763">
        <v>29</v>
      </c>
      <c r="B763" t="s">
        <v>3108</v>
      </c>
      <c r="C763" t="s">
        <v>979</v>
      </c>
      <c r="D763" t="s">
        <v>928</v>
      </c>
      <c r="E763" t="s">
        <v>3160</v>
      </c>
      <c r="F763" t="s">
        <v>3161</v>
      </c>
      <c r="G763" t="s">
        <v>3162</v>
      </c>
    </row>
    <row r="764" spans="1:7">
      <c r="A764">
        <v>28</v>
      </c>
      <c r="B764" t="s">
        <v>3108</v>
      </c>
      <c r="C764" t="s">
        <v>927</v>
      </c>
      <c r="D764" t="s">
        <v>928</v>
      </c>
      <c r="E764" t="s">
        <v>3163</v>
      </c>
      <c r="F764" t="s">
        <v>3164</v>
      </c>
      <c r="G764" t="s">
        <v>3165</v>
      </c>
    </row>
    <row r="765" spans="1:7">
      <c r="A765">
        <v>27</v>
      </c>
      <c r="B765" t="s">
        <v>3108</v>
      </c>
      <c r="C765" t="s">
        <v>1011</v>
      </c>
      <c r="D765" t="s">
        <v>928</v>
      </c>
      <c r="E765" t="s">
        <v>3166</v>
      </c>
      <c r="F765" t="s">
        <v>3167</v>
      </c>
      <c r="G765" t="s">
        <v>3168</v>
      </c>
    </row>
    <row r="766" spans="1:7">
      <c r="A766">
        <v>26</v>
      </c>
      <c r="B766" t="s">
        <v>3108</v>
      </c>
      <c r="C766" t="s">
        <v>927</v>
      </c>
      <c r="D766" t="s">
        <v>928</v>
      </c>
      <c r="E766" t="s">
        <v>3169</v>
      </c>
      <c r="F766" t="s">
        <v>3170</v>
      </c>
      <c r="G766" t="s">
        <v>3171</v>
      </c>
    </row>
    <row r="767" spans="1:7">
      <c r="A767">
        <v>25</v>
      </c>
      <c r="B767" t="s">
        <v>3108</v>
      </c>
      <c r="C767" t="s">
        <v>915</v>
      </c>
      <c r="D767" t="s">
        <v>928</v>
      </c>
      <c r="E767" t="s">
        <v>3172</v>
      </c>
      <c r="F767" t="s">
        <v>3173</v>
      </c>
      <c r="G767" t="s">
        <v>3174</v>
      </c>
    </row>
    <row r="768" spans="1:7">
      <c r="A768">
        <v>24</v>
      </c>
      <c r="B768" t="s">
        <v>3108</v>
      </c>
      <c r="C768" t="s">
        <v>979</v>
      </c>
      <c r="D768" t="s">
        <v>928</v>
      </c>
      <c r="E768" t="s">
        <v>3175</v>
      </c>
      <c r="F768" t="s">
        <v>3176</v>
      </c>
      <c r="G768" t="s">
        <v>3177</v>
      </c>
    </row>
    <row r="769" spans="1:7">
      <c r="A769">
        <v>23</v>
      </c>
      <c r="B769" t="s">
        <v>3108</v>
      </c>
      <c r="C769" t="s">
        <v>927</v>
      </c>
      <c r="D769" t="s">
        <v>928</v>
      </c>
      <c r="E769" t="s">
        <v>3178</v>
      </c>
      <c r="F769" t="s">
        <v>3179</v>
      </c>
      <c r="G769" t="s">
        <v>3180</v>
      </c>
    </row>
    <row r="770" spans="1:7">
      <c r="A770">
        <v>22</v>
      </c>
      <c r="B770" t="s">
        <v>3108</v>
      </c>
      <c r="C770" t="s">
        <v>979</v>
      </c>
      <c r="D770" t="s">
        <v>928</v>
      </c>
      <c r="E770" t="s">
        <v>3181</v>
      </c>
      <c r="F770" t="s">
        <v>3182</v>
      </c>
      <c r="G770" t="s">
        <v>3183</v>
      </c>
    </row>
    <row r="771" spans="1:7">
      <c r="A771">
        <v>21</v>
      </c>
      <c r="B771" t="s">
        <v>3108</v>
      </c>
      <c r="C771" t="s">
        <v>915</v>
      </c>
      <c r="D771" t="s">
        <v>928</v>
      </c>
      <c r="E771" t="s">
        <v>3184</v>
      </c>
      <c r="F771" t="s">
        <v>3185</v>
      </c>
      <c r="G771" t="s">
        <v>3186</v>
      </c>
    </row>
    <row r="772" spans="1:7">
      <c r="A772">
        <v>20</v>
      </c>
      <c r="B772" t="s">
        <v>3108</v>
      </c>
      <c r="C772" t="s">
        <v>915</v>
      </c>
      <c r="D772" t="s">
        <v>916</v>
      </c>
      <c r="E772" t="s">
        <v>3187</v>
      </c>
      <c r="F772" t="s">
        <v>3188</v>
      </c>
      <c r="G772" t="s">
        <v>3189</v>
      </c>
    </row>
    <row r="773" spans="1:7">
      <c r="A773">
        <v>19</v>
      </c>
      <c r="B773" t="s">
        <v>3190</v>
      </c>
      <c r="C773" t="s">
        <v>979</v>
      </c>
      <c r="D773" t="s">
        <v>928</v>
      </c>
      <c r="E773" t="s">
        <v>3191</v>
      </c>
      <c r="F773" t="s">
        <v>3192</v>
      </c>
      <c r="G773" t="s">
        <v>3193</v>
      </c>
    </row>
    <row r="774" spans="1:7">
      <c r="A774">
        <v>18</v>
      </c>
      <c r="B774" t="s">
        <v>3190</v>
      </c>
      <c r="C774" t="s">
        <v>979</v>
      </c>
      <c r="D774" t="s">
        <v>928</v>
      </c>
      <c r="E774" t="s">
        <v>3194</v>
      </c>
      <c r="F774" t="s">
        <v>3195</v>
      </c>
      <c r="G774" t="s">
        <v>3196</v>
      </c>
    </row>
    <row r="775" spans="1:7">
      <c r="A775">
        <v>17</v>
      </c>
      <c r="B775" t="s">
        <v>3190</v>
      </c>
      <c r="C775" t="s">
        <v>915</v>
      </c>
      <c r="D775" t="s">
        <v>928</v>
      </c>
      <c r="E775" t="s">
        <v>3197</v>
      </c>
      <c r="F775" t="s">
        <v>3198</v>
      </c>
      <c r="G775" t="s">
        <v>3199</v>
      </c>
    </row>
    <row r="776" spans="1:7">
      <c r="A776">
        <v>16</v>
      </c>
      <c r="B776" t="s">
        <v>3190</v>
      </c>
      <c r="C776" t="s">
        <v>1011</v>
      </c>
      <c r="D776" t="s">
        <v>928</v>
      </c>
      <c r="E776" t="s">
        <v>3200</v>
      </c>
      <c r="F776" t="s">
        <v>3201</v>
      </c>
      <c r="G776" t="s">
        <v>3202</v>
      </c>
    </row>
    <row r="777" spans="1:7">
      <c r="A777">
        <v>15</v>
      </c>
      <c r="B777" t="s">
        <v>3190</v>
      </c>
      <c r="C777" t="s">
        <v>979</v>
      </c>
      <c r="D777" t="s">
        <v>928</v>
      </c>
      <c r="E777" t="s">
        <v>3203</v>
      </c>
      <c r="F777" t="s">
        <v>3204</v>
      </c>
      <c r="G777" t="s">
        <v>3205</v>
      </c>
    </row>
    <row r="778" spans="1:7">
      <c r="A778">
        <v>14</v>
      </c>
      <c r="B778" t="s">
        <v>3190</v>
      </c>
      <c r="C778" t="s">
        <v>927</v>
      </c>
      <c r="D778" t="s">
        <v>928</v>
      </c>
      <c r="E778" t="s">
        <v>3206</v>
      </c>
      <c r="F778" t="s">
        <v>3207</v>
      </c>
      <c r="G778" t="s">
        <v>3208</v>
      </c>
    </row>
    <row r="779" spans="1:7">
      <c r="A779">
        <v>13</v>
      </c>
      <c r="B779" t="s">
        <v>3190</v>
      </c>
      <c r="C779" t="s">
        <v>979</v>
      </c>
      <c r="D779" t="s">
        <v>928</v>
      </c>
      <c r="E779" t="s">
        <v>3209</v>
      </c>
      <c r="F779" t="s">
        <v>3210</v>
      </c>
      <c r="G779" t="s">
        <v>3211</v>
      </c>
    </row>
    <row r="780" spans="1:7">
      <c r="A780">
        <v>12</v>
      </c>
      <c r="B780" t="s">
        <v>3190</v>
      </c>
      <c r="C780" t="s">
        <v>979</v>
      </c>
      <c r="D780" t="s">
        <v>928</v>
      </c>
      <c r="E780" t="s">
        <v>3212</v>
      </c>
      <c r="F780" t="s">
        <v>3213</v>
      </c>
      <c r="G780" t="s">
        <v>3214</v>
      </c>
    </row>
    <row r="781" spans="1:7">
      <c r="A781">
        <v>11</v>
      </c>
      <c r="B781" t="s">
        <v>3190</v>
      </c>
      <c r="C781" t="s">
        <v>927</v>
      </c>
      <c r="D781" t="s">
        <v>928</v>
      </c>
      <c r="E781" t="s">
        <v>3215</v>
      </c>
      <c r="F781" t="s">
        <v>3216</v>
      </c>
      <c r="G781" t="s">
        <v>3217</v>
      </c>
    </row>
    <row r="782" spans="1:7">
      <c r="A782">
        <v>10</v>
      </c>
      <c r="B782" t="s">
        <v>3190</v>
      </c>
      <c r="C782" t="s">
        <v>979</v>
      </c>
      <c r="D782" t="s">
        <v>928</v>
      </c>
      <c r="E782" t="s">
        <v>3218</v>
      </c>
      <c r="F782" t="s">
        <v>3216</v>
      </c>
      <c r="G782" t="s">
        <v>3219</v>
      </c>
    </row>
    <row r="783" spans="1:7">
      <c r="A783">
        <v>9</v>
      </c>
      <c r="B783" t="s">
        <v>3190</v>
      </c>
      <c r="C783" t="s">
        <v>915</v>
      </c>
      <c r="D783" t="s">
        <v>928</v>
      </c>
      <c r="E783" t="s">
        <v>3220</v>
      </c>
      <c r="F783" t="s">
        <v>3221</v>
      </c>
      <c r="G783" t="s">
        <v>3222</v>
      </c>
    </row>
    <row r="784" spans="1:7">
      <c r="A784">
        <v>8</v>
      </c>
      <c r="B784" t="s">
        <v>3190</v>
      </c>
      <c r="C784" t="s">
        <v>927</v>
      </c>
      <c r="D784" t="s">
        <v>928</v>
      </c>
      <c r="E784" t="s">
        <v>3223</v>
      </c>
      <c r="F784" t="s">
        <v>3221</v>
      </c>
      <c r="G784" t="s">
        <v>3222</v>
      </c>
    </row>
    <row r="785" spans="1:7">
      <c r="A785">
        <v>7</v>
      </c>
      <c r="B785" t="s">
        <v>3190</v>
      </c>
      <c r="C785" t="s">
        <v>979</v>
      </c>
      <c r="D785" t="s">
        <v>928</v>
      </c>
      <c r="E785" t="s">
        <v>3224</v>
      </c>
      <c r="F785" t="s">
        <v>3225</v>
      </c>
      <c r="G785" t="s">
        <v>3226</v>
      </c>
    </row>
    <row r="786" spans="1:7">
      <c r="A786">
        <v>6</v>
      </c>
      <c r="B786" t="s">
        <v>3190</v>
      </c>
      <c r="C786" t="s">
        <v>915</v>
      </c>
      <c r="D786" t="s">
        <v>928</v>
      </c>
      <c r="E786" t="s">
        <v>3227</v>
      </c>
      <c r="F786" t="s">
        <v>3228</v>
      </c>
      <c r="G786" t="s">
        <v>3229</v>
      </c>
    </row>
    <row r="787" spans="1:7">
      <c r="A787">
        <v>5</v>
      </c>
      <c r="B787" t="s">
        <v>3190</v>
      </c>
      <c r="C787" t="s">
        <v>927</v>
      </c>
      <c r="D787" t="s">
        <v>928</v>
      </c>
      <c r="E787" t="s">
        <v>3230</v>
      </c>
      <c r="F787" t="s">
        <v>3231</v>
      </c>
      <c r="G787" t="s">
        <v>3232</v>
      </c>
    </row>
    <row r="788" spans="1:7">
      <c r="A788">
        <v>4</v>
      </c>
      <c r="B788" t="s">
        <v>3190</v>
      </c>
      <c r="C788" t="s">
        <v>979</v>
      </c>
      <c r="D788" t="s">
        <v>928</v>
      </c>
      <c r="E788" t="s">
        <v>3233</v>
      </c>
      <c r="F788" t="s">
        <v>3234</v>
      </c>
      <c r="G788" t="s">
        <v>3235</v>
      </c>
    </row>
    <row r="789" spans="1:7">
      <c r="A789">
        <v>3</v>
      </c>
      <c r="B789" t="s">
        <v>3190</v>
      </c>
      <c r="C789" t="s">
        <v>927</v>
      </c>
      <c r="D789" t="s">
        <v>928</v>
      </c>
      <c r="E789" t="s">
        <v>3236</v>
      </c>
      <c r="F789" t="s">
        <v>3237</v>
      </c>
      <c r="G789" t="s">
        <v>3238</v>
      </c>
    </row>
    <row r="790" spans="1:7">
      <c r="A790">
        <v>2</v>
      </c>
      <c r="B790" t="s">
        <v>3190</v>
      </c>
      <c r="C790" t="s">
        <v>979</v>
      </c>
      <c r="D790" t="s">
        <v>928</v>
      </c>
      <c r="E790" t="s">
        <v>3239</v>
      </c>
      <c r="F790" t="s">
        <v>3240</v>
      </c>
      <c r="G790" t="s">
        <v>3241</v>
      </c>
    </row>
    <row r="791" spans="1:7">
      <c r="A791">
        <v>1</v>
      </c>
      <c r="B791" t="s">
        <v>3190</v>
      </c>
      <c r="C791" t="s">
        <v>915</v>
      </c>
      <c r="D791" t="s">
        <v>916</v>
      </c>
      <c r="E791" t="s">
        <v>3242</v>
      </c>
      <c r="F791" t="s">
        <v>3243</v>
      </c>
      <c r="G791" t="s">
        <v>3244</v>
      </c>
    </row>
    <row r="793" spans="1:7">
      <c r="A793" s="4" t="s">
        <v>3245</v>
      </c>
      <c r="B793" s="39">
        <v>790</v>
      </c>
    </row>
  </sheetData>
  <phoneticPr fontId="6"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4E285C-2298-4557-BC9A-F79749B56371}">
  <sheetPr codeName="Sheet8"/>
  <dimension ref="A1:W500"/>
  <sheetViews>
    <sheetView workbookViewId="0"/>
  </sheetViews>
  <sheetFormatPr defaultRowHeight="17.399999999999999"/>
  <sheetData>
    <row r="1" spans="1:23">
      <c r="A1" s="3" t="s">
        <v>85</v>
      </c>
      <c r="B1" s="3" t="s">
        <v>86</v>
      </c>
      <c r="C1" s="3" t="s">
        <v>87</v>
      </c>
      <c r="D1" s="3" t="s">
        <v>7</v>
      </c>
      <c r="E1" s="3" t="s">
        <v>88</v>
      </c>
      <c r="F1" s="3" t="s">
        <v>89</v>
      </c>
      <c r="G1" s="3" t="s">
        <v>13</v>
      </c>
      <c r="H1" s="3" t="s">
        <v>90</v>
      </c>
      <c r="I1" s="3" t="s">
        <v>91</v>
      </c>
      <c r="J1" s="3" t="s">
        <v>92</v>
      </c>
      <c r="K1" s="3" t="s">
        <v>93</v>
      </c>
      <c r="L1" s="3" t="s">
        <v>28</v>
      </c>
      <c r="M1" s="3" t="s">
        <v>30</v>
      </c>
      <c r="N1" s="3" t="s">
        <v>32</v>
      </c>
      <c r="O1" s="3" t="s">
        <v>35</v>
      </c>
      <c r="P1" s="3" t="s">
        <v>94</v>
      </c>
      <c r="Q1" s="3" t="s">
        <v>39</v>
      </c>
      <c r="R1" s="3" t="s">
        <v>95</v>
      </c>
      <c r="S1" s="3" t="s">
        <v>96</v>
      </c>
      <c r="T1" s="3" t="s">
        <v>97</v>
      </c>
      <c r="U1" s="3" t="s">
        <v>98</v>
      </c>
      <c r="V1" s="3" t="s">
        <v>99</v>
      </c>
      <c r="W1" s="3" t="s">
        <v>100</v>
      </c>
    </row>
    <row r="2" spans="1:23">
      <c r="U2" t="str">
        <f t="shared" ref="U2:U65" si="0">IF($A2&lt;&gt;"","순번 "&amp;$A2&amp;": "&amp;$B2&amp;" / "&amp;$C2&amp;"학년도 / "&amp;$H2,"")</f>
        <v/>
      </c>
    </row>
    <row r="3" spans="1:23">
      <c r="U3" t="str">
        <f t="shared" si="0"/>
        <v/>
      </c>
    </row>
    <row r="4" spans="1:23">
      <c r="U4" t="str">
        <f t="shared" si="0"/>
        <v/>
      </c>
    </row>
    <row r="5" spans="1:23">
      <c r="U5" t="str">
        <f t="shared" si="0"/>
        <v/>
      </c>
    </row>
    <row r="6" spans="1:23">
      <c r="U6" t="str">
        <f t="shared" si="0"/>
        <v/>
      </c>
    </row>
    <row r="7" spans="1:23">
      <c r="U7" t="str">
        <f t="shared" si="0"/>
        <v/>
      </c>
    </row>
    <row r="8" spans="1:23">
      <c r="U8" t="str">
        <f t="shared" si="0"/>
        <v/>
      </c>
    </row>
    <row r="9" spans="1:23">
      <c r="U9" t="str">
        <f t="shared" si="0"/>
        <v/>
      </c>
    </row>
    <row r="10" spans="1:23">
      <c r="U10" t="str">
        <f t="shared" si="0"/>
        <v/>
      </c>
    </row>
    <row r="11" spans="1:23">
      <c r="U11" t="str">
        <f t="shared" si="0"/>
        <v/>
      </c>
    </row>
    <row r="12" spans="1:23">
      <c r="U12" t="str">
        <f t="shared" si="0"/>
        <v/>
      </c>
    </row>
    <row r="13" spans="1:23">
      <c r="U13" t="str">
        <f t="shared" si="0"/>
        <v/>
      </c>
    </row>
    <row r="14" spans="1:23">
      <c r="U14" t="str">
        <f t="shared" si="0"/>
        <v/>
      </c>
    </row>
    <row r="15" spans="1:23">
      <c r="U15" t="str">
        <f t="shared" si="0"/>
        <v/>
      </c>
    </row>
    <row r="16" spans="1:23">
      <c r="U16" t="str">
        <f t="shared" si="0"/>
        <v/>
      </c>
    </row>
    <row r="17" spans="21:21">
      <c r="U17" t="str">
        <f t="shared" si="0"/>
        <v/>
      </c>
    </row>
    <row r="18" spans="21:21">
      <c r="U18" t="str">
        <f t="shared" si="0"/>
        <v/>
      </c>
    </row>
    <row r="19" spans="21:21">
      <c r="U19" t="str">
        <f t="shared" si="0"/>
        <v/>
      </c>
    </row>
    <row r="20" spans="21:21">
      <c r="U20" t="str">
        <f t="shared" si="0"/>
        <v/>
      </c>
    </row>
    <row r="21" spans="21:21">
      <c r="U21" t="str">
        <f t="shared" si="0"/>
        <v/>
      </c>
    </row>
    <row r="22" spans="21:21">
      <c r="U22" t="str">
        <f t="shared" si="0"/>
        <v/>
      </c>
    </row>
    <row r="23" spans="21:21">
      <c r="U23" t="str">
        <f t="shared" si="0"/>
        <v/>
      </c>
    </row>
    <row r="24" spans="21:21">
      <c r="U24" t="str">
        <f t="shared" si="0"/>
        <v/>
      </c>
    </row>
    <row r="25" spans="21:21">
      <c r="U25" t="str">
        <f t="shared" si="0"/>
        <v/>
      </c>
    </row>
    <row r="26" spans="21:21">
      <c r="U26" t="str">
        <f t="shared" si="0"/>
        <v/>
      </c>
    </row>
    <row r="27" spans="21:21">
      <c r="U27" t="str">
        <f t="shared" si="0"/>
        <v/>
      </c>
    </row>
    <row r="28" spans="21:21">
      <c r="U28" t="str">
        <f t="shared" si="0"/>
        <v/>
      </c>
    </row>
    <row r="29" spans="21:21">
      <c r="U29" t="str">
        <f t="shared" si="0"/>
        <v/>
      </c>
    </row>
    <row r="30" spans="21:21">
      <c r="U30" t="str">
        <f t="shared" si="0"/>
        <v/>
      </c>
    </row>
    <row r="31" spans="21:21">
      <c r="U31" t="str">
        <f t="shared" si="0"/>
        <v/>
      </c>
    </row>
    <row r="32" spans="21:21">
      <c r="U32" t="str">
        <f t="shared" si="0"/>
        <v/>
      </c>
    </row>
    <row r="33" spans="21:21">
      <c r="U33" t="str">
        <f t="shared" si="0"/>
        <v/>
      </c>
    </row>
    <row r="34" spans="21:21">
      <c r="U34" t="str">
        <f t="shared" si="0"/>
        <v/>
      </c>
    </row>
    <row r="35" spans="21:21">
      <c r="U35" t="str">
        <f t="shared" si="0"/>
        <v/>
      </c>
    </row>
    <row r="36" spans="21:21">
      <c r="U36" t="str">
        <f t="shared" si="0"/>
        <v/>
      </c>
    </row>
    <row r="37" spans="21:21">
      <c r="U37" t="str">
        <f t="shared" si="0"/>
        <v/>
      </c>
    </row>
    <row r="38" spans="21:21">
      <c r="U38" t="str">
        <f t="shared" si="0"/>
        <v/>
      </c>
    </row>
    <row r="39" spans="21:21">
      <c r="U39" t="str">
        <f t="shared" si="0"/>
        <v/>
      </c>
    </row>
    <row r="40" spans="21:21">
      <c r="U40" t="str">
        <f t="shared" si="0"/>
        <v/>
      </c>
    </row>
    <row r="41" spans="21:21">
      <c r="U41" t="str">
        <f t="shared" si="0"/>
        <v/>
      </c>
    </row>
    <row r="42" spans="21:21">
      <c r="U42" t="str">
        <f t="shared" si="0"/>
        <v/>
      </c>
    </row>
    <row r="43" spans="21:21">
      <c r="U43" t="str">
        <f t="shared" si="0"/>
        <v/>
      </c>
    </row>
    <row r="44" spans="21:21">
      <c r="U44" t="str">
        <f t="shared" si="0"/>
        <v/>
      </c>
    </row>
    <row r="45" spans="21:21">
      <c r="U45" t="str">
        <f t="shared" si="0"/>
        <v/>
      </c>
    </row>
    <row r="46" spans="21:21">
      <c r="U46" t="str">
        <f t="shared" si="0"/>
        <v/>
      </c>
    </row>
    <row r="47" spans="21:21">
      <c r="U47" t="str">
        <f t="shared" si="0"/>
        <v/>
      </c>
    </row>
    <row r="48" spans="21:21">
      <c r="U48" t="str">
        <f t="shared" si="0"/>
        <v/>
      </c>
    </row>
    <row r="49" spans="21:21">
      <c r="U49" t="str">
        <f t="shared" si="0"/>
        <v/>
      </c>
    </row>
    <row r="50" spans="21:21">
      <c r="U50" t="str">
        <f t="shared" si="0"/>
        <v/>
      </c>
    </row>
    <row r="51" spans="21:21">
      <c r="U51" t="str">
        <f t="shared" si="0"/>
        <v/>
      </c>
    </row>
    <row r="52" spans="21:21">
      <c r="U52" t="str">
        <f t="shared" si="0"/>
        <v/>
      </c>
    </row>
    <row r="53" spans="21:21">
      <c r="U53" t="str">
        <f t="shared" si="0"/>
        <v/>
      </c>
    </row>
    <row r="54" spans="21:21">
      <c r="U54" t="str">
        <f t="shared" si="0"/>
        <v/>
      </c>
    </row>
    <row r="55" spans="21:21">
      <c r="U55" t="str">
        <f t="shared" si="0"/>
        <v/>
      </c>
    </row>
    <row r="56" spans="21:21">
      <c r="U56" t="str">
        <f t="shared" si="0"/>
        <v/>
      </c>
    </row>
    <row r="57" spans="21:21">
      <c r="U57" t="str">
        <f t="shared" si="0"/>
        <v/>
      </c>
    </row>
    <row r="58" spans="21:21">
      <c r="U58" t="str">
        <f t="shared" si="0"/>
        <v/>
      </c>
    </row>
    <row r="59" spans="21:21">
      <c r="U59" t="str">
        <f t="shared" si="0"/>
        <v/>
      </c>
    </row>
    <row r="60" spans="21:21">
      <c r="U60" t="str">
        <f t="shared" si="0"/>
        <v/>
      </c>
    </row>
    <row r="61" spans="21:21">
      <c r="U61" t="str">
        <f t="shared" si="0"/>
        <v/>
      </c>
    </row>
    <row r="62" spans="21:21">
      <c r="U62" t="str">
        <f t="shared" si="0"/>
        <v/>
      </c>
    </row>
    <row r="63" spans="21:21">
      <c r="U63" t="str">
        <f t="shared" si="0"/>
        <v/>
      </c>
    </row>
    <row r="64" spans="21:21">
      <c r="U64" t="str">
        <f t="shared" si="0"/>
        <v/>
      </c>
    </row>
    <row r="65" spans="21:21">
      <c r="U65" t="str">
        <f t="shared" si="0"/>
        <v/>
      </c>
    </row>
    <row r="66" spans="21:21">
      <c r="U66" t="str">
        <f t="shared" ref="U66:U129" si="1">IF($A66&lt;&gt;"","순번 "&amp;$A66&amp;": "&amp;$B66&amp;" / "&amp;$C66&amp;"학년도 / "&amp;$H66,"")</f>
        <v/>
      </c>
    </row>
    <row r="67" spans="21:21">
      <c r="U67" t="str">
        <f t="shared" si="1"/>
        <v/>
      </c>
    </row>
    <row r="68" spans="21:21">
      <c r="U68" t="str">
        <f t="shared" si="1"/>
        <v/>
      </c>
    </row>
    <row r="69" spans="21:21">
      <c r="U69" t="str">
        <f t="shared" si="1"/>
        <v/>
      </c>
    </row>
    <row r="70" spans="21:21">
      <c r="U70" t="str">
        <f t="shared" si="1"/>
        <v/>
      </c>
    </row>
    <row r="71" spans="21:21">
      <c r="U71" t="str">
        <f t="shared" si="1"/>
        <v/>
      </c>
    </row>
    <row r="72" spans="21:21">
      <c r="U72" t="str">
        <f t="shared" si="1"/>
        <v/>
      </c>
    </row>
    <row r="73" spans="21:21">
      <c r="U73" t="str">
        <f t="shared" si="1"/>
        <v/>
      </c>
    </row>
    <row r="74" spans="21:21">
      <c r="U74" t="str">
        <f t="shared" si="1"/>
        <v/>
      </c>
    </row>
    <row r="75" spans="21:21">
      <c r="U75" t="str">
        <f t="shared" si="1"/>
        <v/>
      </c>
    </row>
    <row r="76" spans="21:21">
      <c r="U76" t="str">
        <f t="shared" si="1"/>
        <v/>
      </c>
    </row>
    <row r="77" spans="21:21">
      <c r="U77" t="str">
        <f t="shared" si="1"/>
        <v/>
      </c>
    </row>
    <row r="78" spans="21:21">
      <c r="U78" t="str">
        <f t="shared" si="1"/>
        <v/>
      </c>
    </row>
    <row r="79" spans="21:21">
      <c r="U79" t="str">
        <f t="shared" si="1"/>
        <v/>
      </c>
    </row>
    <row r="80" spans="21:21">
      <c r="U80" t="str">
        <f t="shared" si="1"/>
        <v/>
      </c>
    </row>
    <row r="81" spans="21:21">
      <c r="U81" t="str">
        <f t="shared" si="1"/>
        <v/>
      </c>
    </row>
    <row r="82" spans="21:21">
      <c r="U82" t="str">
        <f t="shared" si="1"/>
        <v/>
      </c>
    </row>
    <row r="83" spans="21:21">
      <c r="U83" t="str">
        <f t="shared" si="1"/>
        <v/>
      </c>
    </row>
    <row r="84" spans="21:21">
      <c r="U84" t="str">
        <f t="shared" si="1"/>
        <v/>
      </c>
    </row>
    <row r="85" spans="21:21">
      <c r="U85" t="str">
        <f t="shared" si="1"/>
        <v/>
      </c>
    </row>
    <row r="86" spans="21:21">
      <c r="U86" t="str">
        <f t="shared" si="1"/>
        <v/>
      </c>
    </row>
    <row r="87" spans="21:21">
      <c r="U87" t="str">
        <f t="shared" si="1"/>
        <v/>
      </c>
    </row>
    <row r="88" spans="21:21">
      <c r="U88" t="str">
        <f t="shared" si="1"/>
        <v/>
      </c>
    </row>
    <row r="89" spans="21:21">
      <c r="U89" t="str">
        <f t="shared" si="1"/>
        <v/>
      </c>
    </row>
    <row r="90" spans="21:21">
      <c r="U90" t="str">
        <f t="shared" si="1"/>
        <v/>
      </c>
    </row>
    <row r="91" spans="21:21">
      <c r="U91" t="str">
        <f t="shared" si="1"/>
        <v/>
      </c>
    </row>
    <row r="92" spans="21:21">
      <c r="U92" t="str">
        <f t="shared" si="1"/>
        <v/>
      </c>
    </row>
    <row r="93" spans="21:21">
      <c r="U93" t="str">
        <f t="shared" si="1"/>
        <v/>
      </c>
    </row>
    <row r="94" spans="21:21">
      <c r="U94" t="str">
        <f t="shared" si="1"/>
        <v/>
      </c>
    </row>
    <row r="95" spans="21:21">
      <c r="U95" t="str">
        <f t="shared" si="1"/>
        <v/>
      </c>
    </row>
    <row r="96" spans="21:21">
      <c r="U96" t="str">
        <f t="shared" si="1"/>
        <v/>
      </c>
    </row>
    <row r="97" spans="21:21">
      <c r="U97" t="str">
        <f t="shared" si="1"/>
        <v/>
      </c>
    </row>
    <row r="98" spans="21:21">
      <c r="U98" t="str">
        <f t="shared" si="1"/>
        <v/>
      </c>
    </row>
    <row r="99" spans="21:21">
      <c r="U99" t="str">
        <f t="shared" si="1"/>
        <v/>
      </c>
    </row>
    <row r="100" spans="21:21">
      <c r="U100" t="str">
        <f t="shared" si="1"/>
        <v/>
      </c>
    </row>
    <row r="101" spans="21:21">
      <c r="U101" t="str">
        <f t="shared" si="1"/>
        <v/>
      </c>
    </row>
    <row r="102" spans="21:21">
      <c r="U102" t="str">
        <f t="shared" si="1"/>
        <v/>
      </c>
    </row>
    <row r="103" spans="21:21">
      <c r="U103" t="str">
        <f t="shared" si="1"/>
        <v/>
      </c>
    </row>
    <row r="104" spans="21:21">
      <c r="U104" t="str">
        <f t="shared" si="1"/>
        <v/>
      </c>
    </row>
    <row r="105" spans="21:21">
      <c r="U105" t="str">
        <f t="shared" si="1"/>
        <v/>
      </c>
    </row>
    <row r="106" spans="21:21">
      <c r="U106" t="str">
        <f t="shared" si="1"/>
        <v/>
      </c>
    </row>
    <row r="107" spans="21:21">
      <c r="U107" t="str">
        <f t="shared" si="1"/>
        <v/>
      </c>
    </row>
    <row r="108" spans="21:21">
      <c r="U108" t="str">
        <f t="shared" si="1"/>
        <v/>
      </c>
    </row>
    <row r="109" spans="21:21">
      <c r="U109" t="str">
        <f t="shared" si="1"/>
        <v/>
      </c>
    </row>
    <row r="110" spans="21:21">
      <c r="U110" t="str">
        <f t="shared" si="1"/>
        <v/>
      </c>
    </row>
    <row r="111" spans="21:21">
      <c r="U111" t="str">
        <f t="shared" si="1"/>
        <v/>
      </c>
    </row>
    <row r="112" spans="21:21">
      <c r="U112" t="str">
        <f t="shared" si="1"/>
        <v/>
      </c>
    </row>
    <row r="113" spans="21:21">
      <c r="U113" t="str">
        <f t="shared" si="1"/>
        <v/>
      </c>
    </row>
    <row r="114" spans="21:21">
      <c r="U114" t="str">
        <f t="shared" si="1"/>
        <v/>
      </c>
    </row>
    <row r="115" spans="21:21">
      <c r="U115" t="str">
        <f t="shared" si="1"/>
        <v/>
      </c>
    </row>
    <row r="116" spans="21:21">
      <c r="U116" t="str">
        <f t="shared" si="1"/>
        <v/>
      </c>
    </row>
    <row r="117" spans="21:21">
      <c r="U117" t="str">
        <f t="shared" si="1"/>
        <v/>
      </c>
    </row>
    <row r="118" spans="21:21">
      <c r="U118" t="str">
        <f t="shared" si="1"/>
        <v/>
      </c>
    </row>
    <row r="119" spans="21:21">
      <c r="U119" t="str">
        <f t="shared" si="1"/>
        <v/>
      </c>
    </row>
    <row r="120" spans="21:21">
      <c r="U120" t="str">
        <f t="shared" si="1"/>
        <v/>
      </c>
    </row>
    <row r="121" spans="21:21">
      <c r="U121" t="str">
        <f t="shared" si="1"/>
        <v/>
      </c>
    </row>
    <row r="122" spans="21:21">
      <c r="U122" t="str">
        <f t="shared" si="1"/>
        <v/>
      </c>
    </row>
    <row r="123" spans="21:21">
      <c r="U123" t="str">
        <f t="shared" si="1"/>
        <v/>
      </c>
    </row>
    <row r="124" spans="21:21">
      <c r="U124" t="str">
        <f t="shared" si="1"/>
        <v/>
      </c>
    </row>
    <row r="125" spans="21:21">
      <c r="U125" t="str">
        <f t="shared" si="1"/>
        <v/>
      </c>
    </row>
    <row r="126" spans="21:21">
      <c r="U126" t="str">
        <f t="shared" si="1"/>
        <v/>
      </c>
    </row>
    <row r="127" spans="21:21">
      <c r="U127" t="str">
        <f t="shared" si="1"/>
        <v/>
      </c>
    </row>
    <row r="128" spans="21:21">
      <c r="U128" t="str">
        <f t="shared" si="1"/>
        <v/>
      </c>
    </row>
    <row r="129" spans="21:21">
      <c r="U129" t="str">
        <f t="shared" si="1"/>
        <v/>
      </c>
    </row>
    <row r="130" spans="21:21">
      <c r="U130" t="str">
        <f t="shared" ref="U130:U193" si="2">IF($A130&lt;&gt;"","순번 "&amp;$A130&amp;": "&amp;$B130&amp;" / "&amp;$C130&amp;"학년도 / "&amp;$H130,"")</f>
        <v/>
      </c>
    </row>
    <row r="131" spans="21:21">
      <c r="U131" t="str">
        <f t="shared" si="2"/>
        <v/>
      </c>
    </row>
    <row r="132" spans="21:21">
      <c r="U132" t="str">
        <f t="shared" si="2"/>
        <v/>
      </c>
    </row>
    <row r="133" spans="21:21">
      <c r="U133" t="str">
        <f t="shared" si="2"/>
        <v/>
      </c>
    </row>
    <row r="134" spans="21:21">
      <c r="U134" t="str">
        <f t="shared" si="2"/>
        <v/>
      </c>
    </row>
    <row r="135" spans="21:21">
      <c r="U135" t="str">
        <f t="shared" si="2"/>
        <v/>
      </c>
    </row>
    <row r="136" spans="21:21">
      <c r="U136" t="str">
        <f t="shared" si="2"/>
        <v/>
      </c>
    </row>
    <row r="137" spans="21:21">
      <c r="U137" t="str">
        <f t="shared" si="2"/>
        <v/>
      </c>
    </row>
    <row r="138" spans="21:21">
      <c r="U138" t="str">
        <f t="shared" si="2"/>
        <v/>
      </c>
    </row>
    <row r="139" spans="21:21">
      <c r="U139" t="str">
        <f t="shared" si="2"/>
        <v/>
      </c>
    </row>
    <row r="140" spans="21:21">
      <c r="U140" t="str">
        <f t="shared" si="2"/>
        <v/>
      </c>
    </row>
    <row r="141" spans="21:21">
      <c r="U141" t="str">
        <f t="shared" si="2"/>
        <v/>
      </c>
    </row>
    <row r="142" spans="21:21">
      <c r="U142" t="str">
        <f t="shared" si="2"/>
        <v/>
      </c>
    </row>
    <row r="143" spans="21:21">
      <c r="U143" t="str">
        <f t="shared" si="2"/>
        <v/>
      </c>
    </row>
    <row r="144" spans="21:21">
      <c r="U144" t="str">
        <f t="shared" si="2"/>
        <v/>
      </c>
    </row>
    <row r="145" spans="21:21">
      <c r="U145" t="str">
        <f t="shared" si="2"/>
        <v/>
      </c>
    </row>
    <row r="146" spans="21:21">
      <c r="U146" t="str">
        <f t="shared" si="2"/>
        <v/>
      </c>
    </row>
    <row r="147" spans="21:21">
      <c r="U147" t="str">
        <f t="shared" si="2"/>
        <v/>
      </c>
    </row>
    <row r="148" spans="21:21">
      <c r="U148" t="str">
        <f t="shared" si="2"/>
        <v/>
      </c>
    </row>
    <row r="149" spans="21:21">
      <c r="U149" t="str">
        <f t="shared" si="2"/>
        <v/>
      </c>
    </row>
    <row r="150" spans="21:21">
      <c r="U150" t="str">
        <f t="shared" si="2"/>
        <v/>
      </c>
    </row>
    <row r="151" spans="21:21">
      <c r="U151" t="str">
        <f t="shared" si="2"/>
        <v/>
      </c>
    </row>
    <row r="152" spans="21:21">
      <c r="U152" t="str">
        <f t="shared" si="2"/>
        <v/>
      </c>
    </row>
    <row r="153" spans="21:21">
      <c r="U153" t="str">
        <f t="shared" si="2"/>
        <v/>
      </c>
    </row>
    <row r="154" spans="21:21">
      <c r="U154" t="str">
        <f t="shared" si="2"/>
        <v/>
      </c>
    </row>
    <row r="155" spans="21:21">
      <c r="U155" t="str">
        <f t="shared" si="2"/>
        <v/>
      </c>
    </row>
    <row r="156" spans="21:21">
      <c r="U156" t="str">
        <f t="shared" si="2"/>
        <v/>
      </c>
    </row>
    <row r="157" spans="21:21">
      <c r="U157" t="str">
        <f t="shared" si="2"/>
        <v/>
      </c>
    </row>
    <row r="158" spans="21:21">
      <c r="U158" t="str">
        <f t="shared" si="2"/>
        <v/>
      </c>
    </row>
    <row r="159" spans="21:21">
      <c r="U159" t="str">
        <f t="shared" si="2"/>
        <v/>
      </c>
    </row>
    <row r="160" spans="21:21">
      <c r="U160" t="str">
        <f t="shared" si="2"/>
        <v/>
      </c>
    </row>
    <row r="161" spans="21:21">
      <c r="U161" t="str">
        <f t="shared" si="2"/>
        <v/>
      </c>
    </row>
    <row r="162" spans="21:21">
      <c r="U162" t="str">
        <f t="shared" si="2"/>
        <v/>
      </c>
    </row>
    <row r="163" spans="21:21">
      <c r="U163" t="str">
        <f t="shared" si="2"/>
        <v/>
      </c>
    </row>
    <row r="164" spans="21:21">
      <c r="U164" t="str">
        <f t="shared" si="2"/>
        <v/>
      </c>
    </row>
    <row r="165" spans="21:21">
      <c r="U165" t="str">
        <f t="shared" si="2"/>
        <v/>
      </c>
    </row>
    <row r="166" spans="21:21">
      <c r="U166" t="str">
        <f t="shared" si="2"/>
        <v/>
      </c>
    </row>
    <row r="167" spans="21:21">
      <c r="U167" t="str">
        <f t="shared" si="2"/>
        <v/>
      </c>
    </row>
    <row r="168" spans="21:21">
      <c r="U168" t="str">
        <f t="shared" si="2"/>
        <v/>
      </c>
    </row>
    <row r="169" spans="21:21">
      <c r="U169" t="str">
        <f t="shared" si="2"/>
        <v/>
      </c>
    </row>
    <row r="170" spans="21:21">
      <c r="U170" t="str">
        <f t="shared" si="2"/>
        <v/>
      </c>
    </row>
    <row r="171" spans="21:21">
      <c r="U171" t="str">
        <f t="shared" si="2"/>
        <v/>
      </c>
    </row>
    <row r="172" spans="21:21">
      <c r="U172" t="str">
        <f t="shared" si="2"/>
        <v/>
      </c>
    </row>
    <row r="173" spans="21:21">
      <c r="U173" t="str">
        <f t="shared" si="2"/>
        <v/>
      </c>
    </row>
    <row r="174" spans="21:21">
      <c r="U174" t="str">
        <f t="shared" si="2"/>
        <v/>
      </c>
    </row>
    <row r="175" spans="21:21">
      <c r="U175" t="str">
        <f t="shared" si="2"/>
        <v/>
      </c>
    </row>
    <row r="176" spans="21:21">
      <c r="U176" t="str">
        <f t="shared" si="2"/>
        <v/>
      </c>
    </row>
    <row r="177" spans="21:21">
      <c r="U177" t="str">
        <f t="shared" si="2"/>
        <v/>
      </c>
    </row>
    <row r="178" spans="21:21">
      <c r="U178" t="str">
        <f t="shared" si="2"/>
        <v/>
      </c>
    </row>
    <row r="179" spans="21:21">
      <c r="U179" t="str">
        <f t="shared" si="2"/>
        <v/>
      </c>
    </row>
    <row r="180" spans="21:21">
      <c r="U180" t="str">
        <f t="shared" si="2"/>
        <v/>
      </c>
    </row>
    <row r="181" spans="21:21">
      <c r="U181" t="str">
        <f t="shared" si="2"/>
        <v/>
      </c>
    </row>
    <row r="182" spans="21:21">
      <c r="U182" t="str">
        <f t="shared" si="2"/>
        <v/>
      </c>
    </row>
    <row r="183" spans="21:21">
      <c r="U183" t="str">
        <f t="shared" si="2"/>
        <v/>
      </c>
    </row>
    <row r="184" spans="21:21">
      <c r="U184" t="str">
        <f t="shared" si="2"/>
        <v/>
      </c>
    </row>
    <row r="185" spans="21:21">
      <c r="U185" t="str">
        <f t="shared" si="2"/>
        <v/>
      </c>
    </row>
    <row r="186" spans="21:21">
      <c r="U186" t="str">
        <f t="shared" si="2"/>
        <v/>
      </c>
    </row>
    <row r="187" spans="21:21">
      <c r="U187" t="str">
        <f t="shared" si="2"/>
        <v/>
      </c>
    </row>
    <row r="188" spans="21:21">
      <c r="U188" t="str">
        <f t="shared" si="2"/>
        <v/>
      </c>
    </row>
    <row r="189" spans="21:21">
      <c r="U189" t="str">
        <f t="shared" si="2"/>
        <v/>
      </c>
    </row>
    <row r="190" spans="21:21">
      <c r="U190" t="str">
        <f t="shared" si="2"/>
        <v/>
      </c>
    </row>
    <row r="191" spans="21:21">
      <c r="U191" t="str">
        <f t="shared" si="2"/>
        <v/>
      </c>
    </row>
    <row r="192" spans="21:21">
      <c r="U192" t="str">
        <f t="shared" si="2"/>
        <v/>
      </c>
    </row>
    <row r="193" spans="21:21">
      <c r="U193" t="str">
        <f t="shared" si="2"/>
        <v/>
      </c>
    </row>
    <row r="194" spans="21:21">
      <c r="U194" t="str">
        <f t="shared" ref="U194:U257" si="3">IF($A194&lt;&gt;"","순번 "&amp;$A194&amp;": "&amp;$B194&amp;" / "&amp;$C194&amp;"학년도 / "&amp;$H194,"")</f>
        <v/>
      </c>
    </row>
    <row r="195" spans="21:21">
      <c r="U195" t="str">
        <f t="shared" si="3"/>
        <v/>
      </c>
    </row>
    <row r="196" spans="21:21">
      <c r="U196" t="str">
        <f t="shared" si="3"/>
        <v/>
      </c>
    </row>
    <row r="197" spans="21:21">
      <c r="U197" t="str">
        <f t="shared" si="3"/>
        <v/>
      </c>
    </row>
    <row r="198" spans="21:21">
      <c r="U198" t="str">
        <f t="shared" si="3"/>
        <v/>
      </c>
    </row>
    <row r="199" spans="21:21">
      <c r="U199" t="str">
        <f t="shared" si="3"/>
        <v/>
      </c>
    </row>
    <row r="200" spans="21:21">
      <c r="U200" t="str">
        <f t="shared" si="3"/>
        <v/>
      </c>
    </row>
    <row r="201" spans="21:21">
      <c r="U201" t="str">
        <f t="shared" si="3"/>
        <v/>
      </c>
    </row>
    <row r="202" spans="21:21">
      <c r="U202" t="str">
        <f t="shared" si="3"/>
        <v/>
      </c>
    </row>
    <row r="203" spans="21:21">
      <c r="U203" t="str">
        <f t="shared" si="3"/>
        <v/>
      </c>
    </row>
    <row r="204" spans="21:21">
      <c r="U204" t="str">
        <f t="shared" si="3"/>
        <v/>
      </c>
    </row>
    <row r="205" spans="21:21">
      <c r="U205" t="str">
        <f t="shared" si="3"/>
        <v/>
      </c>
    </row>
    <row r="206" spans="21:21">
      <c r="U206" t="str">
        <f t="shared" si="3"/>
        <v/>
      </c>
    </row>
    <row r="207" spans="21:21">
      <c r="U207" t="str">
        <f t="shared" si="3"/>
        <v/>
      </c>
    </row>
    <row r="208" spans="21:21">
      <c r="U208" t="str">
        <f t="shared" si="3"/>
        <v/>
      </c>
    </row>
    <row r="209" spans="21:21">
      <c r="U209" t="str">
        <f t="shared" si="3"/>
        <v/>
      </c>
    </row>
    <row r="210" spans="21:21">
      <c r="U210" t="str">
        <f t="shared" si="3"/>
        <v/>
      </c>
    </row>
    <row r="211" spans="21:21">
      <c r="U211" t="str">
        <f t="shared" si="3"/>
        <v/>
      </c>
    </row>
    <row r="212" spans="21:21">
      <c r="U212" t="str">
        <f t="shared" si="3"/>
        <v/>
      </c>
    </row>
    <row r="213" spans="21:21">
      <c r="U213" t="str">
        <f t="shared" si="3"/>
        <v/>
      </c>
    </row>
    <row r="214" spans="21:21">
      <c r="U214" t="str">
        <f t="shared" si="3"/>
        <v/>
      </c>
    </row>
    <row r="215" spans="21:21">
      <c r="U215" t="str">
        <f t="shared" si="3"/>
        <v/>
      </c>
    </row>
    <row r="216" spans="21:21">
      <c r="U216" t="str">
        <f t="shared" si="3"/>
        <v/>
      </c>
    </row>
    <row r="217" spans="21:21">
      <c r="U217" t="str">
        <f t="shared" si="3"/>
        <v/>
      </c>
    </row>
    <row r="218" spans="21:21">
      <c r="U218" t="str">
        <f t="shared" si="3"/>
        <v/>
      </c>
    </row>
    <row r="219" spans="21:21">
      <c r="U219" t="str">
        <f t="shared" si="3"/>
        <v/>
      </c>
    </row>
    <row r="220" spans="21:21">
      <c r="U220" t="str">
        <f t="shared" si="3"/>
        <v/>
      </c>
    </row>
    <row r="221" spans="21:21">
      <c r="U221" t="str">
        <f t="shared" si="3"/>
        <v/>
      </c>
    </row>
    <row r="222" spans="21:21">
      <c r="U222" t="str">
        <f t="shared" si="3"/>
        <v/>
      </c>
    </row>
    <row r="223" spans="21:21">
      <c r="U223" t="str">
        <f t="shared" si="3"/>
        <v/>
      </c>
    </row>
    <row r="224" spans="21:21">
      <c r="U224" t="str">
        <f t="shared" si="3"/>
        <v/>
      </c>
    </row>
    <row r="225" spans="21:21">
      <c r="U225" t="str">
        <f t="shared" si="3"/>
        <v/>
      </c>
    </row>
    <row r="226" spans="21:21">
      <c r="U226" t="str">
        <f t="shared" si="3"/>
        <v/>
      </c>
    </row>
    <row r="227" spans="21:21">
      <c r="U227" t="str">
        <f t="shared" si="3"/>
        <v/>
      </c>
    </row>
    <row r="228" spans="21:21">
      <c r="U228" t="str">
        <f t="shared" si="3"/>
        <v/>
      </c>
    </row>
    <row r="229" spans="21:21">
      <c r="U229" t="str">
        <f t="shared" si="3"/>
        <v/>
      </c>
    </row>
    <row r="230" spans="21:21">
      <c r="U230" t="str">
        <f t="shared" si="3"/>
        <v/>
      </c>
    </row>
    <row r="231" spans="21:21">
      <c r="U231" t="str">
        <f t="shared" si="3"/>
        <v/>
      </c>
    </row>
    <row r="232" spans="21:21">
      <c r="U232" t="str">
        <f t="shared" si="3"/>
        <v/>
      </c>
    </row>
    <row r="233" spans="21:21">
      <c r="U233" t="str">
        <f t="shared" si="3"/>
        <v/>
      </c>
    </row>
    <row r="234" spans="21:21">
      <c r="U234" t="str">
        <f t="shared" si="3"/>
        <v/>
      </c>
    </row>
    <row r="235" spans="21:21">
      <c r="U235" t="str">
        <f t="shared" si="3"/>
        <v/>
      </c>
    </row>
    <row r="236" spans="21:21">
      <c r="U236" t="str">
        <f t="shared" si="3"/>
        <v/>
      </c>
    </row>
    <row r="237" spans="21:21">
      <c r="U237" t="str">
        <f t="shared" si="3"/>
        <v/>
      </c>
    </row>
    <row r="238" spans="21:21">
      <c r="U238" t="str">
        <f t="shared" si="3"/>
        <v/>
      </c>
    </row>
    <row r="239" spans="21:21">
      <c r="U239" t="str">
        <f t="shared" si="3"/>
        <v/>
      </c>
    </row>
    <row r="240" spans="21:21">
      <c r="U240" t="str">
        <f t="shared" si="3"/>
        <v/>
      </c>
    </row>
    <row r="241" spans="21:21">
      <c r="U241" t="str">
        <f t="shared" si="3"/>
        <v/>
      </c>
    </row>
    <row r="242" spans="21:21">
      <c r="U242" t="str">
        <f t="shared" si="3"/>
        <v/>
      </c>
    </row>
    <row r="243" spans="21:21">
      <c r="U243" t="str">
        <f t="shared" si="3"/>
        <v/>
      </c>
    </row>
    <row r="244" spans="21:21">
      <c r="U244" t="str">
        <f t="shared" si="3"/>
        <v/>
      </c>
    </row>
    <row r="245" spans="21:21">
      <c r="U245" t="str">
        <f t="shared" si="3"/>
        <v/>
      </c>
    </row>
    <row r="246" spans="21:21">
      <c r="U246" t="str">
        <f t="shared" si="3"/>
        <v/>
      </c>
    </row>
    <row r="247" spans="21:21">
      <c r="U247" t="str">
        <f t="shared" si="3"/>
        <v/>
      </c>
    </row>
    <row r="248" spans="21:21">
      <c r="U248" t="str">
        <f t="shared" si="3"/>
        <v/>
      </c>
    </row>
    <row r="249" spans="21:21">
      <c r="U249" t="str">
        <f t="shared" si="3"/>
        <v/>
      </c>
    </row>
    <row r="250" spans="21:21">
      <c r="U250" t="str">
        <f t="shared" si="3"/>
        <v/>
      </c>
    </row>
    <row r="251" spans="21:21">
      <c r="U251" t="str">
        <f t="shared" si="3"/>
        <v/>
      </c>
    </row>
    <row r="252" spans="21:21">
      <c r="U252" t="str">
        <f t="shared" si="3"/>
        <v/>
      </c>
    </row>
    <row r="253" spans="21:21">
      <c r="U253" t="str">
        <f t="shared" si="3"/>
        <v/>
      </c>
    </row>
    <row r="254" spans="21:21">
      <c r="U254" t="str">
        <f t="shared" si="3"/>
        <v/>
      </c>
    </row>
    <row r="255" spans="21:21">
      <c r="U255" t="str">
        <f t="shared" si="3"/>
        <v/>
      </c>
    </row>
    <row r="256" spans="21:21">
      <c r="U256" t="str">
        <f t="shared" si="3"/>
        <v/>
      </c>
    </row>
    <row r="257" spans="21:21">
      <c r="U257" t="str">
        <f t="shared" si="3"/>
        <v/>
      </c>
    </row>
    <row r="258" spans="21:21">
      <c r="U258" t="str">
        <f t="shared" ref="U258:U321" si="4">IF($A258&lt;&gt;"","순번 "&amp;$A258&amp;": "&amp;$B258&amp;" / "&amp;$C258&amp;"학년도 / "&amp;$H258,"")</f>
        <v/>
      </c>
    </row>
    <row r="259" spans="21:21">
      <c r="U259" t="str">
        <f t="shared" si="4"/>
        <v/>
      </c>
    </row>
    <row r="260" spans="21:21">
      <c r="U260" t="str">
        <f t="shared" si="4"/>
        <v/>
      </c>
    </row>
    <row r="261" spans="21:21">
      <c r="U261" t="str">
        <f t="shared" si="4"/>
        <v/>
      </c>
    </row>
    <row r="262" spans="21:21">
      <c r="U262" t="str">
        <f t="shared" si="4"/>
        <v/>
      </c>
    </row>
    <row r="263" spans="21:21">
      <c r="U263" t="str">
        <f t="shared" si="4"/>
        <v/>
      </c>
    </row>
    <row r="264" spans="21:21">
      <c r="U264" t="str">
        <f t="shared" si="4"/>
        <v/>
      </c>
    </row>
    <row r="265" spans="21:21">
      <c r="U265" t="str">
        <f t="shared" si="4"/>
        <v/>
      </c>
    </row>
    <row r="266" spans="21:21">
      <c r="U266" t="str">
        <f t="shared" si="4"/>
        <v/>
      </c>
    </row>
    <row r="267" spans="21:21">
      <c r="U267" t="str">
        <f t="shared" si="4"/>
        <v/>
      </c>
    </row>
    <row r="268" spans="21:21">
      <c r="U268" t="str">
        <f t="shared" si="4"/>
        <v/>
      </c>
    </row>
    <row r="269" spans="21:21">
      <c r="U269" t="str">
        <f t="shared" si="4"/>
        <v/>
      </c>
    </row>
    <row r="270" spans="21:21">
      <c r="U270" t="str">
        <f t="shared" si="4"/>
        <v/>
      </c>
    </row>
    <row r="271" spans="21:21">
      <c r="U271" t="str">
        <f t="shared" si="4"/>
        <v/>
      </c>
    </row>
    <row r="272" spans="21:21">
      <c r="U272" t="str">
        <f t="shared" si="4"/>
        <v/>
      </c>
    </row>
    <row r="273" spans="21:21">
      <c r="U273" t="str">
        <f t="shared" si="4"/>
        <v/>
      </c>
    </row>
    <row r="274" spans="21:21">
      <c r="U274" t="str">
        <f t="shared" si="4"/>
        <v/>
      </c>
    </row>
    <row r="275" spans="21:21">
      <c r="U275" t="str">
        <f t="shared" si="4"/>
        <v/>
      </c>
    </row>
    <row r="276" spans="21:21">
      <c r="U276" t="str">
        <f t="shared" si="4"/>
        <v/>
      </c>
    </row>
    <row r="277" spans="21:21">
      <c r="U277" t="str">
        <f t="shared" si="4"/>
        <v/>
      </c>
    </row>
    <row r="278" spans="21:21">
      <c r="U278" t="str">
        <f t="shared" si="4"/>
        <v/>
      </c>
    </row>
    <row r="279" spans="21:21">
      <c r="U279" t="str">
        <f t="shared" si="4"/>
        <v/>
      </c>
    </row>
    <row r="280" spans="21:21">
      <c r="U280" t="str">
        <f t="shared" si="4"/>
        <v/>
      </c>
    </row>
    <row r="281" spans="21:21">
      <c r="U281" t="str">
        <f t="shared" si="4"/>
        <v/>
      </c>
    </row>
    <row r="282" spans="21:21">
      <c r="U282" t="str">
        <f t="shared" si="4"/>
        <v/>
      </c>
    </row>
    <row r="283" spans="21:21">
      <c r="U283" t="str">
        <f t="shared" si="4"/>
        <v/>
      </c>
    </row>
    <row r="284" spans="21:21">
      <c r="U284" t="str">
        <f t="shared" si="4"/>
        <v/>
      </c>
    </row>
    <row r="285" spans="21:21">
      <c r="U285" t="str">
        <f t="shared" si="4"/>
        <v/>
      </c>
    </row>
    <row r="286" spans="21:21">
      <c r="U286" t="str">
        <f t="shared" si="4"/>
        <v/>
      </c>
    </row>
    <row r="287" spans="21:21">
      <c r="U287" t="str">
        <f t="shared" si="4"/>
        <v/>
      </c>
    </row>
    <row r="288" spans="21:21">
      <c r="U288" t="str">
        <f t="shared" si="4"/>
        <v/>
      </c>
    </row>
    <row r="289" spans="21:21">
      <c r="U289" t="str">
        <f t="shared" si="4"/>
        <v/>
      </c>
    </row>
    <row r="290" spans="21:21">
      <c r="U290" t="str">
        <f t="shared" si="4"/>
        <v/>
      </c>
    </row>
    <row r="291" spans="21:21">
      <c r="U291" t="str">
        <f t="shared" si="4"/>
        <v/>
      </c>
    </row>
    <row r="292" spans="21:21">
      <c r="U292" t="str">
        <f t="shared" si="4"/>
        <v/>
      </c>
    </row>
    <row r="293" spans="21:21">
      <c r="U293" t="str">
        <f t="shared" si="4"/>
        <v/>
      </c>
    </row>
    <row r="294" spans="21:21">
      <c r="U294" t="str">
        <f t="shared" si="4"/>
        <v/>
      </c>
    </row>
    <row r="295" spans="21:21">
      <c r="U295" t="str">
        <f t="shared" si="4"/>
        <v/>
      </c>
    </row>
    <row r="296" spans="21:21">
      <c r="U296" t="str">
        <f t="shared" si="4"/>
        <v/>
      </c>
    </row>
    <row r="297" spans="21:21">
      <c r="U297" t="str">
        <f t="shared" si="4"/>
        <v/>
      </c>
    </row>
    <row r="298" spans="21:21">
      <c r="U298" t="str">
        <f t="shared" si="4"/>
        <v/>
      </c>
    </row>
    <row r="299" spans="21:21">
      <c r="U299" t="str">
        <f t="shared" si="4"/>
        <v/>
      </c>
    </row>
    <row r="300" spans="21:21">
      <c r="U300" t="str">
        <f t="shared" si="4"/>
        <v/>
      </c>
    </row>
    <row r="301" spans="21:21">
      <c r="U301" t="str">
        <f t="shared" si="4"/>
        <v/>
      </c>
    </row>
    <row r="302" spans="21:21">
      <c r="U302" t="str">
        <f t="shared" si="4"/>
        <v/>
      </c>
    </row>
    <row r="303" spans="21:21">
      <c r="U303" t="str">
        <f t="shared" si="4"/>
        <v/>
      </c>
    </row>
    <row r="304" spans="21:21">
      <c r="U304" t="str">
        <f t="shared" si="4"/>
        <v/>
      </c>
    </row>
    <row r="305" spans="21:21">
      <c r="U305" t="str">
        <f t="shared" si="4"/>
        <v/>
      </c>
    </row>
    <row r="306" spans="21:21">
      <c r="U306" t="str">
        <f t="shared" si="4"/>
        <v/>
      </c>
    </row>
    <row r="307" spans="21:21">
      <c r="U307" t="str">
        <f t="shared" si="4"/>
        <v/>
      </c>
    </row>
    <row r="308" spans="21:21">
      <c r="U308" t="str">
        <f t="shared" si="4"/>
        <v/>
      </c>
    </row>
    <row r="309" spans="21:21">
      <c r="U309" t="str">
        <f t="shared" si="4"/>
        <v/>
      </c>
    </row>
    <row r="310" spans="21:21">
      <c r="U310" t="str">
        <f t="shared" si="4"/>
        <v/>
      </c>
    </row>
    <row r="311" spans="21:21">
      <c r="U311" t="str">
        <f t="shared" si="4"/>
        <v/>
      </c>
    </row>
    <row r="312" spans="21:21">
      <c r="U312" t="str">
        <f t="shared" si="4"/>
        <v/>
      </c>
    </row>
    <row r="313" spans="21:21">
      <c r="U313" t="str">
        <f t="shared" si="4"/>
        <v/>
      </c>
    </row>
    <row r="314" spans="21:21">
      <c r="U314" t="str">
        <f t="shared" si="4"/>
        <v/>
      </c>
    </row>
    <row r="315" spans="21:21">
      <c r="U315" t="str">
        <f t="shared" si="4"/>
        <v/>
      </c>
    </row>
    <row r="316" spans="21:21">
      <c r="U316" t="str">
        <f t="shared" si="4"/>
        <v/>
      </c>
    </row>
    <row r="317" spans="21:21">
      <c r="U317" t="str">
        <f t="shared" si="4"/>
        <v/>
      </c>
    </row>
    <row r="318" spans="21:21">
      <c r="U318" t="str">
        <f t="shared" si="4"/>
        <v/>
      </c>
    </row>
    <row r="319" spans="21:21">
      <c r="U319" t="str">
        <f t="shared" si="4"/>
        <v/>
      </c>
    </row>
    <row r="320" spans="21:21">
      <c r="U320" t="str">
        <f t="shared" si="4"/>
        <v/>
      </c>
    </row>
    <row r="321" spans="21:21">
      <c r="U321" t="str">
        <f t="shared" si="4"/>
        <v/>
      </c>
    </row>
    <row r="322" spans="21:21">
      <c r="U322" t="str">
        <f t="shared" ref="U322:U385" si="5">IF($A322&lt;&gt;"","순번 "&amp;$A322&amp;": "&amp;$B322&amp;" / "&amp;$C322&amp;"학년도 / "&amp;$H322,"")</f>
        <v/>
      </c>
    </row>
    <row r="323" spans="21:21">
      <c r="U323" t="str">
        <f t="shared" si="5"/>
        <v/>
      </c>
    </row>
    <row r="324" spans="21:21">
      <c r="U324" t="str">
        <f t="shared" si="5"/>
        <v/>
      </c>
    </row>
    <row r="325" spans="21:21">
      <c r="U325" t="str">
        <f t="shared" si="5"/>
        <v/>
      </c>
    </row>
    <row r="326" spans="21:21">
      <c r="U326" t="str">
        <f t="shared" si="5"/>
        <v/>
      </c>
    </row>
    <row r="327" spans="21:21">
      <c r="U327" t="str">
        <f t="shared" si="5"/>
        <v/>
      </c>
    </row>
    <row r="328" spans="21:21">
      <c r="U328" t="str">
        <f t="shared" si="5"/>
        <v/>
      </c>
    </row>
    <row r="329" spans="21:21">
      <c r="U329" t="str">
        <f t="shared" si="5"/>
        <v/>
      </c>
    </row>
    <row r="330" spans="21:21">
      <c r="U330" t="str">
        <f t="shared" si="5"/>
        <v/>
      </c>
    </row>
    <row r="331" spans="21:21">
      <c r="U331" t="str">
        <f t="shared" si="5"/>
        <v/>
      </c>
    </row>
    <row r="332" spans="21:21">
      <c r="U332" t="str">
        <f t="shared" si="5"/>
        <v/>
      </c>
    </row>
    <row r="333" spans="21:21">
      <c r="U333" t="str">
        <f t="shared" si="5"/>
        <v/>
      </c>
    </row>
    <row r="334" spans="21:21">
      <c r="U334" t="str">
        <f t="shared" si="5"/>
        <v/>
      </c>
    </row>
    <row r="335" spans="21:21">
      <c r="U335" t="str">
        <f t="shared" si="5"/>
        <v/>
      </c>
    </row>
    <row r="336" spans="21:21">
      <c r="U336" t="str">
        <f t="shared" si="5"/>
        <v/>
      </c>
    </row>
    <row r="337" spans="21:21">
      <c r="U337" t="str">
        <f t="shared" si="5"/>
        <v/>
      </c>
    </row>
    <row r="338" spans="21:21">
      <c r="U338" t="str">
        <f t="shared" si="5"/>
        <v/>
      </c>
    </row>
    <row r="339" spans="21:21">
      <c r="U339" t="str">
        <f t="shared" si="5"/>
        <v/>
      </c>
    </row>
    <row r="340" spans="21:21">
      <c r="U340" t="str">
        <f t="shared" si="5"/>
        <v/>
      </c>
    </row>
    <row r="341" spans="21:21">
      <c r="U341" t="str">
        <f t="shared" si="5"/>
        <v/>
      </c>
    </row>
    <row r="342" spans="21:21">
      <c r="U342" t="str">
        <f t="shared" si="5"/>
        <v/>
      </c>
    </row>
    <row r="343" spans="21:21">
      <c r="U343" t="str">
        <f t="shared" si="5"/>
        <v/>
      </c>
    </row>
    <row r="344" spans="21:21">
      <c r="U344" t="str">
        <f t="shared" si="5"/>
        <v/>
      </c>
    </row>
    <row r="345" spans="21:21">
      <c r="U345" t="str">
        <f t="shared" si="5"/>
        <v/>
      </c>
    </row>
    <row r="346" spans="21:21">
      <c r="U346" t="str">
        <f t="shared" si="5"/>
        <v/>
      </c>
    </row>
    <row r="347" spans="21:21">
      <c r="U347" t="str">
        <f t="shared" si="5"/>
        <v/>
      </c>
    </row>
    <row r="348" spans="21:21">
      <c r="U348" t="str">
        <f t="shared" si="5"/>
        <v/>
      </c>
    </row>
    <row r="349" spans="21:21">
      <c r="U349" t="str">
        <f t="shared" si="5"/>
        <v/>
      </c>
    </row>
    <row r="350" spans="21:21">
      <c r="U350" t="str">
        <f t="shared" si="5"/>
        <v/>
      </c>
    </row>
    <row r="351" spans="21:21">
      <c r="U351" t="str">
        <f t="shared" si="5"/>
        <v/>
      </c>
    </row>
    <row r="352" spans="21:21">
      <c r="U352" t="str">
        <f t="shared" si="5"/>
        <v/>
      </c>
    </row>
    <row r="353" spans="21:21">
      <c r="U353" t="str">
        <f t="shared" si="5"/>
        <v/>
      </c>
    </row>
    <row r="354" spans="21:21">
      <c r="U354" t="str">
        <f t="shared" si="5"/>
        <v/>
      </c>
    </row>
    <row r="355" spans="21:21">
      <c r="U355" t="str">
        <f t="shared" si="5"/>
        <v/>
      </c>
    </row>
    <row r="356" spans="21:21">
      <c r="U356" t="str">
        <f t="shared" si="5"/>
        <v/>
      </c>
    </row>
    <row r="357" spans="21:21">
      <c r="U357" t="str">
        <f t="shared" si="5"/>
        <v/>
      </c>
    </row>
    <row r="358" spans="21:21">
      <c r="U358" t="str">
        <f t="shared" si="5"/>
        <v/>
      </c>
    </row>
    <row r="359" spans="21:21">
      <c r="U359" t="str">
        <f t="shared" si="5"/>
        <v/>
      </c>
    </row>
    <row r="360" spans="21:21">
      <c r="U360" t="str">
        <f t="shared" si="5"/>
        <v/>
      </c>
    </row>
    <row r="361" spans="21:21">
      <c r="U361" t="str">
        <f t="shared" si="5"/>
        <v/>
      </c>
    </row>
    <row r="362" spans="21:21">
      <c r="U362" t="str">
        <f t="shared" si="5"/>
        <v/>
      </c>
    </row>
    <row r="363" spans="21:21">
      <c r="U363" t="str">
        <f t="shared" si="5"/>
        <v/>
      </c>
    </row>
    <row r="364" spans="21:21">
      <c r="U364" t="str">
        <f t="shared" si="5"/>
        <v/>
      </c>
    </row>
    <row r="365" spans="21:21">
      <c r="U365" t="str">
        <f t="shared" si="5"/>
        <v/>
      </c>
    </row>
    <row r="366" spans="21:21">
      <c r="U366" t="str">
        <f t="shared" si="5"/>
        <v/>
      </c>
    </row>
    <row r="367" spans="21:21">
      <c r="U367" t="str">
        <f t="shared" si="5"/>
        <v/>
      </c>
    </row>
    <row r="368" spans="21:21">
      <c r="U368" t="str">
        <f t="shared" si="5"/>
        <v/>
      </c>
    </row>
    <row r="369" spans="21:21">
      <c r="U369" t="str">
        <f t="shared" si="5"/>
        <v/>
      </c>
    </row>
    <row r="370" spans="21:21">
      <c r="U370" t="str">
        <f t="shared" si="5"/>
        <v/>
      </c>
    </row>
    <row r="371" spans="21:21">
      <c r="U371" t="str">
        <f t="shared" si="5"/>
        <v/>
      </c>
    </row>
    <row r="372" spans="21:21">
      <c r="U372" t="str">
        <f t="shared" si="5"/>
        <v/>
      </c>
    </row>
    <row r="373" spans="21:21">
      <c r="U373" t="str">
        <f t="shared" si="5"/>
        <v/>
      </c>
    </row>
    <row r="374" spans="21:21">
      <c r="U374" t="str">
        <f t="shared" si="5"/>
        <v/>
      </c>
    </row>
    <row r="375" spans="21:21">
      <c r="U375" t="str">
        <f t="shared" si="5"/>
        <v/>
      </c>
    </row>
    <row r="376" spans="21:21">
      <c r="U376" t="str">
        <f t="shared" si="5"/>
        <v/>
      </c>
    </row>
    <row r="377" spans="21:21">
      <c r="U377" t="str">
        <f t="shared" si="5"/>
        <v/>
      </c>
    </row>
    <row r="378" spans="21:21">
      <c r="U378" t="str">
        <f t="shared" si="5"/>
        <v/>
      </c>
    </row>
    <row r="379" spans="21:21">
      <c r="U379" t="str">
        <f t="shared" si="5"/>
        <v/>
      </c>
    </row>
    <row r="380" spans="21:21">
      <c r="U380" t="str">
        <f t="shared" si="5"/>
        <v/>
      </c>
    </row>
    <row r="381" spans="21:21">
      <c r="U381" t="str">
        <f t="shared" si="5"/>
        <v/>
      </c>
    </row>
    <row r="382" spans="21:21">
      <c r="U382" t="str">
        <f t="shared" si="5"/>
        <v/>
      </c>
    </row>
    <row r="383" spans="21:21">
      <c r="U383" t="str">
        <f t="shared" si="5"/>
        <v/>
      </c>
    </row>
    <row r="384" spans="21:21">
      <c r="U384" t="str">
        <f t="shared" si="5"/>
        <v/>
      </c>
    </row>
    <row r="385" spans="21:21">
      <c r="U385" t="str">
        <f t="shared" si="5"/>
        <v/>
      </c>
    </row>
    <row r="386" spans="21:21">
      <c r="U386" t="str">
        <f t="shared" ref="U386:U449" si="6">IF($A386&lt;&gt;"","순번 "&amp;$A386&amp;": "&amp;$B386&amp;" / "&amp;$C386&amp;"학년도 / "&amp;$H386,"")</f>
        <v/>
      </c>
    </row>
    <row r="387" spans="21:21">
      <c r="U387" t="str">
        <f t="shared" si="6"/>
        <v/>
      </c>
    </row>
    <row r="388" spans="21:21">
      <c r="U388" t="str">
        <f t="shared" si="6"/>
        <v/>
      </c>
    </row>
    <row r="389" spans="21:21">
      <c r="U389" t="str">
        <f t="shared" si="6"/>
        <v/>
      </c>
    </row>
    <row r="390" spans="21:21">
      <c r="U390" t="str">
        <f t="shared" si="6"/>
        <v/>
      </c>
    </row>
    <row r="391" spans="21:21">
      <c r="U391" t="str">
        <f t="shared" si="6"/>
        <v/>
      </c>
    </row>
    <row r="392" spans="21:21">
      <c r="U392" t="str">
        <f t="shared" si="6"/>
        <v/>
      </c>
    </row>
    <row r="393" spans="21:21">
      <c r="U393" t="str">
        <f t="shared" si="6"/>
        <v/>
      </c>
    </row>
    <row r="394" spans="21:21">
      <c r="U394" t="str">
        <f t="shared" si="6"/>
        <v/>
      </c>
    </row>
    <row r="395" spans="21:21">
      <c r="U395" t="str">
        <f t="shared" si="6"/>
        <v/>
      </c>
    </row>
    <row r="396" spans="21:21">
      <c r="U396" t="str">
        <f t="shared" si="6"/>
        <v/>
      </c>
    </row>
    <row r="397" spans="21:21">
      <c r="U397" t="str">
        <f t="shared" si="6"/>
        <v/>
      </c>
    </row>
    <row r="398" spans="21:21">
      <c r="U398" t="str">
        <f t="shared" si="6"/>
        <v/>
      </c>
    </row>
    <row r="399" spans="21:21">
      <c r="U399" t="str">
        <f t="shared" si="6"/>
        <v/>
      </c>
    </row>
    <row r="400" spans="21:21">
      <c r="U400" t="str">
        <f t="shared" si="6"/>
        <v/>
      </c>
    </row>
    <row r="401" spans="21:21">
      <c r="U401" t="str">
        <f t="shared" si="6"/>
        <v/>
      </c>
    </row>
    <row r="402" spans="21:21">
      <c r="U402" t="str">
        <f t="shared" si="6"/>
        <v/>
      </c>
    </row>
    <row r="403" spans="21:21">
      <c r="U403" t="str">
        <f t="shared" si="6"/>
        <v/>
      </c>
    </row>
    <row r="404" spans="21:21">
      <c r="U404" t="str">
        <f t="shared" si="6"/>
        <v/>
      </c>
    </row>
    <row r="405" spans="21:21">
      <c r="U405" t="str">
        <f t="shared" si="6"/>
        <v/>
      </c>
    </row>
    <row r="406" spans="21:21">
      <c r="U406" t="str">
        <f t="shared" si="6"/>
        <v/>
      </c>
    </row>
    <row r="407" spans="21:21">
      <c r="U407" t="str">
        <f t="shared" si="6"/>
        <v/>
      </c>
    </row>
    <row r="408" spans="21:21">
      <c r="U408" t="str">
        <f t="shared" si="6"/>
        <v/>
      </c>
    </row>
    <row r="409" spans="21:21">
      <c r="U409" t="str">
        <f t="shared" si="6"/>
        <v/>
      </c>
    </row>
    <row r="410" spans="21:21">
      <c r="U410" t="str">
        <f t="shared" si="6"/>
        <v/>
      </c>
    </row>
    <row r="411" spans="21:21">
      <c r="U411" t="str">
        <f t="shared" si="6"/>
        <v/>
      </c>
    </row>
    <row r="412" spans="21:21">
      <c r="U412" t="str">
        <f t="shared" si="6"/>
        <v/>
      </c>
    </row>
    <row r="413" spans="21:21">
      <c r="U413" t="str">
        <f t="shared" si="6"/>
        <v/>
      </c>
    </row>
    <row r="414" spans="21:21">
      <c r="U414" t="str">
        <f t="shared" si="6"/>
        <v/>
      </c>
    </row>
    <row r="415" spans="21:21">
      <c r="U415" t="str">
        <f t="shared" si="6"/>
        <v/>
      </c>
    </row>
    <row r="416" spans="21:21">
      <c r="U416" t="str">
        <f t="shared" si="6"/>
        <v/>
      </c>
    </row>
    <row r="417" spans="21:21">
      <c r="U417" t="str">
        <f t="shared" si="6"/>
        <v/>
      </c>
    </row>
    <row r="418" spans="21:21">
      <c r="U418" t="str">
        <f t="shared" si="6"/>
        <v/>
      </c>
    </row>
    <row r="419" spans="21:21">
      <c r="U419" t="str">
        <f t="shared" si="6"/>
        <v/>
      </c>
    </row>
    <row r="420" spans="21:21">
      <c r="U420" t="str">
        <f t="shared" si="6"/>
        <v/>
      </c>
    </row>
    <row r="421" spans="21:21">
      <c r="U421" t="str">
        <f t="shared" si="6"/>
        <v/>
      </c>
    </row>
    <row r="422" spans="21:21">
      <c r="U422" t="str">
        <f t="shared" si="6"/>
        <v/>
      </c>
    </row>
    <row r="423" spans="21:21">
      <c r="U423" t="str">
        <f t="shared" si="6"/>
        <v/>
      </c>
    </row>
    <row r="424" spans="21:21">
      <c r="U424" t="str">
        <f t="shared" si="6"/>
        <v/>
      </c>
    </row>
    <row r="425" spans="21:21">
      <c r="U425" t="str">
        <f t="shared" si="6"/>
        <v/>
      </c>
    </row>
    <row r="426" spans="21:21">
      <c r="U426" t="str">
        <f t="shared" si="6"/>
        <v/>
      </c>
    </row>
    <row r="427" spans="21:21">
      <c r="U427" t="str">
        <f t="shared" si="6"/>
        <v/>
      </c>
    </row>
    <row r="428" spans="21:21">
      <c r="U428" t="str">
        <f t="shared" si="6"/>
        <v/>
      </c>
    </row>
    <row r="429" spans="21:21">
      <c r="U429" t="str">
        <f t="shared" si="6"/>
        <v/>
      </c>
    </row>
    <row r="430" spans="21:21">
      <c r="U430" t="str">
        <f t="shared" si="6"/>
        <v/>
      </c>
    </row>
    <row r="431" spans="21:21">
      <c r="U431" t="str">
        <f t="shared" si="6"/>
        <v/>
      </c>
    </row>
    <row r="432" spans="21:21">
      <c r="U432" t="str">
        <f t="shared" si="6"/>
        <v/>
      </c>
    </row>
    <row r="433" spans="21:21">
      <c r="U433" t="str">
        <f t="shared" si="6"/>
        <v/>
      </c>
    </row>
    <row r="434" spans="21:21">
      <c r="U434" t="str">
        <f t="shared" si="6"/>
        <v/>
      </c>
    </row>
    <row r="435" spans="21:21">
      <c r="U435" t="str">
        <f t="shared" si="6"/>
        <v/>
      </c>
    </row>
    <row r="436" spans="21:21">
      <c r="U436" t="str">
        <f t="shared" si="6"/>
        <v/>
      </c>
    </row>
    <row r="437" spans="21:21">
      <c r="U437" t="str">
        <f t="shared" si="6"/>
        <v/>
      </c>
    </row>
    <row r="438" spans="21:21">
      <c r="U438" t="str">
        <f t="shared" si="6"/>
        <v/>
      </c>
    </row>
    <row r="439" spans="21:21">
      <c r="U439" t="str">
        <f t="shared" si="6"/>
        <v/>
      </c>
    </row>
    <row r="440" spans="21:21">
      <c r="U440" t="str">
        <f t="shared" si="6"/>
        <v/>
      </c>
    </row>
    <row r="441" spans="21:21">
      <c r="U441" t="str">
        <f t="shared" si="6"/>
        <v/>
      </c>
    </row>
    <row r="442" spans="21:21">
      <c r="U442" t="str">
        <f t="shared" si="6"/>
        <v/>
      </c>
    </row>
    <row r="443" spans="21:21">
      <c r="U443" t="str">
        <f t="shared" si="6"/>
        <v/>
      </c>
    </row>
    <row r="444" spans="21:21">
      <c r="U444" t="str">
        <f t="shared" si="6"/>
        <v/>
      </c>
    </row>
    <row r="445" spans="21:21">
      <c r="U445" t="str">
        <f t="shared" si="6"/>
        <v/>
      </c>
    </row>
    <row r="446" spans="21:21">
      <c r="U446" t="str">
        <f t="shared" si="6"/>
        <v/>
      </c>
    </row>
    <row r="447" spans="21:21">
      <c r="U447" t="str">
        <f t="shared" si="6"/>
        <v/>
      </c>
    </row>
    <row r="448" spans="21:21">
      <c r="U448" t="str">
        <f t="shared" si="6"/>
        <v/>
      </c>
    </row>
    <row r="449" spans="21:21">
      <c r="U449" t="str">
        <f t="shared" si="6"/>
        <v/>
      </c>
    </row>
    <row r="450" spans="21:21">
      <c r="U450" t="str">
        <f t="shared" ref="U450:U500" si="7">IF($A450&lt;&gt;"","순번 "&amp;$A450&amp;": "&amp;$B450&amp;" / "&amp;$C450&amp;"학년도 / "&amp;$H450,"")</f>
        <v/>
      </c>
    </row>
    <row r="451" spans="21:21">
      <c r="U451" t="str">
        <f t="shared" si="7"/>
        <v/>
      </c>
    </row>
    <row r="452" spans="21:21">
      <c r="U452" t="str">
        <f t="shared" si="7"/>
        <v/>
      </c>
    </row>
    <row r="453" spans="21:21">
      <c r="U453" t="str">
        <f t="shared" si="7"/>
        <v/>
      </c>
    </row>
    <row r="454" spans="21:21">
      <c r="U454" t="str">
        <f t="shared" si="7"/>
        <v/>
      </c>
    </row>
    <row r="455" spans="21:21">
      <c r="U455" t="str">
        <f t="shared" si="7"/>
        <v/>
      </c>
    </row>
    <row r="456" spans="21:21">
      <c r="U456" t="str">
        <f t="shared" si="7"/>
        <v/>
      </c>
    </row>
    <row r="457" spans="21:21">
      <c r="U457" t="str">
        <f t="shared" si="7"/>
        <v/>
      </c>
    </row>
    <row r="458" spans="21:21">
      <c r="U458" t="str">
        <f t="shared" si="7"/>
        <v/>
      </c>
    </row>
    <row r="459" spans="21:21">
      <c r="U459" t="str">
        <f t="shared" si="7"/>
        <v/>
      </c>
    </row>
    <row r="460" spans="21:21">
      <c r="U460" t="str">
        <f t="shared" si="7"/>
        <v/>
      </c>
    </row>
    <row r="461" spans="21:21">
      <c r="U461" t="str">
        <f t="shared" si="7"/>
        <v/>
      </c>
    </row>
    <row r="462" spans="21:21">
      <c r="U462" t="str">
        <f t="shared" si="7"/>
        <v/>
      </c>
    </row>
    <row r="463" spans="21:21">
      <c r="U463" t="str">
        <f t="shared" si="7"/>
        <v/>
      </c>
    </row>
    <row r="464" spans="21:21">
      <c r="U464" t="str">
        <f t="shared" si="7"/>
        <v/>
      </c>
    </row>
    <row r="465" spans="21:21">
      <c r="U465" t="str">
        <f t="shared" si="7"/>
        <v/>
      </c>
    </row>
    <row r="466" spans="21:21">
      <c r="U466" t="str">
        <f t="shared" si="7"/>
        <v/>
      </c>
    </row>
    <row r="467" spans="21:21">
      <c r="U467" t="str">
        <f t="shared" si="7"/>
        <v/>
      </c>
    </row>
    <row r="468" spans="21:21">
      <c r="U468" t="str">
        <f t="shared" si="7"/>
        <v/>
      </c>
    </row>
    <row r="469" spans="21:21">
      <c r="U469" t="str">
        <f t="shared" si="7"/>
        <v/>
      </c>
    </row>
    <row r="470" spans="21:21">
      <c r="U470" t="str">
        <f t="shared" si="7"/>
        <v/>
      </c>
    </row>
    <row r="471" spans="21:21">
      <c r="U471" t="str">
        <f t="shared" si="7"/>
        <v/>
      </c>
    </row>
    <row r="472" spans="21:21">
      <c r="U472" t="str">
        <f t="shared" si="7"/>
        <v/>
      </c>
    </row>
    <row r="473" spans="21:21">
      <c r="U473" t="str">
        <f t="shared" si="7"/>
        <v/>
      </c>
    </row>
    <row r="474" spans="21:21">
      <c r="U474" t="str">
        <f t="shared" si="7"/>
        <v/>
      </c>
    </row>
    <row r="475" spans="21:21">
      <c r="U475" t="str">
        <f t="shared" si="7"/>
        <v/>
      </c>
    </row>
    <row r="476" spans="21:21">
      <c r="U476" t="str">
        <f t="shared" si="7"/>
        <v/>
      </c>
    </row>
    <row r="477" spans="21:21">
      <c r="U477" t="str">
        <f t="shared" si="7"/>
        <v/>
      </c>
    </row>
    <row r="478" spans="21:21">
      <c r="U478" t="str">
        <f t="shared" si="7"/>
        <v/>
      </c>
    </row>
    <row r="479" spans="21:21">
      <c r="U479" t="str">
        <f t="shared" si="7"/>
        <v/>
      </c>
    </row>
    <row r="480" spans="21:21">
      <c r="U480" t="str">
        <f t="shared" si="7"/>
        <v/>
      </c>
    </row>
    <row r="481" spans="21:21">
      <c r="U481" t="str">
        <f t="shared" si="7"/>
        <v/>
      </c>
    </row>
    <row r="482" spans="21:21">
      <c r="U482" t="str">
        <f t="shared" si="7"/>
        <v/>
      </c>
    </row>
    <row r="483" spans="21:21">
      <c r="U483" t="str">
        <f t="shared" si="7"/>
        <v/>
      </c>
    </row>
    <row r="484" spans="21:21">
      <c r="U484" t="str">
        <f t="shared" si="7"/>
        <v/>
      </c>
    </row>
    <row r="485" spans="21:21">
      <c r="U485" t="str">
        <f t="shared" si="7"/>
        <v/>
      </c>
    </row>
    <row r="486" spans="21:21">
      <c r="U486" t="str">
        <f t="shared" si="7"/>
        <v/>
      </c>
    </row>
    <row r="487" spans="21:21">
      <c r="U487" t="str">
        <f t="shared" si="7"/>
        <v/>
      </c>
    </row>
    <row r="488" spans="21:21">
      <c r="U488" t="str">
        <f t="shared" si="7"/>
        <v/>
      </c>
    </row>
    <row r="489" spans="21:21">
      <c r="U489" t="str">
        <f t="shared" si="7"/>
        <v/>
      </c>
    </row>
    <row r="490" spans="21:21">
      <c r="U490" t="str">
        <f t="shared" si="7"/>
        <v/>
      </c>
    </row>
    <row r="491" spans="21:21">
      <c r="U491" t="str">
        <f t="shared" si="7"/>
        <v/>
      </c>
    </row>
    <row r="492" spans="21:21">
      <c r="U492" t="str">
        <f t="shared" si="7"/>
        <v/>
      </c>
    </row>
    <row r="493" spans="21:21">
      <c r="U493" t="str">
        <f t="shared" si="7"/>
        <v/>
      </c>
    </row>
    <row r="494" spans="21:21">
      <c r="U494" t="str">
        <f t="shared" si="7"/>
        <v/>
      </c>
    </row>
    <row r="495" spans="21:21">
      <c r="U495" t="str">
        <f t="shared" si="7"/>
        <v/>
      </c>
    </row>
    <row r="496" spans="21:21">
      <c r="U496" t="str">
        <f t="shared" si="7"/>
        <v/>
      </c>
    </row>
    <row r="497" spans="21:21">
      <c r="U497" t="str">
        <f t="shared" si="7"/>
        <v/>
      </c>
    </row>
    <row r="498" spans="21:21">
      <c r="U498" t="str">
        <f t="shared" si="7"/>
        <v/>
      </c>
    </row>
    <row r="499" spans="21:21">
      <c r="U499" t="str">
        <f t="shared" si="7"/>
        <v/>
      </c>
    </row>
    <row r="500" spans="21:21">
      <c r="U500" t="str">
        <f t="shared" si="7"/>
        <v/>
      </c>
    </row>
  </sheetData>
  <sheetProtection sheet="1" objects="1" scenarios="1"/>
  <autoFilter ref="A1:T1" xr:uid="{EC4E285C-2298-4557-BC9A-F79749B56371}"/>
  <phoneticPr fontId="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tnDB닫기">
              <controlPr defaultSize="0" print="0" autoFill="0" autoPict="0" macro="DB시트닫기">
                <anchor moveWithCells="1" sizeWithCells="1">
                  <from>
                    <xdr:col>24</xdr:col>
                    <xdr:colOff>0</xdr:colOff>
                    <xdr:row>0</xdr:row>
                    <xdr:rowOff>0</xdr:rowOff>
                  </from>
                  <to>
                    <xdr:col>27</xdr:col>
                    <xdr:colOff>144780</xdr:colOff>
                    <xdr:row>1</xdr:row>
                    <xdr:rowOff>83820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9DF9A8-F213-442D-9676-7EBB7DF507A7}">
  <sheetPr codeName="Sheet9"/>
  <dimension ref="A1:F1"/>
  <sheetViews>
    <sheetView workbookViewId="0"/>
  </sheetViews>
  <sheetFormatPr defaultRowHeight="17.399999999999999"/>
  <sheetData>
    <row r="1" spans="1:6">
      <c r="A1" s="3" t="s">
        <v>101</v>
      </c>
      <c r="B1" s="3" t="s">
        <v>102</v>
      </c>
      <c r="C1" s="3" t="s">
        <v>46</v>
      </c>
      <c r="D1" s="3" t="s">
        <v>47</v>
      </c>
      <c r="E1" s="3" t="s">
        <v>103</v>
      </c>
      <c r="F1" s="3" t="s">
        <v>104</v>
      </c>
    </row>
  </sheetData>
  <sheetProtection sheet="1" objects="1" scenarios="1"/>
  <autoFilter ref="A1:F1" xr:uid="{459DF9A8-F213-442D-9676-7EBB7DF507A7}"/>
  <phoneticPr fontId="6"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A562A0-AF7F-4071-8A98-4ACD004DC01E}">
  <sheetPr codeName="Sheet10"/>
  <dimension ref="A1:E1"/>
  <sheetViews>
    <sheetView workbookViewId="0"/>
  </sheetViews>
  <sheetFormatPr defaultRowHeight="17.399999999999999"/>
  <sheetData>
    <row r="1" spans="1:5">
      <c r="A1" s="3" t="s">
        <v>101</v>
      </c>
      <c r="B1" s="3" t="s">
        <v>102</v>
      </c>
      <c r="C1" s="3" t="s">
        <v>52</v>
      </c>
      <c r="D1" s="3" t="s">
        <v>105</v>
      </c>
      <c r="E1" s="3" t="s">
        <v>106</v>
      </c>
    </row>
  </sheetData>
  <sheetProtection sheet="1" objects="1" scenarios="1"/>
  <autoFilter ref="A1:E1" xr:uid="{48A562A0-AF7F-4071-8A98-4ACD004DC01E}"/>
  <phoneticPr fontId="6"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4496E3-4FDD-4155-80A4-7B0F4CCBB0B9}">
  <sheetPr codeName="Sheet11"/>
  <dimension ref="A1:D1"/>
  <sheetViews>
    <sheetView workbookViewId="0"/>
  </sheetViews>
  <sheetFormatPr defaultRowHeight="17.399999999999999"/>
  <sheetData>
    <row r="1" spans="1:4">
      <c r="A1" s="3" t="s">
        <v>101</v>
      </c>
      <c r="B1" s="3" t="s">
        <v>102</v>
      </c>
      <c r="C1" s="3" t="s">
        <v>107</v>
      </c>
      <c r="D1" s="3" t="s">
        <v>108</v>
      </c>
    </row>
  </sheetData>
  <sheetProtection sheet="1" objects="1" scenarios="1"/>
  <autoFilter ref="A1:D1" xr:uid="{264496E3-4FDD-4155-80A4-7B0F4CCBB0B9}"/>
  <phoneticPr fontId="6"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6EC78-1AAD-48C5-A836-65A2DFCF7BCB}">
  <sheetPr codeName="Sheet12"/>
  <dimension ref="A1:E1"/>
  <sheetViews>
    <sheetView workbookViewId="0"/>
  </sheetViews>
  <sheetFormatPr defaultRowHeight="17.399999999999999"/>
  <sheetData>
    <row r="1" spans="1:5">
      <c r="A1" s="3" t="s">
        <v>101</v>
      </c>
      <c r="B1" s="3" t="s">
        <v>102</v>
      </c>
      <c r="C1" s="3" t="s">
        <v>75</v>
      </c>
      <c r="D1" s="3" t="s">
        <v>76</v>
      </c>
      <c r="E1" s="3" t="s">
        <v>77</v>
      </c>
    </row>
  </sheetData>
  <sheetProtection sheet="1" objects="1" scenarios="1"/>
  <autoFilter ref="A1:E1" xr:uid="{E5D6EC78-1AAD-48C5-A836-65A2DFCF7BCB}"/>
  <phoneticPr fontId="6"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CCDF9-E51F-4326-8886-9BF5DC2EDE6A}">
  <sheetPr codeName="Sheet13"/>
  <dimension ref="A1:H43"/>
  <sheetViews>
    <sheetView workbookViewId="0"/>
  </sheetViews>
  <sheetFormatPr defaultRowHeight="17.399999999999999"/>
  <cols>
    <col min="1" max="1" width="3.19921875" customWidth="1"/>
    <col min="2" max="3" width="8.69921875" customWidth="1"/>
    <col min="4" max="4" width="12.69921875" customWidth="1"/>
    <col min="5" max="5" width="10.69921875" customWidth="1"/>
    <col min="6" max="8" width="8.69921875" customWidth="1"/>
  </cols>
  <sheetData>
    <row r="1" spans="1:8">
      <c r="A1" s="20"/>
    </row>
    <row r="3" spans="1:8" ht="24" customHeight="1">
      <c r="B3" s="93" t="s">
        <v>499</v>
      </c>
      <c r="C3" s="94"/>
      <c r="D3" s="94"/>
      <c r="E3" s="94"/>
      <c r="F3" s="94"/>
      <c r="G3" s="94"/>
      <c r="H3" s="94"/>
    </row>
    <row r="5" spans="1:8" ht="14.55" customHeight="1">
      <c r="B5" s="55" t="s">
        <v>13</v>
      </c>
      <c r="C5" s="37" t="str">
        <f>IF(기초자료입력!C9&lt;&gt;"",기초자료입력!C9,"")</f>
        <v/>
      </c>
      <c r="D5" s="37"/>
      <c r="E5" s="55" t="s">
        <v>291</v>
      </c>
      <c r="F5" s="37" t="str">
        <f>IF(기초자료입력!C8&lt;&gt;"",TEXT(기초자료입력!C8,"yyyy-mm-dd"),"")</f>
        <v/>
      </c>
      <c r="G5" s="37"/>
      <c r="H5" s="37"/>
    </row>
    <row r="6" spans="1:8" ht="14.55" customHeight="1">
      <c r="B6" s="37"/>
      <c r="C6" s="37"/>
      <c r="D6" s="37"/>
      <c r="E6" s="37"/>
      <c r="F6" s="37"/>
      <c r="G6" s="37"/>
      <c r="H6" s="37"/>
    </row>
    <row r="7" spans="1:8" ht="14.55" customHeight="1">
      <c r="B7" s="55" t="s">
        <v>292</v>
      </c>
      <c r="C7" s="87" t="s">
        <v>500</v>
      </c>
      <c r="D7" s="87"/>
      <c r="E7" s="87"/>
      <c r="F7" s="87"/>
      <c r="G7" s="87"/>
      <c r="H7" s="87"/>
    </row>
    <row r="8" spans="1:8" ht="14.55" customHeight="1">
      <c r="B8" s="55" t="s">
        <v>297</v>
      </c>
      <c r="C8" s="87"/>
      <c r="D8" s="87"/>
      <c r="E8" s="87"/>
      <c r="F8" s="87"/>
      <c r="G8" s="87"/>
      <c r="H8" s="87"/>
    </row>
    <row r="9" spans="1:8" ht="14.55" customHeight="1">
      <c r="B9" s="55" t="s">
        <v>293</v>
      </c>
      <c r="C9" s="89" t="str">
        <f>IF(기초자료입력!C5&lt;&gt;"",기초자료입력!C5&amp;"학년도 교복선정위원회 구성(안)","교복선정위원회 구성(안)")</f>
        <v>교복선정위원회 구성(안)</v>
      </c>
      <c r="D9" s="87"/>
      <c r="E9" s="87"/>
      <c r="F9" s="87"/>
      <c r="G9" s="87"/>
      <c r="H9" s="87"/>
    </row>
    <row r="10" spans="1:8" ht="14.55" customHeight="1">
      <c r="B10" s="37"/>
      <c r="C10" s="37"/>
      <c r="D10" s="37"/>
      <c r="E10" s="37"/>
      <c r="F10" s="37"/>
      <c r="G10" s="37"/>
      <c r="H10" s="37"/>
    </row>
    <row r="11" spans="1:8" ht="14.55" customHeight="1">
      <c r="B11" s="55" t="s">
        <v>298</v>
      </c>
      <c r="C11" s="87" t="str">
        <f>IF(기초자료입력!C23&lt;&gt;"",기초자료입력!C23,"")</f>
        <v/>
      </c>
      <c r="D11" s="87"/>
      <c r="E11" s="87"/>
      <c r="F11" s="87"/>
      <c r="G11" s="87"/>
      <c r="H11" s="87"/>
    </row>
    <row r="12" spans="1:8" ht="14.55" customHeight="1">
      <c r="B12" s="37"/>
      <c r="C12" s="37"/>
      <c r="D12" s="37"/>
      <c r="E12" s="37"/>
      <c r="F12" s="37"/>
      <c r="G12" s="37"/>
      <c r="H12" s="37"/>
    </row>
    <row r="13" spans="1:8" ht="25.95" customHeight="1">
      <c r="B13" s="92" t="str">
        <f>"2. "&amp;IF(기초자료입력!C4&lt;&gt;"",기초자료입력!C4,"○○학교")&amp;" "&amp;IF(기초자료입력!C5&lt;&gt;"",기초자료입력!C5,"○○")&amp;"학년도 교복선정을 위한 교복선정위원회를 아래와 같이 구성하고자 합니다."</f>
        <v>2. ○○학교 ○○학년도 교복선정을 위한 교복선정위원회를 아래와 같이 구성하고자 합니다.</v>
      </c>
      <c r="C13" s="92"/>
      <c r="D13" s="92"/>
      <c r="E13" s="92"/>
      <c r="F13" s="92"/>
      <c r="G13" s="92"/>
      <c r="H13" s="92"/>
    </row>
    <row r="14" spans="1:8" ht="14.55" customHeight="1">
      <c r="B14" s="37"/>
      <c r="C14" s="37"/>
      <c r="D14" s="37"/>
      <c r="E14" s="37"/>
      <c r="F14" s="37"/>
      <c r="G14" s="37"/>
      <c r="H14" s="37"/>
    </row>
    <row r="15" spans="1:8" ht="14.55" customHeight="1">
      <c r="B15" s="89" t="s">
        <v>501</v>
      </c>
      <c r="C15" s="87"/>
      <c r="D15" s="87"/>
      <c r="E15" s="87"/>
      <c r="F15" s="87"/>
      <c r="G15" s="87"/>
      <c r="H15" s="87"/>
    </row>
    <row r="16" spans="1:8" ht="19.95" customHeight="1">
      <c r="B16" s="91" t="s">
        <v>502</v>
      </c>
      <c r="C16" s="92"/>
      <c r="D16" s="92"/>
      <c r="E16" s="92"/>
      <c r="F16" s="92"/>
      <c r="G16" s="92"/>
      <c r="H16" s="92"/>
    </row>
    <row r="17" spans="2:8" ht="12" customHeight="1">
      <c r="B17" s="92" t="s">
        <v>503</v>
      </c>
      <c r="C17" s="92"/>
      <c r="D17" s="92"/>
      <c r="E17" s="92"/>
      <c r="F17" s="92"/>
      <c r="G17" s="92"/>
      <c r="H17" s="92"/>
    </row>
    <row r="18" spans="2:8" ht="14.55" customHeight="1">
      <c r="B18" s="89" t="s">
        <v>504</v>
      </c>
      <c r="C18" s="87"/>
      <c r="D18" s="87"/>
      <c r="E18" s="87"/>
      <c r="F18" s="87"/>
      <c r="G18" s="87"/>
      <c r="H18" s="87"/>
    </row>
    <row r="19" spans="2:8" ht="14.55" customHeight="1">
      <c r="B19" s="87" t="s">
        <v>505</v>
      </c>
      <c r="C19" s="87"/>
      <c r="D19" s="87"/>
      <c r="E19" s="87"/>
      <c r="F19" s="87"/>
      <c r="G19" s="87"/>
      <c r="H19" s="87"/>
    </row>
    <row r="20" spans="2:8" ht="14.55" customHeight="1">
      <c r="B20" s="87" t="s">
        <v>506</v>
      </c>
      <c r="C20" s="87"/>
      <c r="D20" s="87"/>
      <c r="E20" s="87"/>
      <c r="F20" s="87"/>
      <c r="G20" s="87"/>
      <c r="H20" s="87"/>
    </row>
    <row r="21" spans="2:8" ht="14.55" customHeight="1">
      <c r="B21" s="87" t="s">
        <v>507</v>
      </c>
      <c r="C21" s="87"/>
      <c r="D21" s="87"/>
      <c r="E21" s="87"/>
      <c r="F21" s="87"/>
      <c r="G21" s="87"/>
      <c r="H21" s="87"/>
    </row>
    <row r="22" spans="2:8" ht="14.55" customHeight="1">
      <c r="B22" s="87" t="s">
        <v>508</v>
      </c>
      <c r="C22" s="87"/>
      <c r="D22" s="87"/>
      <c r="E22" s="87"/>
      <c r="F22" s="87"/>
      <c r="G22" s="87"/>
      <c r="H22" s="87"/>
    </row>
    <row r="23" spans="2:8" ht="14.55" customHeight="1">
      <c r="B23" s="37"/>
      <c r="C23" s="37"/>
      <c r="D23" s="37"/>
      <c r="E23" s="37"/>
      <c r="F23" s="37"/>
      <c r="G23" s="37"/>
      <c r="H23" s="37"/>
    </row>
    <row r="24" spans="2:8" ht="14.55" customHeight="1">
      <c r="B24" s="89" t="s">
        <v>509</v>
      </c>
      <c r="C24" s="87"/>
      <c r="D24" s="87"/>
      <c r="E24" s="87"/>
      <c r="F24" s="87"/>
      <c r="G24" s="87"/>
      <c r="H24" s="87"/>
    </row>
    <row r="25" spans="2:8" ht="14.55" customHeight="1">
      <c r="B25" s="32" t="s">
        <v>510</v>
      </c>
      <c r="C25" s="32" t="s">
        <v>326</v>
      </c>
      <c r="D25" s="32" t="s">
        <v>511</v>
      </c>
      <c r="E25" s="32" t="s">
        <v>512</v>
      </c>
      <c r="F25" s="90" t="s">
        <v>316</v>
      </c>
      <c r="G25" s="87"/>
      <c r="H25" s="87"/>
    </row>
    <row r="26" spans="2:8" ht="14.55" customHeight="1">
      <c r="B26" s="37" t="str">
        <f>IF(기초자료입력!B58&lt;&gt;"",1,"")</f>
        <v/>
      </c>
      <c r="C26" s="37" t="str">
        <f>IF(기초자료입력!B58&lt;&gt;"","위원장","")</f>
        <v/>
      </c>
      <c r="D26" s="37" t="str">
        <f>IF(기초자료입력!B58&lt;&gt;"",기초자료입력!B58,"")</f>
        <v/>
      </c>
      <c r="E26" s="37" t="str">
        <f>IF(기초자료입력!C58&lt;&gt;"",기초자료입력!C58,"")</f>
        <v/>
      </c>
      <c r="F26" s="87"/>
      <c r="G26" s="87"/>
      <c r="H26" s="87"/>
    </row>
    <row r="27" spans="2:8" ht="14.55" customHeight="1">
      <c r="B27" s="37" t="str">
        <f>IF(기초자료입력!B59&lt;&gt;"",2,"")</f>
        <v/>
      </c>
      <c r="C27" s="37" t="str">
        <f>IF(기초자료입력!B59&lt;&gt;"","위원","")</f>
        <v/>
      </c>
      <c r="D27" s="37" t="str">
        <f>IF(기초자료입력!B59&lt;&gt;"",기초자료입력!B59,"")</f>
        <v/>
      </c>
      <c r="E27" s="37" t="str">
        <f>IF(기초자료입력!C59&lt;&gt;"",기초자료입력!C59,"")</f>
        <v/>
      </c>
      <c r="F27" s="87"/>
      <c r="G27" s="87"/>
      <c r="H27" s="87"/>
    </row>
    <row r="28" spans="2:8" ht="14.55" customHeight="1">
      <c r="B28" s="37" t="str">
        <f>IF(기초자료입력!B60&lt;&gt;"",3,"")</f>
        <v/>
      </c>
      <c r="C28" s="37" t="str">
        <f>IF(기초자료입력!B60&lt;&gt;"","위원","")</f>
        <v/>
      </c>
      <c r="D28" s="37" t="str">
        <f>IF(기초자료입력!B60&lt;&gt;"",기초자료입력!B60,"")</f>
        <v/>
      </c>
      <c r="E28" s="37" t="str">
        <f>IF(기초자료입력!C60&lt;&gt;"",기초자료입력!C60,"")</f>
        <v/>
      </c>
      <c r="F28" s="87"/>
      <c r="G28" s="87"/>
      <c r="H28" s="87"/>
    </row>
    <row r="29" spans="2:8" ht="14.55" customHeight="1">
      <c r="B29" s="37" t="str">
        <f>IF(기초자료입력!B61&lt;&gt;"",4,"")</f>
        <v/>
      </c>
      <c r="C29" s="37" t="str">
        <f>IF(기초자료입력!B61&lt;&gt;"","위원","")</f>
        <v/>
      </c>
      <c r="D29" s="37" t="str">
        <f>IF(기초자료입력!B61&lt;&gt;"",기초자료입력!B61,"")</f>
        <v/>
      </c>
      <c r="E29" s="37" t="str">
        <f>IF(기초자료입력!C61&lt;&gt;"",기초자료입력!C61,"")</f>
        <v/>
      </c>
      <c r="F29" s="87"/>
      <c r="G29" s="87"/>
      <c r="H29" s="87"/>
    </row>
    <row r="30" spans="2:8" ht="14.55" customHeight="1">
      <c r="B30" s="37" t="str">
        <f>IF(기초자료입력!B62&lt;&gt;"",5,"")</f>
        <v/>
      </c>
      <c r="C30" s="37" t="str">
        <f>IF(기초자료입력!B62&lt;&gt;"","위원","")</f>
        <v/>
      </c>
      <c r="D30" s="37" t="str">
        <f>IF(기초자료입력!B62&lt;&gt;"",기초자료입력!B62,"")</f>
        <v/>
      </c>
      <c r="E30" s="37" t="str">
        <f>IF(기초자료입력!C62&lt;&gt;"",기초자료입력!C62,"")</f>
        <v/>
      </c>
      <c r="F30" s="87"/>
      <c r="G30" s="87"/>
      <c r="H30" s="87"/>
    </row>
    <row r="31" spans="2:8" ht="14.55" customHeight="1">
      <c r="B31" s="37" t="str">
        <f>IF(기초자료입력!B63&lt;&gt;"",6,"")</f>
        <v/>
      </c>
      <c r="C31" s="37" t="str">
        <f>IF(기초자료입력!B63&lt;&gt;"","위원","")</f>
        <v/>
      </c>
      <c r="D31" s="37" t="str">
        <f>IF(기초자료입력!B63&lt;&gt;"",기초자료입력!B63,"")</f>
        <v/>
      </c>
      <c r="E31" s="37" t="str">
        <f>IF(기초자료입력!C63&lt;&gt;"",기초자료입력!C63,"")</f>
        <v/>
      </c>
      <c r="F31" s="87"/>
      <c r="G31" s="87"/>
      <c r="H31" s="87"/>
    </row>
    <row r="32" spans="2:8" ht="14.55" customHeight="1">
      <c r="B32" s="37" t="str">
        <f>IF(기초자료입력!B64&lt;&gt;"",7,"")</f>
        <v/>
      </c>
      <c r="C32" s="37" t="str">
        <f>IF(기초자료입력!B64&lt;&gt;"","위원","")</f>
        <v/>
      </c>
      <c r="D32" s="37" t="str">
        <f>IF(기초자료입력!B64&lt;&gt;"",기초자료입력!B64,"")</f>
        <v/>
      </c>
      <c r="E32" s="37" t="str">
        <f>IF(기초자료입력!C64&lt;&gt;"",기초자료입력!C64,"")</f>
        <v/>
      </c>
      <c r="F32" s="87"/>
      <c r="G32" s="87"/>
      <c r="H32" s="87"/>
    </row>
    <row r="33" spans="2:8" ht="14.55" customHeight="1">
      <c r="B33" s="37" t="str">
        <f>IF(기초자료입력!B65&lt;&gt;"",8,"")</f>
        <v/>
      </c>
      <c r="C33" s="37" t="str">
        <f>IF(기초자료입력!B65&lt;&gt;"","위원","")</f>
        <v/>
      </c>
      <c r="D33" s="37" t="str">
        <f>IF(기초자료입력!B65&lt;&gt;"",기초자료입력!B65,"")</f>
        <v/>
      </c>
      <c r="E33" s="37" t="str">
        <f>IF(기초자료입력!C65&lt;&gt;"",기초자료입력!C65,"")</f>
        <v/>
      </c>
      <c r="F33" s="87"/>
      <c r="G33" s="87"/>
      <c r="H33" s="87"/>
    </row>
    <row r="34" spans="2:8" ht="14.55" customHeight="1">
      <c r="B34" s="37" t="str">
        <f>IF(기초자료입력!B66&lt;&gt;"",9,"")</f>
        <v/>
      </c>
      <c r="C34" s="37" t="str">
        <f>IF(기초자료입력!B66&lt;&gt;"","위원","")</f>
        <v/>
      </c>
      <c r="D34" s="37" t="str">
        <f>IF(기초자료입력!B66&lt;&gt;"",기초자료입력!B66,"")</f>
        <v/>
      </c>
      <c r="E34" s="37" t="str">
        <f>IF(기초자료입력!C66&lt;&gt;"",기초자료입력!C66,"")</f>
        <v/>
      </c>
      <c r="F34" s="87"/>
      <c r="G34" s="87"/>
      <c r="H34" s="87"/>
    </row>
    <row r="35" spans="2:8" ht="14.55" customHeight="1">
      <c r="B35" s="37" t="str">
        <f>IF(기초자료입력!B67&lt;&gt;"",10,"")</f>
        <v/>
      </c>
      <c r="C35" s="37" t="str">
        <f>IF(기초자료입력!B67&lt;&gt;"","위원","")</f>
        <v/>
      </c>
      <c r="D35" s="37" t="str">
        <f>IF(기초자료입력!B67&lt;&gt;"",기초자료입력!B67,"")</f>
        <v/>
      </c>
      <c r="E35" s="37" t="str">
        <f>IF(기초자료입력!C67&lt;&gt;"",기초자료입력!C67,"")</f>
        <v/>
      </c>
      <c r="F35" s="87"/>
      <c r="G35" s="87"/>
      <c r="H35" s="87"/>
    </row>
    <row r="36" spans="2:8" ht="14.55" customHeight="1">
      <c r="B36" s="38"/>
      <c r="C36" s="38"/>
      <c r="D36" s="38"/>
      <c r="E36" s="38"/>
      <c r="F36" s="38"/>
      <c r="G36" s="38"/>
      <c r="H36" s="38"/>
    </row>
    <row r="37" spans="2:8" ht="14.55" customHeight="1">
      <c r="B37" s="88" t="s">
        <v>513</v>
      </c>
      <c r="C37" s="86"/>
      <c r="D37" s="86"/>
      <c r="E37" s="86"/>
      <c r="F37" s="86"/>
      <c r="G37" s="86"/>
      <c r="H37" s="86"/>
    </row>
    <row r="38" spans="2:8" ht="14.55" customHeight="1">
      <c r="B38" s="86" t="s">
        <v>514</v>
      </c>
      <c r="C38" s="86"/>
      <c r="D38" s="86"/>
      <c r="E38" s="86"/>
      <c r="F38" s="86"/>
      <c r="G38" s="86"/>
      <c r="H38" s="86"/>
    </row>
    <row r="39" spans="2:8" ht="14.55" customHeight="1">
      <c r="B39" s="38"/>
      <c r="C39" s="38"/>
      <c r="D39" s="38"/>
      <c r="E39" s="38"/>
      <c r="F39" s="38"/>
      <c r="G39" s="38"/>
      <c r="H39" s="38"/>
    </row>
    <row r="40" spans="2:8" ht="28.05" customHeight="1">
      <c r="B40" s="38"/>
      <c r="C40" s="38"/>
      <c r="D40" s="38"/>
      <c r="E40" s="38"/>
      <c r="F40" s="56" t="str">
        <f>"담당"&amp;CHAR(10)&amp;IF(기초자료입력!$C$10&lt;&gt;"",기초자료입력!$C$10,"")</f>
        <v xml:space="preserve">담당
</v>
      </c>
      <c r="G40" s="56" t="s">
        <v>304</v>
      </c>
      <c r="H40" s="56" t="str">
        <f>"교장"&amp;CHAR(10)&amp;IF(기초자료입력!$F$10&lt;&gt;"",기초자료입력!$F$10,"")</f>
        <v xml:space="preserve">교장
</v>
      </c>
    </row>
    <row r="41" spans="2:8" ht="14.55" customHeight="1">
      <c r="B41" s="53" t="s">
        <v>305</v>
      </c>
      <c r="C41" s="86" t="str">
        <f>IF(기초자료입력!C9&lt;&gt;"",기초자료입력!C9&amp;IF(기초자료입력!C8&lt;&gt;"","("&amp;TEXT(기초자료입력!C8,"yyyy.m.d.")&amp;")",""),"")</f>
        <v/>
      </c>
      <c r="D41" s="86"/>
      <c r="E41" s="86"/>
      <c r="F41" s="55" t="s">
        <v>306</v>
      </c>
      <c r="G41" s="87"/>
      <c r="H41" s="87"/>
    </row>
    <row r="42" spans="2:8" ht="14.55" customHeight="1">
      <c r="B42" s="53" t="s">
        <v>307</v>
      </c>
      <c r="C42" s="38"/>
      <c r="D42" s="53" t="s">
        <v>308</v>
      </c>
      <c r="E42" s="86" t="str">
        <f>IFERROR(INDEX(학교정보!$F$2:$F$791,MATCH(기초자료입력!$C$4,학교정보!$E$2:$E$791,0)),"")</f>
        <v/>
      </c>
      <c r="F42" s="87"/>
      <c r="G42" s="87"/>
      <c r="H42" s="87"/>
    </row>
    <row r="43" spans="2:8" ht="14.55" customHeight="1">
      <c r="B43" s="53" t="s">
        <v>309</v>
      </c>
      <c r="C43" s="38" t="str">
        <f>IFERROR(INDEX(학교정보!$G$2:$G$791,MATCH(기초자료입력!$C$4,학교정보!$E$2:$E$791,0)),"")</f>
        <v/>
      </c>
      <c r="D43" s="53" t="s">
        <v>310</v>
      </c>
      <c r="E43" s="38"/>
      <c r="F43" s="55" t="s">
        <v>311</v>
      </c>
      <c r="G43" s="87"/>
      <c r="H43" s="87"/>
    </row>
  </sheetData>
  <mergeCells count="32">
    <mergeCell ref="B20:H20"/>
    <mergeCell ref="B3:H3"/>
    <mergeCell ref="C7:H7"/>
    <mergeCell ref="C8:H8"/>
    <mergeCell ref="C9:H9"/>
    <mergeCell ref="C11:H11"/>
    <mergeCell ref="B13:H13"/>
    <mergeCell ref="B15:H15"/>
    <mergeCell ref="B16:H16"/>
    <mergeCell ref="B17:H17"/>
    <mergeCell ref="B18:H18"/>
    <mergeCell ref="B19:H19"/>
    <mergeCell ref="F33:H33"/>
    <mergeCell ref="B21:H21"/>
    <mergeCell ref="B22:H22"/>
    <mergeCell ref="B24:H24"/>
    <mergeCell ref="F25:H25"/>
    <mergeCell ref="F26:H26"/>
    <mergeCell ref="F27:H27"/>
    <mergeCell ref="F28:H28"/>
    <mergeCell ref="F29:H29"/>
    <mergeCell ref="F30:H30"/>
    <mergeCell ref="F31:H31"/>
    <mergeCell ref="F32:H32"/>
    <mergeCell ref="E42:H42"/>
    <mergeCell ref="G43:H43"/>
    <mergeCell ref="F34:H34"/>
    <mergeCell ref="F35:H35"/>
    <mergeCell ref="B37:H37"/>
    <mergeCell ref="B38:H38"/>
    <mergeCell ref="C41:E41"/>
    <mergeCell ref="G41:H41"/>
  </mergeCells>
  <phoneticPr fontId="6" type="noConversion"/>
  <printOptions horizontalCentered="1"/>
  <pageMargins left="0.39370138888888889" right="0.39370138888888889" top="0.31496111111111108" bottom="0.31496111111111108"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1331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01CA97-17E8-41E7-84C1-E3E6E08A4A02}">
  <sheetPr codeName="Sheet14"/>
  <dimension ref="A1:E21"/>
  <sheetViews>
    <sheetView workbookViewId="0"/>
  </sheetViews>
  <sheetFormatPr defaultRowHeight="17.399999999999999"/>
  <cols>
    <col min="1" max="1" width="3.19921875" customWidth="1"/>
    <col min="2" max="5" width="20.69921875" customWidth="1"/>
  </cols>
  <sheetData>
    <row r="1" spans="1:5" ht="12" customHeight="1">
      <c r="A1" s="20"/>
    </row>
    <row r="3" spans="1:5" ht="25.95" customHeight="1">
      <c r="B3" s="97" t="s">
        <v>515</v>
      </c>
      <c r="C3" s="96"/>
      <c r="D3" s="96"/>
      <c r="E3" s="96"/>
    </row>
    <row r="4" spans="1:5" ht="25.95" customHeight="1">
      <c r="B4" s="96"/>
      <c r="C4" s="96"/>
      <c r="D4" s="96"/>
      <c r="E4" s="96"/>
    </row>
    <row r="5" spans="1:5" ht="10.050000000000001" customHeight="1">
      <c r="B5" s="57"/>
      <c r="C5" s="57"/>
      <c r="D5" s="57"/>
      <c r="E5" s="57"/>
    </row>
    <row r="6" spans="1:5" ht="28.05" customHeight="1">
      <c r="B6" s="98" t="str">
        <f>"본인은 "&amp;IF(기초자료입력!C4&lt;&gt;"",기초자료입력!C4,"○○학교")&amp;" 교복선정위원회 활동을 공정하게 수행할 것이며, 교복가격 안정화에 적극 노력하겠습니다."</f>
        <v>본인은 ○○학교 교복선정위원회 활동을 공정하게 수행할 것이며, 교복가격 안정화에 적극 노력하겠습니다.</v>
      </c>
      <c r="C6" s="98"/>
      <c r="D6" s="98"/>
      <c r="E6" s="98"/>
    </row>
    <row r="7" spans="1:5" ht="28.05" customHeight="1">
      <c r="B7" s="98" t="str">
        <f>"아울러 본인은 "&amp;IF(기초자료입력!C4&lt;&gt;"",기초자료입력!C4,"○○학교")&amp;" 교복 입찰에 참가한(또는 앞으로 참가할) 업체와 전혀 관련이 없음을 확인합니다."</f>
        <v>아울러 본인은 ○○학교 교복 입찰에 참가한(또는 앞으로 참가할) 업체와 전혀 관련이 없음을 확인합니다.</v>
      </c>
      <c r="C7" s="98"/>
      <c r="D7" s="98"/>
      <c r="E7" s="98"/>
    </row>
    <row r="8" spans="1:5" ht="28.05" customHeight="1">
      <c r="B8" s="98" t="s">
        <v>516</v>
      </c>
      <c r="C8" s="98"/>
      <c r="D8" s="98"/>
      <c r="E8" s="98"/>
    </row>
    <row r="9" spans="1:5" ht="13.95" customHeight="1">
      <c r="B9" s="57"/>
      <c r="C9" s="57"/>
      <c r="D9" s="57"/>
      <c r="E9" s="57"/>
    </row>
    <row r="10" spans="1:5" ht="13.95" customHeight="1">
      <c r="B10" s="57"/>
      <c r="C10" s="57"/>
      <c r="D10" s="57"/>
      <c r="E10" s="57"/>
    </row>
    <row r="11" spans="1:5" ht="10.050000000000001" customHeight="1">
      <c r="B11" s="57"/>
      <c r="C11" s="57"/>
      <c r="D11" s="57"/>
      <c r="E11" s="57"/>
    </row>
    <row r="12" spans="1:5" ht="19.95" customHeight="1">
      <c r="B12" s="96" t="str">
        <f>IF(기초자료입력!$C$5="","20○○.  ○○  .  ○○  .","20"&amp;RIGHT(기초자료입력!$C$5,2)&amp;".  ○○  .  ○○  .")</f>
        <v>20○○.  ○○  .  ○○  .</v>
      </c>
      <c r="C12" s="96"/>
      <c r="D12" s="96"/>
      <c r="E12" s="96"/>
    </row>
    <row r="13" spans="1:5" ht="13.95" customHeight="1">
      <c r="B13" s="57"/>
      <c r="C13" s="57"/>
      <c r="D13" s="57"/>
      <c r="E13" s="57"/>
    </row>
    <row r="14" spans="1:5" ht="22.05" customHeight="1">
      <c r="B14" s="95" t="s">
        <v>517</v>
      </c>
      <c r="C14" s="95"/>
      <c r="D14" s="95"/>
      <c r="E14" s="95"/>
    </row>
    <row r="15" spans="1:5" ht="13.95" customHeight="1">
      <c r="B15" s="58"/>
      <c r="C15" s="58"/>
      <c r="D15" s="58"/>
      <c r="E15" s="58"/>
    </row>
    <row r="16" spans="1:5" ht="22.05" customHeight="1">
      <c r="B16" s="95" t="s">
        <v>518</v>
      </c>
      <c r="C16" s="95"/>
      <c r="D16" s="95"/>
      <c r="E16" s="95"/>
    </row>
    <row r="17" spans="2:5" ht="13.95" customHeight="1">
      <c r="B17" s="58"/>
      <c r="C17" s="58"/>
      <c r="D17" s="58"/>
      <c r="E17" s="58"/>
    </row>
    <row r="18" spans="2:5" ht="22.05" customHeight="1">
      <c r="B18" s="95" t="s">
        <v>519</v>
      </c>
      <c r="C18" s="95"/>
      <c r="D18" s="95"/>
      <c r="E18" s="95"/>
    </row>
    <row r="19" spans="2:5" ht="13.95" customHeight="1">
      <c r="B19" s="57"/>
      <c r="C19" s="57"/>
      <c r="D19" s="57"/>
      <c r="E19" s="57"/>
    </row>
    <row r="20" spans="2:5" ht="10.050000000000001" customHeight="1">
      <c r="B20" s="57"/>
      <c r="C20" s="57"/>
      <c r="D20" s="57"/>
      <c r="E20" s="57"/>
    </row>
    <row r="21" spans="2:5" ht="19.95" customHeight="1">
      <c r="B21" s="96" t="str">
        <f>IF(기초자료입력!$C$4="","○○학교장 귀하",기초자료입력!$C$4&amp;"장 귀하")</f>
        <v>○○학교장 귀하</v>
      </c>
      <c r="C21" s="96"/>
      <c r="D21" s="96"/>
      <c r="E21" s="96"/>
    </row>
  </sheetData>
  <mergeCells count="9">
    <mergeCell ref="B16:E16"/>
    <mergeCell ref="B18:E18"/>
    <mergeCell ref="B21:E21"/>
    <mergeCell ref="B3:E4"/>
    <mergeCell ref="B6:E6"/>
    <mergeCell ref="B7:E7"/>
    <mergeCell ref="B8:E8"/>
    <mergeCell ref="B12:E12"/>
    <mergeCell ref="B14:E14"/>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1433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613250-339D-41DC-AC56-F035A54229A4}">
  <sheetPr codeName="Sheet15"/>
  <dimension ref="A1:E20"/>
  <sheetViews>
    <sheetView workbookViewId="0"/>
  </sheetViews>
  <sheetFormatPr defaultRowHeight="17.399999999999999"/>
  <cols>
    <col min="1" max="1" width="3.19921875" customWidth="1"/>
    <col min="2" max="5" width="20.69921875" customWidth="1"/>
  </cols>
  <sheetData>
    <row r="1" spans="1:5" ht="12" customHeight="1">
      <c r="A1" s="20"/>
    </row>
    <row r="3" spans="1:5" ht="25.95" customHeight="1">
      <c r="B3" s="97" t="s">
        <v>520</v>
      </c>
      <c r="C3" s="96"/>
      <c r="D3" s="96"/>
      <c r="E3" s="96"/>
    </row>
    <row r="4" spans="1:5" ht="25.95" customHeight="1">
      <c r="B4" s="96"/>
      <c r="C4" s="96"/>
      <c r="D4" s="96"/>
      <c r="E4" s="96"/>
    </row>
    <row r="5" spans="1:5" ht="10.050000000000001" customHeight="1">
      <c r="B5" s="57"/>
      <c r="C5" s="57"/>
      <c r="D5" s="57"/>
      <c r="E5" s="57"/>
    </row>
    <row r="6" spans="1:5" ht="28.05" customHeight="1">
      <c r="B6" s="98" t="str">
        <f>"본인은      년      월      일 "&amp;IF(기초자료입력!C4&lt;&gt;"",기초자료입력!C4,"○○학교")&amp;"에서 실시하는 교복 학교주관구매업체 선정을 위한 평가함에 있어 「부패 없는 투명한 사회」 구현 등을 위하여 다음 사항을 준수할 것을 서약합니다."</f>
        <v>본인은      년      월      일 ○○학교에서 실시하는 교복 학교주관구매업체 선정을 위한 평가함에 있어 「부패 없는 투명한 사회」 구현 등을 위하여 다음 사항을 준수할 것을 서약합니다.</v>
      </c>
      <c r="C6" s="98"/>
      <c r="D6" s="98"/>
      <c r="E6" s="98"/>
    </row>
    <row r="7" spans="1:5" ht="10.050000000000001" customHeight="1">
      <c r="B7" s="57"/>
      <c r="C7" s="57"/>
      <c r="D7" s="57"/>
      <c r="E7" s="57"/>
    </row>
    <row r="8" spans="1:5" ht="25.95" customHeight="1">
      <c r="B8" s="98" t="str">
        <f>"1. 20○○학년도 "&amp;IF(기초자료입력!C4&lt;&gt;"",기초자료입력!C4,"○○학교")&amp;" 교복 학교주관구매업체 선정을 위해 제시된 항목에 따라 객관적이고 공정하게 심사할 것을 약속합니다."</f>
        <v>1. 20○○학년도 ○○학교 교복 학교주관구매업체 선정을 위해 제시된 항목에 따라 객관적이고 공정하게 심사할 것을 약속합니다.</v>
      </c>
      <c r="C8" s="98"/>
      <c r="D8" s="98"/>
      <c r="E8" s="98"/>
    </row>
    <row r="9" spans="1:5" ht="25.95" customHeight="1">
      <c r="B9" s="98" t="str">
        <f>"2. ○○학교 교복 학교 주관 교복선정 위원회 지위를 이용하여 관련업체로부터 어떠한 경우에도 금품·향응·편의 등을 수수하거나 제공받지 않을 것이며, 이러한 상황이 발생하면 사업부서에 통보하여 공정한 평가가 이루어지도록 하겠습니다."</f>
        <v>2. ○○학교 교복 학교 주관 교복선정 위원회 지위를 이용하여 관련업체로부터 어떠한 경우에도 금품·향응·편의 등을 수수하거나 제공받지 않을 것이며, 이러한 상황이 발생하면 사업부서에 통보하여 공정한 평가가 이루어지도록 하겠습니다.</v>
      </c>
      <c r="C9" s="98"/>
      <c r="D9" s="98"/>
      <c r="E9" s="98"/>
    </row>
    <row r="10" spans="1:5" ht="25.95" customHeight="1">
      <c r="B10" s="98" t="str">
        <f>"3. 업무상 취득한 비밀을 준수하고 보안관계 규정 및 지침을 성실히 수행하겠습니다."</f>
        <v>3. 업무상 취득한 비밀을 준수하고 보안관계 규정 및 지침을 성실히 수행하겠습니다.</v>
      </c>
      <c r="C10" s="98"/>
      <c r="D10" s="98"/>
      <c r="E10" s="98"/>
    </row>
    <row r="11" spans="1:5" ht="25.95" customHeight="1">
      <c r="B11" s="98" t="str">
        <f>"4. 평가와 관련하여 알게 된 업무상 비밀을 타인에게 누설하지 않겠으며, 업무상 취득한 비밀을 누설할 때에는 관계법규에 따라 처벌을 받는 것에 이의를 제기하지 않겠습니다."</f>
        <v>4. 평가와 관련하여 알게 된 업무상 비밀을 타인에게 누설하지 않겠으며, 업무상 취득한 비밀을 누설할 때에는 관계법규에 따라 처벌을 받는 것에 이의를 제기하지 않겠습니다.</v>
      </c>
      <c r="C11" s="98"/>
      <c r="D11" s="98"/>
      <c r="E11" s="98"/>
    </row>
    <row r="12" spans="1:5" ht="10.050000000000001" customHeight="1">
      <c r="B12" s="57"/>
      <c r="C12" s="57"/>
      <c r="D12" s="57"/>
      <c r="E12" s="57"/>
    </row>
    <row r="13" spans="1:5" ht="13.95" customHeight="1">
      <c r="B13" s="57"/>
      <c r="C13" s="57"/>
      <c r="D13" s="57"/>
      <c r="E13" s="57"/>
    </row>
    <row r="14" spans="1:5" ht="19.95" customHeight="1">
      <c r="B14" s="96" t="str">
        <f>"20      년      월      일"</f>
        <v>20      년      월      일</v>
      </c>
      <c r="C14" s="96"/>
      <c r="D14" s="96"/>
      <c r="E14" s="96"/>
    </row>
    <row r="15" spans="1:5" ht="13.95" customHeight="1">
      <c r="B15" s="57"/>
      <c r="C15" s="57"/>
      <c r="D15" s="57"/>
      <c r="E15" s="57"/>
    </row>
    <row r="16" spans="1:5" ht="13.95" customHeight="1">
      <c r="B16" s="57"/>
      <c r="C16" s="57"/>
      <c r="D16" s="57"/>
      <c r="E16" s="57"/>
    </row>
    <row r="17" spans="2:5" ht="22.05" customHeight="1">
      <c r="B17" s="95" t="str">
        <f>"서 약 자 성 명 :                              (인)"</f>
        <v>서 약 자 성 명 :                              (인)</v>
      </c>
      <c r="C17" s="95"/>
      <c r="D17" s="95"/>
      <c r="E17" s="95"/>
    </row>
    <row r="18" spans="2:5" ht="13.95" customHeight="1">
      <c r="B18" s="57"/>
      <c r="C18" s="57"/>
      <c r="D18" s="57"/>
      <c r="E18" s="57"/>
    </row>
    <row r="19" spans="2:5" ht="10.050000000000001" customHeight="1">
      <c r="B19" s="57"/>
      <c r="C19" s="57"/>
      <c r="D19" s="57"/>
      <c r="E19" s="57"/>
    </row>
    <row r="20" spans="2:5" ht="19.95" customHeight="1">
      <c r="B20" s="96" t="str">
        <f>IF(기초자료입력!$C$4="","○○○학교장 귀하",기초자료입력!$C$4&amp;"장 귀하")</f>
        <v>○○○학교장 귀하</v>
      </c>
      <c r="C20" s="96"/>
      <c r="D20" s="96"/>
      <c r="E20" s="96"/>
    </row>
  </sheetData>
  <mergeCells count="9">
    <mergeCell ref="B14:E14"/>
    <mergeCell ref="B17:E17"/>
    <mergeCell ref="B20:E20"/>
    <mergeCell ref="B3:E4"/>
    <mergeCell ref="B6:E6"/>
    <mergeCell ref="B8:E8"/>
    <mergeCell ref="B9:E9"/>
    <mergeCell ref="B10:E10"/>
    <mergeCell ref="B11:E11"/>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1536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6D27D9-B90C-42B2-A820-CED27940F55A}">
  <sheetPr codeName="Sheet16"/>
  <dimension ref="A1:H20"/>
  <sheetViews>
    <sheetView workbookViewId="0"/>
  </sheetViews>
  <sheetFormatPr defaultRowHeight="17.399999999999999"/>
  <cols>
    <col min="1" max="1" width="3.19921875" customWidth="1"/>
    <col min="2" max="2" width="11.69921875" customWidth="1"/>
    <col min="3" max="8" width="9.69921875" customWidth="1"/>
  </cols>
  <sheetData>
    <row r="1" spans="1:8">
      <c r="A1" s="20"/>
    </row>
    <row r="3" spans="1:8" ht="24">
      <c r="B3" s="93" t="s">
        <v>521</v>
      </c>
      <c r="C3" s="94"/>
      <c r="D3" s="94"/>
      <c r="E3" s="94"/>
      <c r="F3" s="94"/>
      <c r="G3" s="94"/>
      <c r="H3" s="94"/>
    </row>
    <row r="5" spans="1:8">
      <c r="B5" s="25" t="s">
        <v>13</v>
      </c>
      <c r="C5" s="22" t="str">
        <f>IF(기초자료입력!C9&lt;&gt;"",기초자료입력!C9,"")</f>
        <v/>
      </c>
      <c r="D5" s="22"/>
      <c r="E5" s="25" t="s">
        <v>291</v>
      </c>
      <c r="F5" s="22" t="str">
        <f>IF(기초자료입력!C8&lt;&gt;"",TEXT(기초자료입력!C8,"yyyy-mm-dd"),"")</f>
        <v/>
      </c>
      <c r="G5" s="22"/>
      <c r="H5" s="22"/>
    </row>
    <row r="6" spans="1:8">
      <c r="B6" s="22"/>
      <c r="C6" s="22"/>
      <c r="D6" s="22"/>
      <c r="E6" s="22"/>
      <c r="F6" s="22"/>
      <c r="G6" s="22"/>
      <c r="H6" s="22"/>
    </row>
    <row r="7" spans="1:8">
      <c r="B7" s="25" t="s">
        <v>292</v>
      </c>
      <c r="C7" s="101" t="s">
        <v>500</v>
      </c>
      <c r="D7" s="101"/>
      <c r="E7" s="101"/>
      <c r="F7" s="101"/>
      <c r="G7" s="101"/>
      <c r="H7" s="101"/>
    </row>
    <row r="8" spans="1:8">
      <c r="B8" s="25" t="s">
        <v>297</v>
      </c>
      <c r="C8" s="101"/>
      <c r="D8" s="101"/>
      <c r="E8" s="101"/>
      <c r="F8" s="101"/>
      <c r="G8" s="101"/>
      <c r="H8" s="101"/>
    </row>
    <row r="9" spans="1:8">
      <c r="B9" s="25" t="s">
        <v>293</v>
      </c>
      <c r="C9" s="102" t="str">
        <f>IF(기초자료입력!C5&lt;&gt;"",기초자료입력!C5&amp;"학년도 교복 학교주관구매 추진 계획(안)","교복 학교주관구매 추진 계획(안)")</f>
        <v>교복 학교주관구매 추진 계획(안)</v>
      </c>
      <c r="D9" s="101"/>
      <c r="E9" s="101"/>
      <c r="F9" s="101"/>
      <c r="G9" s="101"/>
      <c r="H9" s="101"/>
    </row>
    <row r="10" spans="1:8">
      <c r="B10" s="21"/>
      <c r="C10" s="21"/>
      <c r="D10" s="21"/>
      <c r="E10" s="21"/>
      <c r="F10" s="21"/>
      <c r="G10" s="21"/>
      <c r="H10" s="21"/>
    </row>
    <row r="11" spans="1:8">
      <c r="B11" s="23" t="s">
        <v>298</v>
      </c>
      <c r="C11" s="100" t="str">
        <f>IF(기초자료입력!C23&lt;&gt;"",기초자료입력!C23,"")</f>
        <v/>
      </c>
      <c r="D11" s="100"/>
      <c r="E11" s="100"/>
      <c r="F11" s="100"/>
      <c r="G11" s="100"/>
      <c r="H11" s="100"/>
    </row>
    <row r="12" spans="1:8">
      <c r="B12" s="21"/>
      <c r="C12" s="21"/>
      <c r="D12" s="21"/>
      <c r="E12" s="21"/>
      <c r="F12" s="21"/>
      <c r="G12" s="21"/>
      <c r="H12" s="21"/>
    </row>
    <row r="13" spans="1:8" ht="28.05" customHeight="1">
      <c r="B13" s="103" t="str">
        <f>"2. 공정하고 투명한 교복 선정 및 합리적인 교복 구매를 위해 "&amp;IF(기초자료입력!C4&lt;&gt;"",기초자료입력!C4,"○○학교")&amp;" "&amp;IF(기초자료입력!C5&lt;&gt;"",기초자료입력!C5,"○○")&amp;"학년도 교복 학교주관구매 계획을 붙임과 같이 수립하여 업무 추진에 만전을 기하고자 합니다."</f>
        <v>2. 공정하고 투명한 교복 선정 및 합리적인 교복 구매를 위해 ○○학교 ○○학년도 교복 학교주관구매 계획을 붙임과 같이 수립하여 업무 추진에 만전을 기하고자 합니다.</v>
      </c>
      <c r="C13" s="103"/>
      <c r="D13" s="103"/>
      <c r="E13" s="103"/>
      <c r="F13" s="103"/>
      <c r="G13" s="103"/>
      <c r="H13" s="103"/>
    </row>
    <row r="14" spans="1:8">
      <c r="B14" s="21"/>
      <c r="C14" s="21"/>
      <c r="D14" s="21"/>
      <c r="E14" s="21"/>
      <c r="F14" s="21"/>
      <c r="G14" s="21"/>
      <c r="H14" s="21"/>
    </row>
    <row r="15" spans="1:8">
      <c r="B15" s="99" t="str">
        <f>"붙임  "&amp;IF(기초자료입력!C5&lt;&gt;"",기초자료입력!C5,"○○")&amp;"학년도 교복 학교주관구매 추진 계획(안) 1부.  끝."</f>
        <v>붙임  ○○학년도 교복 학교주관구매 추진 계획(안) 1부.  끝.</v>
      </c>
      <c r="C15" s="100"/>
      <c r="D15" s="100"/>
      <c r="E15" s="100"/>
      <c r="F15" s="100"/>
      <c r="G15" s="100"/>
      <c r="H15" s="100"/>
    </row>
    <row r="16" spans="1:8">
      <c r="B16" s="21"/>
      <c r="C16" s="21"/>
      <c r="D16" s="21"/>
      <c r="E16" s="21"/>
      <c r="F16" s="21"/>
      <c r="G16" s="21"/>
      <c r="H16" s="21"/>
    </row>
    <row r="17" spans="2:8" ht="28.05" customHeight="1">
      <c r="B17" s="22"/>
      <c r="C17" s="22"/>
      <c r="D17" s="22"/>
      <c r="E17" s="22"/>
      <c r="F17" s="26" t="str">
        <f>"담당"&amp;CHAR(10)&amp;IF(기초자료입력!$C$10&lt;&gt;"",기초자료입력!$C$10,"")</f>
        <v xml:space="preserve">담당
</v>
      </c>
      <c r="G17" s="26" t="s">
        <v>304</v>
      </c>
      <c r="H17" s="26" t="str">
        <f>"교장"&amp;CHAR(10)&amp;IF(기초자료입력!$F$10&lt;&gt;"",기초자료입력!$F$10,"")</f>
        <v xml:space="preserve">교장
</v>
      </c>
    </row>
    <row r="18" spans="2:8">
      <c r="B18" s="25" t="s">
        <v>305</v>
      </c>
      <c r="C18" s="101" t="str">
        <f>IF(기초자료입력!C9&lt;&gt;"",기초자료입력!C9&amp;IF(기초자료입력!C8&lt;&gt;"","("&amp;TEXT(기초자료입력!C8,"yyyy.m.d.")&amp;")",""),"")</f>
        <v/>
      </c>
      <c r="D18" s="101"/>
      <c r="E18" s="101"/>
      <c r="F18" s="25" t="s">
        <v>306</v>
      </c>
      <c r="G18" s="101"/>
      <c r="H18" s="101"/>
    </row>
    <row r="19" spans="2:8">
      <c r="B19" s="25" t="s">
        <v>307</v>
      </c>
      <c r="C19" s="22"/>
      <c r="D19" s="25" t="s">
        <v>308</v>
      </c>
      <c r="E19" s="101" t="str">
        <f>IFERROR(INDEX(학교정보!$F$2:$F$791,MATCH(기초자료입력!$C$4,학교정보!$E$2:$E$791,0)),"")</f>
        <v/>
      </c>
      <c r="F19" s="101"/>
      <c r="G19" s="101"/>
      <c r="H19" s="101"/>
    </row>
    <row r="20" spans="2:8">
      <c r="B20" s="25" t="s">
        <v>309</v>
      </c>
      <c r="C20" s="22" t="str">
        <f>IFERROR(INDEX(학교정보!$G$2:$G$791,MATCH(기초자료입력!$C$4,학교정보!$E$2:$E$791,0)),"")</f>
        <v/>
      </c>
      <c r="D20" s="25" t="s">
        <v>310</v>
      </c>
      <c r="E20" s="22"/>
      <c r="F20" s="25" t="s">
        <v>311</v>
      </c>
      <c r="G20" s="101"/>
      <c r="H20" s="101"/>
    </row>
  </sheetData>
  <mergeCells count="11">
    <mergeCell ref="B13:H13"/>
    <mergeCell ref="B3:H3"/>
    <mergeCell ref="C7:H7"/>
    <mergeCell ref="C8:H8"/>
    <mergeCell ref="C9:H9"/>
    <mergeCell ref="C11:H11"/>
    <mergeCell ref="B15:H15"/>
    <mergeCell ref="C18:E18"/>
    <mergeCell ref="G18:H18"/>
    <mergeCell ref="E19:H19"/>
    <mergeCell ref="G20:H20"/>
  </mergeCells>
  <phoneticPr fontId="6" type="noConversion"/>
  <printOptions horizontalCentered="1"/>
  <pageMargins left="0.50000076388888881" right="0.50000076388888881" top="0.50000076388888881" bottom="0.50000076388888881"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1638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7E9D75-DB6D-4FB5-90E9-869A271CA401}">
  <sheetPr codeName="Sheet17"/>
  <dimension ref="A1:G90"/>
  <sheetViews>
    <sheetView workbookViewId="0"/>
  </sheetViews>
  <sheetFormatPr defaultRowHeight="17.399999999999999"/>
  <cols>
    <col min="1" max="1" width="3.19921875" customWidth="1"/>
    <col min="2" max="2" width="13.69921875" customWidth="1"/>
    <col min="3" max="3" width="11.69921875" customWidth="1"/>
    <col min="4" max="4" width="13.69921875" customWidth="1"/>
    <col min="5" max="6" width="11.69921875" customWidth="1"/>
    <col min="7" max="7" width="13.69921875" customWidth="1"/>
  </cols>
  <sheetData>
    <row r="1" spans="1:7" ht="24">
      <c r="A1" s="20"/>
      <c r="B1" s="93" t="str">
        <f>"2026학년도 교복 학교주관구매 추진 계획(안)"</f>
        <v>2026학년도 교복 학교주관구매 추진 계획(안)</v>
      </c>
      <c r="C1" s="94"/>
      <c r="D1" s="94"/>
      <c r="E1" s="94"/>
      <c r="F1" s="94"/>
      <c r="G1" s="94"/>
    </row>
    <row r="2" spans="1:7" ht="16.95" customHeight="1">
      <c r="B2" s="85" t="str">
        <f>IF(기초자료입력!C4&lt;&gt;"",기초자료입력!C4&amp;"장",  "○○○학교장")</f>
        <v>○○○학교장</v>
      </c>
      <c r="C2" s="85"/>
      <c r="D2" s="85"/>
      <c r="E2" s="85"/>
      <c r="F2" s="85"/>
      <c r="G2" s="85"/>
    </row>
    <row r="3" spans="1:7" ht="6" customHeight="1">
      <c r="B3" s="47"/>
      <c r="C3" s="38"/>
      <c r="D3" s="38"/>
      <c r="E3" s="38"/>
      <c r="F3" s="38"/>
      <c r="G3" s="38"/>
    </row>
    <row r="4" spans="1:7">
      <c r="B4" s="38"/>
      <c r="C4" s="38"/>
      <c r="D4" s="38"/>
      <c r="E4" s="38"/>
      <c r="F4" s="38"/>
      <c r="G4" s="38"/>
    </row>
    <row r="5" spans="1:7">
      <c r="B5" s="105" t="str">
        <f>"1  개요"</f>
        <v>1  개요</v>
      </c>
      <c r="C5" s="86"/>
      <c r="D5" s="86"/>
      <c r="E5" s="86"/>
      <c r="F5" s="86"/>
      <c r="G5" s="86"/>
    </row>
    <row r="6" spans="1:7" ht="16.95" customHeight="1">
      <c r="B6" s="104" t="str">
        <f>"❍ 사업명："&amp;IF(기초자료입력!C5&lt;&gt;"",기초자료입력!C5,"20○○")&amp;"학년도 교복 학교주관구매"</f>
        <v>❍ 사업명：20○○학년도 교복 학교주관구매</v>
      </c>
      <c r="C6" s="104"/>
      <c r="D6" s="104"/>
      <c r="E6" s="104"/>
      <c r="F6" s="104"/>
      <c r="G6" s="104"/>
    </row>
    <row r="7" spans="1:7" ht="30" customHeight="1">
      <c r="B7" s="104" t="s">
        <v>522</v>
      </c>
      <c r="C7" s="104"/>
      <c r="D7" s="104"/>
      <c r="E7" s="104"/>
      <c r="F7" s="104"/>
      <c r="G7" s="104"/>
    </row>
    <row r="8" spans="1:7" ht="30" customHeight="1">
      <c r="B8" s="104" t="s">
        <v>523</v>
      </c>
      <c r="C8" s="104"/>
      <c r="D8" s="104"/>
      <c r="E8" s="104"/>
      <c r="F8" s="104"/>
      <c r="G8" s="104"/>
    </row>
    <row r="9" spans="1:7" ht="16.95" customHeight="1">
      <c r="B9" s="104" t="s">
        <v>524</v>
      </c>
      <c r="C9" s="104"/>
      <c r="D9" s="104"/>
      <c r="E9" s="104"/>
      <c r="F9" s="104"/>
      <c r="G9" s="104"/>
    </row>
    <row r="10" spans="1:7" ht="16.95" customHeight="1">
      <c r="B10" s="104" t="s">
        <v>525</v>
      </c>
      <c r="C10" s="104"/>
      <c r="D10" s="104"/>
      <c r="E10" s="104"/>
      <c r="F10" s="104"/>
      <c r="G10" s="104"/>
    </row>
    <row r="11" spans="1:7" ht="6" customHeight="1">
      <c r="B11" s="38"/>
      <c r="C11" s="38"/>
      <c r="D11" s="38"/>
      <c r="E11" s="38"/>
      <c r="F11" s="38"/>
      <c r="G11" s="38"/>
    </row>
    <row r="12" spans="1:7">
      <c r="B12" s="38"/>
      <c r="C12" s="38"/>
      <c r="D12" s="38"/>
      <c r="E12" s="38"/>
      <c r="F12" s="38"/>
      <c r="G12" s="38"/>
    </row>
    <row r="13" spans="1:7">
      <c r="B13" s="105" t="str">
        <f>"2  기본방향"</f>
        <v>2  기본방향</v>
      </c>
      <c r="C13" s="86"/>
      <c r="D13" s="86"/>
      <c r="E13" s="86"/>
      <c r="F13" s="86"/>
      <c r="G13" s="86"/>
    </row>
    <row r="14" spans="1:7" ht="30" customHeight="1">
      <c r="B14" s="104" t="s">
        <v>526</v>
      </c>
      <c r="C14" s="104"/>
      <c r="D14" s="104"/>
      <c r="E14" s="104"/>
      <c r="F14" s="104"/>
      <c r="G14" s="104"/>
    </row>
    <row r="15" spans="1:7" ht="30" customHeight="1">
      <c r="B15" s="104" t="s">
        <v>527</v>
      </c>
      <c r="C15" s="104"/>
      <c r="D15" s="104"/>
      <c r="E15" s="104"/>
      <c r="F15" s="104"/>
      <c r="G15" s="104"/>
    </row>
    <row r="16" spans="1:7" ht="30" customHeight="1">
      <c r="B16" s="104" t="s">
        <v>528</v>
      </c>
      <c r="C16" s="104"/>
      <c r="D16" s="104"/>
      <c r="E16" s="104"/>
      <c r="F16" s="104"/>
      <c r="G16" s="104"/>
    </row>
    <row r="17" spans="2:7" ht="6" customHeight="1">
      <c r="B17" s="38"/>
      <c r="C17" s="38"/>
      <c r="D17" s="38"/>
      <c r="E17" s="38"/>
      <c r="F17" s="38"/>
      <c r="G17" s="38"/>
    </row>
    <row r="18" spans="2:7">
      <c r="B18" s="38"/>
      <c r="C18" s="38"/>
      <c r="D18" s="38"/>
      <c r="E18" s="38"/>
      <c r="F18" s="38"/>
      <c r="G18" s="38"/>
    </row>
    <row r="19" spans="2:7">
      <c r="B19" s="105" t="str">
        <f>"3  추진 절차 개요"</f>
        <v>3  추진 절차 개요</v>
      </c>
      <c r="C19" s="86"/>
      <c r="D19" s="86"/>
      <c r="E19" s="86"/>
      <c r="F19" s="86"/>
      <c r="G19" s="86"/>
    </row>
    <row r="20" spans="2:7">
      <c r="B20" s="90" t="s">
        <v>529</v>
      </c>
      <c r="C20" s="87"/>
      <c r="D20" s="90" t="s">
        <v>530</v>
      </c>
      <c r="E20" s="87"/>
      <c r="F20" s="87"/>
      <c r="G20" s="32" t="s">
        <v>295</v>
      </c>
    </row>
    <row r="21" spans="2:7" ht="43.05" customHeight="1">
      <c r="B21" s="92" t="s">
        <v>531</v>
      </c>
      <c r="C21" s="92"/>
      <c r="D21" s="92" t="s">
        <v>532</v>
      </c>
      <c r="E21" s="92"/>
      <c r="F21" s="92"/>
      <c r="G21" s="37" t="s">
        <v>533</v>
      </c>
    </row>
    <row r="22" spans="2:7" ht="30" customHeight="1">
      <c r="B22" s="92" t="s">
        <v>534</v>
      </c>
      <c r="C22" s="92"/>
      <c r="D22" s="92" t="s">
        <v>535</v>
      </c>
      <c r="E22" s="92"/>
      <c r="F22" s="92"/>
      <c r="G22" s="37" t="s">
        <v>533</v>
      </c>
    </row>
    <row r="23" spans="2:7" ht="43.05" customHeight="1">
      <c r="B23" s="92" t="s">
        <v>536</v>
      </c>
      <c r="C23" s="92"/>
      <c r="D23" s="92" t="s">
        <v>537</v>
      </c>
      <c r="E23" s="92"/>
      <c r="F23" s="92"/>
      <c r="G23" s="37" t="s">
        <v>538</v>
      </c>
    </row>
    <row r="24" spans="2:7" ht="30" customHeight="1">
      <c r="B24" s="92" t="s">
        <v>539</v>
      </c>
      <c r="C24" s="92"/>
      <c r="D24" s="92" t="s">
        <v>540</v>
      </c>
      <c r="E24" s="92"/>
      <c r="F24" s="92"/>
      <c r="G24" s="37" t="s">
        <v>541</v>
      </c>
    </row>
    <row r="25" spans="2:7" ht="16.95" customHeight="1">
      <c r="B25" s="92" t="s">
        <v>542</v>
      </c>
      <c r="C25" s="92"/>
      <c r="D25" s="92" t="s">
        <v>543</v>
      </c>
      <c r="E25" s="92"/>
      <c r="F25" s="92"/>
      <c r="G25" s="37" t="s">
        <v>538</v>
      </c>
    </row>
    <row r="26" spans="2:7" ht="30" customHeight="1">
      <c r="B26" s="92" t="s">
        <v>544</v>
      </c>
      <c r="C26" s="92"/>
      <c r="D26" s="92" t="s">
        <v>545</v>
      </c>
      <c r="E26" s="92"/>
      <c r="F26" s="92"/>
      <c r="G26" s="37" t="s">
        <v>541</v>
      </c>
    </row>
    <row r="27" spans="2:7" ht="30" customHeight="1">
      <c r="B27" s="92" t="s">
        <v>546</v>
      </c>
      <c r="C27" s="92"/>
      <c r="D27" s="92" t="s">
        <v>547</v>
      </c>
      <c r="E27" s="92"/>
      <c r="F27" s="92"/>
      <c r="G27" s="37" t="s">
        <v>533</v>
      </c>
    </row>
    <row r="28" spans="2:7" ht="43.05" customHeight="1">
      <c r="B28" s="92" t="s">
        <v>548</v>
      </c>
      <c r="C28" s="92"/>
      <c r="D28" s="92" t="s">
        <v>549</v>
      </c>
      <c r="E28" s="92"/>
      <c r="F28" s="92"/>
      <c r="G28" s="37" t="s">
        <v>533</v>
      </c>
    </row>
    <row r="29" spans="2:7" ht="30" customHeight="1">
      <c r="B29" s="92" t="s">
        <v>550</v>
      </c>
      <c r="C29" s="92"/>
      <c r="D29" s="92" t="s">
        <v>551</v>
      </c>
      <c r="E29" s="92"/>
      <c r="F29" s="92"/>
      <c r="G29" s="37" t="s">
        <v>541</v>
      </c>
    </row>
    <row r="30" spans="2:7" ht="30" customHeight="1">
      <c r="B30" s="92" t="s">
        <v>552</v>
      </c>
      <c r="C30" s="92"/>
      <c r="D30" s="92" t="s">
        <v>553</v>
      </c>
      <c r="E30" s="92"/>
      <c r="F30" s="92"/>
      <c r="G30" s="37" t="s">
        <v>538</v>
      </c>
    </row>
    <row r="31" spans="2:7" ht="43.05" customHeight="1">
      <c r="B31" s="92" t="s">
        <v>554</v>
      </c>
      <c r="C31" s="92"/>
      <c r="D31" s="92" t="s">
        <v>555</v>
      </c>
      <c r="E31" s="92"/>
      <c r="F31" s="92"/>
      <c r="G31" s="37" t="s">
        <v>541</v>
      </c>
    </row>
    <row r="32" spans="2:7" ht="6" customHeight="1">
      <c r="B32" s="38"/>
      <c r="C32" s="38"/>
      <c r="D32" s="38"/>
      <c r="E32" s="38"/>
      <c r="F32" s="38"/>
      <c r="G32" s="38"/>
    </row>
    <row r="33" spans="2:7">
      <c r="B33" s="38"/>
      <c r="C33" s="38"/>
      <c r="D33" s="38"/>
      <c r="E33" s="38"/>
      <c r="F33" s="38"/>
      <c r="G33" s="38"/>
    </row>
    <row r="34" spans="2:7">
      <c r="B34" s="105" t="str">
        <f>"4  세부 추진 절차"</f>
        <v>4  세부 추진 절차</v>
      </c>
      <c r="C34" s="86"/>
      <c r="D34" s="86"/>
      <c r="E34" s="86"/>
      <c r="F34" s="86"/>
      <c r="G34" s="86"/>
    </row>
    <row r="35" spans="2:7">
      <c r="B35" s="88" t="s">
        <v>556</v>
      </c>
      <c r="C35" s="86"/>
      <c r="D35" s="86"/>
      <c r="E35" s="86"/>
      <c r="F35" s="86"/>
      <c r="G35" s="86"/>
    </row>
    <row r="36" spans="2:7" ht="16.95" customHeight="1">
      <c r="B36" s="104" t="s">
        <v>557</v>
      </c>
      <c r="C36" s="104"/>
      <c r="D36" s="104"/>
      <c r="E36" s="104"/>
      <c r="F36" s="104"/>
      <c r="G36" s="104"/>
    </row>
    <row r="37" spans="2:7" ht="43.05" customHeight="1">
      <c r="B37" s="104" t="s">
        <v>558</v>
      </c>
      <c r="C37" s="104"/>
      <c r="D37" s="104"/>
      <c r="E37" s="104"/>
      <c r="F37" s="104"/>
      <c r="G37" s="104"/>
    </row>
    <row r="38" spans="2:7" ht="25.95" customHeight="1">
      <c r="B38" s="104" t="s">
        <v>559</v>
      </c>
      <c r="C38" s="104"/>
      <c r="D38" s="104"/>
      <c r="E38" s="104"/>
      <c r="F38" s="104"/>
      <c r="G38" s="104"/>
    </row>
    <row r="39" spans="2:7" ht="6" customHeight="1">
      <c r="B39" s="38"/>
      <c r="C39" s="38"/>
      <c r="D39" s="38"/>
      <c r="E39" s="38"/>
      <c r="F39" s="38"/>
      <c r="G39" s="38"/>
    </row>
    <row r="40" spans="2:7">
      <c r="B40" s="88" t="s">
        <v>560</v>
      </c>
      <c r="C40" s="86"/>
      <c r="D40" s="86"/>
      <c r="E40" s="86"/>
      <c r="F40" s="86"/>
      <c r="G40" s="86"/>
    </row>
    <row r="41" spans="2:7" ht="30" customHeight="1">
      <c r="B41" s="104" t="s">
        <v>561</v>
      </c>
      <c r="C41" s="104"/>
      <c r="D41" s="104"/>
      <c r="E41" s="104"/>
      <c r="F41" s="104"/>
      <c r="G41" s="104"/>
    </row>
    <row r="42" spans="2:7">
      <c r="B42" s="32" t="s">
        <v>510</v>
      </c>
      <c r="C42" s="32" t="s">
        <v>326</v>
      </c>
      <c r="D42" s="32" t="s">
        <v>511</v>
      </c>
      <c r="E42" s="32" t="s">
        <v>512</v>
      </c>
      <c r="F42" s="90" t="s">
        <v>316</v>
      </c>
      <c r="G42" s="90"/>
    </row>
    <row r="43" spans="2:7">
      <c r="B43" s="59" t="str">
        <f>IF(기초자료입력!B58&lt;&gt;"",1,"")</f>
        <v/>
      </c>
      <c r="C43" s="59" t="str">
        <f>IF(기초자료입력!B58&lt;&gt;"","위원장","")</f>
        <v/>
      </c>
      <c r="D43" s="59" t="str">
        <f>IF(기초자료입력!B58&lt;&gt;"",기초자료입력!B58,"")</f>
        <v/>
      </c>
      <c r="E43" s="59" t="str">
        <f>IF(기초자료입력!C58&lt;&gt;"",기초자료입력!C58,"")</f>
        <v/>
      </c>
      <c r="F43" s="107"/>
      <c r="G43" s="107"/>
    </row>
    <row r="44" spans="2:7">
      <c r="B44" s="59" t="str">
        <f>IF(기초자료입력!B59&lt;&gt;"",2,"")</f>
        <v/>
      </c>
      <c r="C44" s="59" t="str">
        <f>IF(기초자료입력!B59&lt;&gt;"","위원","")</f>
        <v/>
      </c>
      <c r="D44" s="59" t="str">
        <f>IF(기초자료입력!B59&lt;&gt;"",기초자료입력!B59,"")</f>
        <v/>
      </c>
      <c r="E44" s="59" t="str">
        <f>IF(기초자료입력!C59&lt;&gt;"",기초자료입력!C59,"")</f>
        <v/>
      </c>
      <c r="F44" s="107"/>
      <c r="G44" s="107"/>
    </row>
    <row r="45" spans="2:7">
      <c r="B45" s="59" t="str">
        <f>IF(기초자료입력!B60&lt;&gt;"",3,"")</f>
        <v/>
      </c>
      <c r="C45" s="59" t="str">
        <f>IF(기초자료입력!B60&lt;&gt;"","위원","")</f>
        <v/>
      </c>
      <c r="D45" s="59" t="str">
        <f>IF(기초자료입력!B60&lt;&gt;"",기초자료입력!B60,"")</f>
        <v/>
      </c>
      <c r="E45" s="59" t="str">
        <f>IF(기초자료입력!C60&lt;&gt;"",기초자료입력!C60,"")</f>
        <v/>
      </c>
      <c r="F45" s="107"/>
      <c r="G45" s="107"/>
    </row>
    <row r="46" spans="2:7">
      <c r="B46" s="59" t="str">
        <f>IF(기초자료입력!B61&lt;&gt;"",4,"")</f>
        <v/>
      </c>
      <c r="C46" s="59" t="str">
        <f>IF(기초자료입력!B61&lt;&gt;"","위원","")</f>
        <v/>
      </c>
      <c r="D46" s="59" t="str">
        <f>IF(기초자료입력!B61&lt;&gt;"",기초자료입력!B61,"")</f>
        <v/>
      </c>
      <c r="E46" s="59" t="str">
        <f>IF(기초자료입력!C61&lt;&gt;"",기초자료입력!C61,"")</f>
        <v/>
      </c>
      <c r="F46" s="107"/>
      <c r="G46" s="107"/>
    </row>
    <row r="47" spans="2:7">
      <c r="B47" s="59" t="str">
        <f>IF(기초자료입력!B62&lt;&gt;"",5,"")</f>
        <v/>
      </c>
      <c r="C47" s="59" t="str">
        <f>IF(기초자료입력!B62&lt;&gt;"","위원","")</f>
        <v/>
      </c>
      <c r="D47" s="59" t="str">
        <f>IF(기초자료입력!B62&lt;&gt;"",기초자료입력!B62,"")</f>
        <v/>
      </c>
      <c r="E47" s="59" t="str">
        <f>IF(기초자료입력!C62&lt;&gt;"",기초자료입력!C62,"")</f>
        <v/>
      </c>
      <c r="F47" s="107"/>
      <c r="G47" s="107"/>
    </row>
    <row r="48" spans="2:7">
      <c r="B48" s="59" t="str">
        <f>IF(기초자료입력!B63&lt;&gt;"",6,"")</f>
        <v/>
      </c>
      <c r="C48" s="59" t="str">
        <f>IF(기초자료입력!B63&lt;&gt;"","위원","")</f>
        <v/>
      </c>
      <c r="D48" s="59" t="str">
        <f>IF(기초자료입력!B63&lt;&gt;"",기초자료입력!B63,"")</f>
        <v/>
      </c>
      <c r="E48" s="59" t="str">
        <f>IF(기초자료입력!C63&lt;&gt;"",기초자료입력!C63,"")</f>
        <v/>
      </c>
      <c r="F48" s="107"/>
      <c r="G48" s="107"/>
    </row>
    <row r="49" spans="2:7">
      <c r="B49" s="59" t="str">
        <f>IF(기초자료입력!B64&lt;&gt;"",7,"")</f>
        <v/>
      </c>
      <c r="C49" s="59" t="str">
        <f>IF(기초자료입력!B64&lt;&gt;"","위원","")</f>
        <v/>
      </c>
      <c r="D49" s="59" t="str">
        <f>IF(기초자료입력!B64&lt;&gt;"",기초자료입력!B64,"")</f>
        <v/>
      </c>
      <c r="E49" s="59" t="str">
        <f>IF(기초자료입력!C64&lt;&gt;"",기초자료입력!C64,"")</f>
        <v/>
      </c>
      <c r="F49" s="107"/>
      <c r="G49" s="107"/>
    </row>
    <row r="50" spans="2:7">
      <c r="B50" s="59" t="str">
        <f>IF(기초자료입력!B65&lt;&gt;"",8,"")</f>
        <v/>
      </c>
      <c r="C50" s="59" t="str">
        <f>IF(기초자료입력!B65&lt;&gt;"","위원","")</f>
        <v/>
      </c>
      <c r="D50" s="59" t="str">
        <f>IF(기초자료입력!B65&lt;&gt;"",기초자료입력!B65,"")</f>
        <v/>
      </c>
      <c r="E50" s="59" t="str">
        <f>IF(기초자료입력!C65&lt;&gt;"",기초자료입력!C65,"")</f>
        <v/>
      </c>
      <c r="F50" s="107"/>
      <c r="G50" s="107"/>
    </row>
    <row r="51" spans="2:7">
      <c r="B51" s="59" t="str">
        <f>IF(기초자료입력!B66&lt;&gt;"",9,"")</f>
        <v/>
      </c>
      <c r="C51" s="59" t="str">
        <f>IF(기초자료입력!B66&lt;&gt;"","위원","")</f>
        <v/>
      </c>
      <c r="D51" s="59" t="str">
        <f>IF(기초자료입력!B66&lt;&gt;"",기초자료입력!B66,"")</f>
        <v/>
      </c>
      <c r="E51" s="59" t="str">
        <f>IF(기초자료입력!C66&lt;&gt;"",기초자료입력!C66,"")</f>
        <v/>
      </c>
      <c r="F51" s="107"/>
      <c r="G51" s="107"/>
    </row>
    <row r="52" spans="2:7">
      <c r="B52" s="59" t="str">
        <f>IF(기초자료입력!B67&lt;&gt;"",10,"")</f>
        <v/>
      </c>
      <c r="C52" s="59" t="str">
        <f>IF(기초자료입력!B67&lt;&gt;"","위원","")</f>
        <v/>
      </c>
      <c r="D52" s="59" t="str">
        <f>IF(기초자료입력!B67&lt;&gt;"",기초자료입력!B67,"")</f>
        <v/>
      </c>
      <c r="E52" s="59" t="str">
        <f>IF(기초자료입력!C67&lt;&gt;"",기초자료입력!C67,"")</f>
        <v/>
      </c>
      <c r="F52" s="107"/>
      <c r="G52" s="107"/>
    </row>
    <row r="53" spans="2:7" ht="94.95" customHeight="1">
      <c r="B53" s="106" t="s">
        <v>562</v>
      </c>
      <c r="C53" s="106"/>
      <c r="D53" s="106"/>
      <c r="E53" s="106"/>
      <c r="F53" s="106"/>
      <c r="G53" s="106"/>
    </row>
    <row r="54" spans="2:7" ht="25.95" customHeight="1">
      <c r="B54" s="104" t="s">
        <v>563</v>
      </c>
      <c r="C54" s="104"/>
      <c r="D54" s="104"/>
      <c r="E54" s="104"/>
      <c r="F54" s="104"/>
      <c r="G54" s="104"/>
    </row>
    <row r="55" spans="2:7" ht="6" customHeight="1">
      <c r="B55" s="38"/>
      <c r="C55" s="38"/>
      <c r="D55" s="38"/>
      <c r="E55" s="38"/>
      <c r="F55" s="38"/>
      <c r="G55" s="38"/>
    </row>
    <row r="56" spans="2:7">
      <c r="B56" s="88" t="s">
        <v>564</v>
      </c>
      <c r="C56" s="86"/>
      <c r="D56" s="86"/>
      <c r="E56" s="86"/>
      <c r="F56" s="86"/>
      <c r="G56" s="86"/>
    </row>
    <row r="57" spans="2:7" ht="43.05" customHeight="1">
      <c r="B57" s="104" t="s">
        <v>565</v>
      </c>
      <c r="C57" s="104"/>
      <c r="D57" s="104"/>
      <c r="E57" s="104"/>
      <c r="F57" s="104"/>
      <c r="G57" s="104"/>
    </row>
    <row r="58" spans="2:7" ht="43.05" customHeight="1">
      <c r="B58" s="104" t="str">
        <f>"※ 상한가격(참고용 자동 계산)：동복(4pcs 기준)："&amp;IF(SUM(기초자료입력!$D$29:$D$32)=0,"○○○,○○○",TEXT(SUM(기초자료입력!$D$29:$D$32),"#,##0"))&amp;"원 / 하복(2pcs 기준)："&amp;IF(SUM(기초자료입력!$D$33:$D$34)=0,"○○,○○○",TEXT(SUM(기초자료입력!$D$33:$D$34),"#,##0"))&amp;"원 (계약일 기준 적용기간은 교육청 고시에 따름)"</f>
        <v>※ 상한가격(참고용 자동 계산)：동복(4pcs 기준)：○○○,○○○원 / 하복(2pcs 기준)：○○,○○○원 (계약일 기준 적용기간은 교육청 고시에 따름)</v>
      </c>
      <c r="C58" s="104"/>
      <c r="D58" s="104"/>
      <c r="E58" s="104"/>
      <c r="F58" s="104"/>
      <c r="G58" s="104"/>
    </row>
    <row r="59" spans="2:7" ht="30" customHeight="1">
      <c r="B59" s="104" t="s">
        <v>566</v>
      </c>
      <c r="C59" s="104"/>
      <c r="D59" s="104"/>
      <c r="E59" s="104"/>
      <c r="F59" s="104"/>
      <c r="G59" s="104"/>
    </row>
    <row r="60" spans="2:7" ht="6" customHeight="1">
      <c r="B60" s="38"/>
      <c r="C60" s="38"/>
      <c r="D60" s="38"/>
      <c r="E60" s="38"/>
      <c r="F60" s="38"/>
      <c r="G60" s="38"/>
    </row>
    <row r="61" spans="2:7">
      <c r="B61" s="88" t="s">
        <v>567</v>
      </c>
      <c r="C61" s="86"/>
      <c r="D61" s="86"/>
      <c r="E61" s="86"/>
      <c r="F61" s="86"/>
      <c r="G61" s="86"/>
    </row>
    <row r="62" spans="2:7" ht="43.05" customHeight="1">
      <c r="B62" s="104" t="s">
        <v>568</v>
      </c>
      <c r="C62" s="104"/>
      <c r="D62" s="104"/>
      <c r="E62" s="104"/>
      <c r="F62" s="104"/>
      <c r="G62" s="104"/>
    </row>
    <row r="63" spans="2:7" ht="55.95" customHeight="1">
      <c r="B63" s="104" t="s">
        <v>569</v>
      </c>
      <c r="C63" s="104"/>
      <c r="D63" s="104"/>
      <c r="E63" s="104"/>
      <c r="F63" s="104"/>
      <c r="G63" s="104"/>
    </row>
    <row r="64" spans="2:7" ht="30" customHeight="1">
      <c r="B64" s="104" t="s">
        <v>570</v>
      </c>
      <c r="C64" s="104"/>
      <c r="D64" s="104"/>
      <c r="E64" s="104"/>
      <c r="F64" s="104"/>
      <c r="G64" s="104"/>
    </row>
    <row r="65" spans="2:7" ht="16.95" customHeight="1">
      <c r="B65" s="104" t="s">
        <v>571</v>
      </c>
      <c r="C65" s="104"/>
      <c r="D65" s="104"/>
      <c r="E65" s="104"/>
      <c r="F65" s="104"/>
      <c r="G65" s="104"/>
    </row>
    <row r="66" spans="2:7" ht="43.05" customHeight="1">
      <c r="B66" s="104" t="s">
        <v>572</v>
      </c>
      <c r="C66" s="104"/>
      <c r="D66" s="104"/>
      <c r="E66" s="104"/>
      <c r="F66" s="104"/>
      <c r="G66" s="104"/>
    </row>
    <row r="67" spans="2:7" ht="30" customHeight="1">
      <c r="B67" s="104" t="s">
        <v>573</v>
      </c>
      <c r="C67" s="104"/>
      <c r="D67" s="104"/>
      <c r="E67" s="104"/>
      <c r="F67" s="104"/>
      <c r="G67" s="104"/>
    </row>
    <row r="68" spans="2:7" ht="6" customHeight="1">
      <c r="B68" s="38"/>
      <c r="C68" s="38"/>
      <c r="D68" s="38"/>
      <c r="E68" s="38"/>
      <c r="F68" s="38"/>
      <c r="G68" s="38"/>
    </row>
    <row r="69" spans="2:7">
      <c r="B69" s="88" t="s">
        <v>574</v>
      </c>
      <c r="C69" s="86"/>
      <c r="D69" s="86"/>
      <c r="E69" s="86"/>
      <c r="F69" s="86"/>
      <c r="G69" s="86"/>
    </row>
    <row r="70" spans="2:7" ht="30" customHeight="1">
      <c r="B70" s="104" t="s">
        <v>575</v>
      </c>
      <c r="C70" s="104"/>
      <c r="D70" s="104"/>
      <c r="E70" s="104"/>
      <c r="F70" s="104"/>
      <c r="G70" s="104"/>
    </row>
    <row r="71" spans="2:7" ht="43.05" customHeight="1">
      <c r="B71" s="104" t="s">
        <v>576</v>
      </c>
      <c r="C71" s="104"/>
      <c r="D71" s="104"/>
      <c r="E71" s="104"/>
      <c r="F71" s="104"/>
      <c r="G71" s="104"/>
    </row>
    <row r="72" spans="2:7" ht="43.05" customHeight="1">
      <c r="B72" s="104" t="s">
        <v>577</v>
      </c>
      <c r="C72" s="104"/>
      <c r="D72" s="104"/>
      <c r="E72" s="104"/>
      <c r="F72" s="104"/>
      <c r="G72" s="104"/>
    </row>
    <row r="73" spans="2:7" ht="43.05" customHeight="1">
      <c r="B73" s="104" t="s">
        <v>578</v>
      </c>
      <c r="C73" s="104"/>
      <c r="D73" s="104"/>
      <c r="E73" s="104"/>
      <c r="F73" s="104"/>
      <c r="G73" s="104"/>
    </row>
    <row r="74" spans="2:7" ht="37.049999999999997" customHeight="1">
      <c r="B74" s="104" t="s">
        <v>579</v>
      </c>
      <c r="C74" s="104"/>
      <c r="D74" s="104"/>
      <c r="E74" s="104"/>
      <c r="F74" s="104"/>
      <c r="G74" s="104"/>
    </row>
    <row r="75" spans="2:7" ht="6" customHeight="1">
      <c r="B75" s="38"/>
      <c r="C75" s="38"/>
      <c r="D75" s="38"/>
      <c r="E75" s="38"/>
      <c r="F75" s="38"/>
      <c r="G75" s="38"/>
    </row>
    <row r="76" spans="2:7">
      <c r="B76" s="88" t="s">
        <v>580</v>
      </c>
      <c r="C76" s="86"/>
      <c r="D76" s="86"/>
      <c r="E76" s="86"/>
      <c r="F76" s="86"/>
      <c r="G76" s="86"/>
    </row>
    <row r="77" spans="2:7" ht="30" customHeight="1">
      <c r="B77" s="104" t="s">
        <v>581</v>
      </c>
      <c r="C77" s="104"/>
      <c r="D77" s="104"/>
      <c r="E77" s="104"/>
      <c r="F77" s="104"/>
      <c r="G77" s="104"/>
    </row>
    <row r="78" spans="2:7" ht="15" customHeight="1">
      <c r="B78" s="104" t="s">
        <v>582</v>
      </c>
      <c r="C78" s="104"/>
      <c r="D78" s="104"/>
      <c r="E78" s="104"/>
      <c r="F78" s="104"/>
      <c r="G78" s="104"/>
    </row>
    <row r="79" spans="2:7" ht="6" customHeight="1">
      <c r="B79" s="38"/>
      <c r="C79" s="38"/>
      <c r="D79" s="38"/>
      <c r="E79" s="38"/>
      <c r="F79" s="38"/>
      <c r="G79" s="38"/>
    </row>
    <row r="80" spans="2:7">
      <c r="B80" s="88" t="s">
        <v>583</v>
      </c>
      <c r="C80" s="86"/>
      <c r="D80" s="86"/>
      <c r="E80" s="86"/>
      <c r="F80" s="86"/>
      <c r="G80" s="86"/>
    </row>
    <row r="81" spans="2:7" ht="30" customHeight="1">
      <c r="B81" s="104" t="s">
        <v>584</v>
      </c>
      <c r="C81" s="104"/>
      <c r="D81" s="104"/>
      <c r="E81" s="104"/>
      <c r="F81" s="104"/>
      <c r="G81" s="104"/>
    </row>
    <row r="82" spans="2:7" ht="43.05" customHeight="1">
      <c r="B82" s="104" t="s">
        <v>585</v>
      </c>
      <c r="C82" s="104"/>
      <c r="D82" s="104"/>
      <c r="E82" s="104"/>
      <c r="F82" s="104"/>
      <c r="G82" s="104"/>
    </row>
    <row r="83" spans="2:7" ht="16.95" customHeight="1">
      <c r="B83" s="104" t="s">
        <v>586</v>
      </c>
      <c r="C83" s="104"/>
      <c r="D83" s="104"/>
      <c r="E83" s="104"/>
      <c r="F83" s="104"/>
      <c r="G83" s="104"/>
    </row>
    <row r="84" spans="2:7" ht="30" customHeight="1">
      <c r="B84" s="104" t="s">
        <v>587</v>
      </c>
      <c r="C84" s="104"/>
      <c r="D84" s="104"/>
      <c r="E84" s="104"/>
      <c r="F84" s="104"/>
      <c r="G84" s="104"/>
    </row>
    <row r="85" spans="2:7" ht="6" customHeight="1">
      <c r="B85" s="38"/>
      <c r="C85" s="38"/>
      <c r="D85" s="38"/>
      <c r="E85" s="38"/>
      <c r="F85" s="38"/>
      <c r="G85" s="38"/>
    </row>
    <row r="86" spans="2:7">
      <c r="B86" s="38"/>
      <c r="C86" s="38"/>
      <c r="D86" s="38"/>
      <c r="E86" s="38"/>
      <c r="F86" s="38"/>
      <c r="G86" s="38"/>
    </row>
    <row r="87" spans="2:7">
      <c r="B87" s="105" t="str">
        <f>"5  기대효과"</f>
        <v>5  기대효과</v>
      </c>
      <c r="C87" s="86"/>
      <c r="D87" s="86"/>
      <c r="E87" s="86"/>
      <c r="F87" s="86"/>
      <c r="G87" s="86"/>
    </row>
    <row r="88" spans="2:7" ht="43.05" customHeight="1">
      <c r="B88" s="104" t="s">
        <v>588</v>
      </c>
      <c r="C88" s="104"/>
      <c r="D88" s="104"/>
      <c r="E88" s="104"/>
      <c r="F88" s="104"/>
      <c r="G88" s="104"/>
    </row>
    <row r="89" spans="2:7" ht="6" customHeight="1">
      <c r="B89" s="38"/>
      <c r="C89" s="38"/>
      <c r="D89" s="38"/>
      <c r="E89" s="38"/>
      <c r="F89" s="38"/>
      <c r="G89" s="38"/>
    </row>
    <row r="90" spans="2:7" ht="16.95" customHeight="1">
      <c r="B90" s="104" t="s">
        <v>589</v>
      </c>
      <c r="C90" s="104"/>
      <c r="D90" s="104"/>
      <c r="E90" s="104"/>
      <c r="F90" s="104"/>
      <c r="G90" s="104"/>
    </row>
  </sheetData>
  <mergeCells count="85">
    <mergeCell ref="B8:G8"/>
    <mergeCell ref="B1:G1"/>
    <mergeCell ref="B2:G2"/>
    <mergeCell ref="B5:G5"/>
    <mergeCell ref="B6:G6"/>
    <mergeCell ref="B7:G7"/>
    <mergeCell ref="B22:C22"/>
    <mergeCell ref="D22:F22"/>
    <mergeCell ref="B9:G9"/>
    <mergeCell ref="B10:G10"/>
    <mergeCell ref="B13:G13"/>
    <mergeCell ref="B14:G14"/>
    <mergeCell ref="B15:G15"/>
    <mergeCell ref="B16:G16"/>
    <mergeCell ref="B19:G19"/>
    <mergeCell ref="B20:C20"/>
    <mergeCell ref="D20:F20"/>
    <mergeCell ref="B21:C21"/>
    <mergeCell ref="D21:F21"/>
    <mergeCell ref="B23:C23"/>
    <mergeCell ref="D23:F23"/>
    <mergeCell ref="B24:C24"/>
    <mergeCell ref="D24:F24"/>
    <mergeCell ref="B25:C25"/>
    <mergeCell ref="D25:F25"/>
    <mergeCell ref="B26:C26"/>
    <mergeCell ref="D26:F26"/>
    <mergeCell ref="B27:C27"/>
    <mergeCell ref="D27:F27"/>
    <mergeCell ref="B28:C28"/>
    <mergeCell ref="D28:F28"/>
    <mergeCell ref="B29:C29"/>
    <mergeCell ref="D29:F29"/>
    <mergeCell ref="B30:C30"/>
    <mergeCell ref="D30:F30"/>
    <mergeCell ref="B31:C31"/>
    <mergeCell ref="D31:F31"/>
    <mergeCell ref="F46:G46"/>
    <mergeCell ref="B34:G34"/>
    <mergeCell ref="B35:G35"/>
    <mergeCell ref="B36:G36"/>
    <mergeCell ref="B37:G37"/>
    <mergeCell ref="B38:G38"/>
    <mergeCell ref="B40:G40"/>
    <mergeCell ref="B41:G41"/>
    <mergeCell ref="F42:G42"/>
    <mergeCell ref="F43:G43"/>
    <mergeCell ref="F44:G44"/>
    <mergeCell ref="F45:G45"/>
    <mergeCell ref="B59:G59"/>
    <mergeCell ref="F47:G47"/>
    <mergeCell ref="F48:G48"/>
    <mergeCell ref="F49:G49"/>
    <mergeCell ref="F50:G50"/>
    <mergeCell ref="F51:G51"/>
    <mergeCell ref="F52:G52"/>
    <mergeCell ref="B53:G53"/>
    <mergeCell ref="B54:G54"/>
    <mergeCell ref="B56:G56"/>
    <mergeCell ref="B57:G57"/>
    <mergeCell ref="B58:G58"/>
    <mergeCell ref="B73:G73"/>
    <mergeCell ref="B61:G61"/>
    <mergeCell ref="B62:G62"/>
    <mergeCell ref="B63:G63"/>
    <mergeCell ref="B64:G64"/>
    <mergeCell ref="B65:G65"/>
    <mergeCell ref="B66:G66"/>
    <mergeCell ref="B67:G67"/>
    <mergeCell ref="B69:G69"/>
    <mergeCell ref="B70:G70"/>
    <mergeCell ref="B71:G71"/>
    <mergeCell ref="B72:G72"/>
    <mergeCell ref="B90:G90"/>
    <mergeCell ref="B74:G74"/>
    <mergeCell ref="B76:G76"/>
    <mergeCell ref="B77:G77"/>
    <mergeCell ref="B78:G78"/>
    <mergeCell ref="B80:G80"/>
    <mergeCell ref="B81:G81"/>
    <mergeCell ref="B82:G82"/>
    <mergeCell ref="B83:G83"/>
    <mergeCell ref="B84:G84"/>
    <mergeCell ref="B87:G87"/>
    <mergeCell ref="B88:G88"/>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0</xdr:row>
                    <xdr:rowOff>228600</xdr:rowOff>
                  </to>
                </anchor>
              </controlPr>
            </control>
          </mc:Choice>
        </mc:AlternateContent>
        <mc:AlternateContent xmlns:mc="http://schemas.openxmlformats.org/markup-compatibility/2006">
          <mc:Choice Requires="x14">
            <control shapeId="1741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0</xdr:row>
                    <xdr:rowOff>228600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C1A27A-6A87-449D-8A1D-8044055B27B9}">
  <sheetPr codeName="Sheet18"/>
  <dimension ref="A1:H40"/>
  <sheetViews>
    <sheetView workbookViewId="0"/>
  </sheetViews>
  <sheetFormatPr defaultRowHeight="17.399999999999999"/>
  <cols>
    <col min="1" max="1" width="3.19921875" customWidth="1"/>
    <col min="2" max="2" width="10.69921875" customWidth="1"/>
    <col min="3" max="8" width="9.69921875" customWidth="1"/>
  </cols>
  <sheetData>
    <row r="1" spans="1:8">
      <c r="A1" s="20"/>
    </row>
    <row r="3" spans="1:8">
      <c r="B3" s="109" t="str">
        <f>IF(기초자료입력!C4&lt;&gt;"",기초자료입력!C4,"○○학교")&amp;" 교복 학교주관구매 계획(안)"</f>
        <v>○○학교 교복 학교주관구매 계획(안)</v>
      </c>
      <c r="C3" s="110"/>
      <c r="D3" s="110"/>
      <c r="E3" s="110"/>
      <c r="F3" s="110"/>
      <c r="G3" s="110"/>
      <c r="H3" s="110"/>
    </row>
    <row r="4" spans="1:8">
      <c r="B4" s="110"/>
      <c r="C4" s="110"/>
      <c r="D4" s="110"/>
      <c r="E4" s="110"/>
      <c r="F4" s="110"/>
      <c r="G4" s="110"/>
      <c r="H4" s="110"/>
    </row>
    <row r="5" spans="1:8">
      <c r="B5" s="21"/>
      <c r="C5" s="21"/>
      <c r="D5" s="21"/>
      <c r="E5" s="21"/>
      <c r="F5" s="21"/>
      <c r="G5" s="21"/>
      <c r="H5" s="21"/>
    </row>
    <row r="6" spans="1:8">
      <c r="B6" s="25" t="s">
        <v>590</v>
      </c>
      <c r="C6" s="101"/>
      <c r="D6" s="101"/>
      <c r="E6" s="101"/>
      <c r="F6" s="101"/>
      <c r="G6" s="101"/>
      <c r="H6" s="101"/>
    </row>
    <row r="7" spans="1:8">
      <c r="B7" s="25" t="s">
        <v>591</v>
      </c>
      <c r="C7" s="101"/>
      <c r="D7" s="101"/>
      <c r="E7" s="101"/>
      <c r="F7" s="101"/>
      <c r="G7" s="101"/>
      <c r="H7" s="101"/>
    </row>
    <row r="8" spans="1:8">
      <c r="B8" s="25" t="s">
        <v>592</v>
      </c>
      <c r="C8" s="101"/>
      <c r="D8" s="101"/>
      <c r="E8" s="101"/>
      <c r="F8" s="101"/>
      <c r="G8" s="101"/>
      <c r="H8" s="101"/>
    </row>
    <row r="9" spans="1:8">
      <c r="B9" s="25" t="s">
        <v>593</v>
      </c>
      <c r="C9" s="101"/>
      <c r="D9" s="101"/>
      <c r="E9" s="101"/>
      <c r="F9" s="101"/>
      <c r="G9" s="101"/>
      <c r="H9" s="101"/>
    </row>
    <row r="10" spans="1:8">
      <c r="B10" s="21"/>
      <c r="C10" s="21"/>
      <c r="D10" s="21"/>
      <c r="E10" s="21"/>
      <c r="F10" s="21"/>
      <c r="G10" s="21"/>
      <c r="H10" s="21"/>
    </row>
    <row r="11" spans="1:8">
      <c r="B11" s="99" t="s">
        <v>594</v>
      </c>
      <c r="C11" s="100"/>
      <c r="D11" s="100"/>
      <c r="E11" s="100"/>
      <c r="F11" s="100"/>
      <c r="G11" s="100"/>
      <c r="H11" s="100"/>
    </row>
    <row r="12" spans="1:8">
      <c r="B12" s="100" t="s">
        <v>595</v>
      </c>
      <c r="C12" s="100"/>
      <c r="D12" s="100"/>
      <c r="E12" s="100"/>
      <c r="F12" s="100"/>
      <c r="G12" s="100"/>
      <c r="H12" s="100"/>
    </row>
    <row r="13" spans="1:8" ht="28.05" customHeight="1">
      <c r="B13" s="103" t="str">
        <f>"❍ 교복 가격의 안정화 및 교복 구매의 효율성 제고를 위한 "&amp;IF(기초자료입력!C4&lt;&gt;"",기초자료입력!C4,"○○학교")&amp;" "&amp;IF(기초자료입력!C5&lt;&gt;"",기초자료입력!C5,"○○")&amp;"학년도 교복 학교주관구매 계획(안)을 심의하고자 함."</f>
        <v>❍ 교복 가격의 안정화 및 교복 구매의 효율성 제고를 위한 ○○학교 ○○학년도 교복 학교주관구매 계획(안)을 심의하고자 함.</v>
      </c>
      <c r="C13" s="103"/>
      <c r="D13" s="103"/>
      <c r="E13" s="103"/>
      <c r="F13" s="103"/>
      <c r="G13" s="103"/>
      <c r="H13" s="103"/>
    </row>
    <row r="14" spans="1:8">
      <c r="B14" s="21"/>
      <c r="C14" s="21"/>
      <c r="D14" s="21"/>
      <c r="E14" s="21"/>
      <c r="F14" s="21"/>
      <c r="G14" s="21"/>
      <c r="H14" s="21"/>
    </row>
    <row r="15" spans="1:8">
      <c r="B15" s="99" t="s">
        <v>596</v>
      </c>
      <c r="C15" s="100"/>
      <c r="D15" s="100"/>
      <c r="E15" s="100"/>
      <c r="F15" s="100"/>
      <c r="G15" s="100"/>
      <c r="H15" s="100"/>
    </row>
    <row r="16" spans="1:8">
      <c r="B16" s="99" t="s">
        <v>597</v>
      </c>
      <c r="C16" s="100"/>
      <c r="D16" s="100"/>
      <c r="E16" s="100"/>
      <c r="F16" s="100"/>
      <c r="G16" s="100"/>
      <c r="H16" s="100"/>
    </row>
    <row r="17" spans="2:8">
      <c r="B17" s="100" t="s">
        <v>598</v>
      </c>
      <c r="C17" s="100"/>
      <c r="D17" s="100"/>
      <c r="E17" s="100"/>
      <c r="F17" s="100"/>
      <c r="G17" s="100"/>
      <c r="H17" s="100"/>
    </row>
    <row r="18" spans="2:8">
      <c r="B18" s="100" t="s">
        <v>599</v>
      </c>
      <c r="C18" s="100"/>
      <c r="D18" s="100"/>
      <c r="E18" s="100"/>
      <c r="F18" s="100"/>
      <c r="G18" s="100"/>
      <c r="H18" s="100"/>
    </row>
    <row r="19" spans="2:8">
      <c r="B19" s="99" t="s">
        <v>600</v>
      </c>
      <c r="C19" s="100"/>
      <c r="D19" s="100"/>
      <c r="E19" s="100"/>
      <c r="F19" s="100"/>
      <c r="G19" s="100"/>
      <c r="H19" s="100"/>
    </row>
    <row r="20" spans="2:8">
      <c r="B20" s="100" t="s">
        <v>601</v>
      </c>
      <c r="C20" s="100"/>
      <c r="D20" s="100"/>
      <c r="E20" s="100"/>
      <c r="F20" s="100"/>
      <c r="G20" s="100"/>
      <c r="H20" s="100"/>
    </row>
    <row r="21" spans="2:8">
      <c r="B21" s="99" t="s">
        <v>602</v>
      </c>
      <c r="C21" s="100"/>
      <c r="D21" s="100"/>
      <c r="E21" s="100"/>
      <c r="F21" s="100"/>
      <c r="G21" s="100"/>
      <c r="H21" s="100"/>
    </row>
    <row r="22" spans="2:8">
      <c r="B22" s="100" t="str">
        <f>"❍ 하복："&amp;IF(SUM(기초자료입력!$D$33:$D$34)=0,"○○,○○○",TEXT(SUM(기초자료입력!$D$33:$D$34),"#,##0"))&amp;"원, 동복："&amp;IF(SUM(기초자료입력!$D$29:$D$32)=0,"○○○,○○○",TEXT(SUM(기초자료입력!$D$29:$D$32),"#,##0"))&amp;"원("&amp;IF(기초자료입력!C5&lt;&gt;"",기초자료입력!C5,"20○○")&amp;"년 기준)"</f>
        <v>❍ 하복：○○,○○○원, 동복：○○○,○○○원(20○○년 기준)</v>
      </c>
      <c r="C22" s="100"/>
      <c r="D22" s="100"/>
      <c r="E22" s="100"/>
      <c r="F22" s="100"/>
      <c r="G22" s="100"/>
      <c r="H22" s="100"/>
    </row>
    <row r="23" spans="2:8">
      <c r="B23" s="99" t="s">
        <v>603</v>
      </c>
      <c r="C23" s="100"/>
      <c r="D23" s="100"/>
      <c r="E23" s="100"/>
      <c r="F23" s="100"/>
      <c r="G23" s="100"/>
      <c r="H23" s="100"/>
    </row>
    <row r="24" spans="2:8">
      <c r="B24" s="100" t="s">
        <v>604</v>
      </c>
      <c r="C24" s="100"/>
      <c r="D24" s="100"/>
      <c r="E24" s="100"/>
      <c r="F24" s="100"/>
      <c r="G24" s="100"/>
      <c r="H24" s="100"/>
    </row>
    <row r="25" spans="2:8">
      <c r="B25" s="27" t="s">
        <v>510</v>
      </c>
      <c r="C25" s="27" t="s">
        <v>326</v>
      </c>
      <c r="D25" s="27" t="s">
        <v>605</v>
      </c>
      <c r="E25" s="27" t="s">
        <v>512</v>
      </c>
      <c r="F25" s="108" t="s">
        <v>316</v>
      </c>
      <c r="G25" s="102"/>
      <c r="H25" s="102"/>
    </row>
    <row r="26" spans="2:8">
      <c r="B26" s="22" t="str">
        <f>IF(기초자료입력!B58&lt;&gt;"",1,"")</f>
        <v/>
      </c>
      <c r="C26" s="22" t="str">
        <f>IF(기초자료입력!B58&lt;&gt;"","위원장","")</f>
        <v/>
      </c>
      <c r="D26" s="22" t="str">
        <f>IF(기초자료입력!B58&lt;&gt;"",기초자료입력!B58,"")</f>
        <v/>
      </c>
      <c r="E26" s="22" t="str">
        <f>IF(기초자료입력!C58&lt;&gt;"",기초자료입력!C58,"")</f>
        <v/>
      </c>
      <c r="F26" s="101"/>
      <c r="G26" s="101"/>
      <c r="H26" s="101"/>
    </row>
    <row r="27" spans="2:8">
      <c r="B27" s="22" t="str">
        <f>IF(기초자료입력!B59&lt;&gt;"",2,"")</f>
        <v/>
      </c>
      <c r="C27" s="22" t="str">
        <f>IF(기초자료입력!B59&lt;&gt;"","위원","")</f>
        <v/>
      </c>
      <c r="D27" s="22" t="str">
        <f>IF(기초자료입력!B59&lt;&gt;"",기초자료입력!B59,"")</f>
        <v/>
      </c>
      <c r="E27" s="22" t="str">
        <f>IF(기초자료입력!C59&lt;&gt;"",기초자료입력!C59,"")</f>
        <v/>
      </c>
      <c r="F27" s="101"/>
      <c r="G27" s="101"/>
      <c r="H27" s="101"/>
    </row>
    <row r="28" spans="2:8">
      <c r="B28" s="22" t="str">
        <f>IF(기초자료입력!B60&lt;&gt;"",3,"")</f>
        <v/>
      </c>
      <c r="C28" s="22" t="str">
        <f>IF(기초자료입력!B60&lt;&gt;"","위원","")</f>
        <v/>
      </c>
      <c r="D28" s="22" t="str">
        <f>IF(기초자료입력!B60&lt;&gt;"",기초자료입력!B60,"")</f>
        <v/>
      </c>
      <c r="E28" s="22" t="str">
        <f>IF(기초자료입력!C60&lt;&gt;"",기초자료입력!C60,"")</f>
        <v/>
      </c>
      <c r="F28" s="101"/>
      <c r="G28" s="101"/>
      <c r="H28" s="101"/>
    </row>
    <row r="29" spans="2:8">
      <c r="B29" s="22" t="str">
        <f>IF(기초자료입력!B61&lt;&gt;"",4,"")</f>
        <v/>
      </c>
      <c r="C29" s="22" t="str">
        <f>IF(기초자료입력!B61&lt;&gt;"","위원","")</f>
        <v/>
      </c>
      <c r="D29" s="22" t="str">
        <f>IF(기초자료입력!B61&lt;&gt;"",기초자료입력!B61,"")</f>
        <v/>
      </c>
      <c r="E29" s="22" t="str">
        <f>IF(기초자료입력!C61&lt;&gt;"",기초자료입력!C61,"")</f>
        <v/>
      </c>
      <c r="F29" s="101"/>
      <c r="G29" s="101"/>
      <c r="H29" s="101"/>
    </row>
    <row r="30" spans="2:8">
      <c r="B30" s="22" t="str">
        <f>IF(기초자료입력!B62&lt;&gt;"",5,"")</f>
        <v/>
      </c>
      <c r="C30" s="22" t="str">
        <f>IF(기초자료입력!B62&lt;&gt;"","위원","")</f>
        <v/>
      </c>
      <c r="D30" s="22" t="str">
        <f>IF(기초자료입력!B62&lt;&gt;"",기초자료입력!B62,"")</f>
        <v/>
      </c>
      <c r="E30" s="22" t="str">
        <f>IF(기초자료입력!C62&lt;&gt;"",기초자료입력!C62,"")</f>
        <v/>
      </c>
      <c r="F30" s="101"/>
      <c r="G30" s="101"/>
      <c r="H30" s="101"/>
    </row>
    <row r="31" spans="2:8">
      <c r="B31" s="22" t="str">
        <f>IF(기초자료입력!B63&lt;&gt;"",6,"")</f>
        <v/>
      </c>
      <c r="C31" s="22" t="str">
        <f>IF(기초자료입력!B63&lt;&gt;"","위원","")</f>
        <v/>
      </c>
      <c r="D31" s="22" t="str">
        <f>IF(기초자료입력!B63&lt;&gt;"",기초자료입력!B63,"")</f>
        <v/>
      </c>
      <c r="E31" s="22" t="str">
        <f>IF(기초자료입력!C63&lt;&gt;"",기초자료입력!C63,"")</f>
        <v/>
      </c>
      <c r="F31" s="101"/>
      <c r="G31" s="101"/>
      <c r="H31" s="101"/>
    </row>
    <row r="32" spans="2:8">
      <c r="B32" s="22" t="str">
        <f>IF(기초자료입력!B64&lt;&gt;"",7,"")</f>
        <v/>
      </c>
      <c r="C32" s="22" t="str">
        <f>IF(기초자료입력!B64&lt;&gt;"","위원","")</f>
        <v/>
      </c>
      <c r="D32" s="22" t="str">
        <f>IF(기초자료입력!B64&lt;&gt;"",기초자료입력!B64,"")</f>
        <v/>
      </c>
      <c r="E32" s="22" t="str">
        <f>IF(기초자료입력!C64&lt;&gt;"",기초자료입력!C64,"")</f>
        <v/>
      </c>
      <c r="F32" s="101"/>
      <c r="G32" s="101"/>
      <c r="H32" s="101"/>
    </row>
    <row r="33" spans="2:8">
      <c r="B33" s="22" t="str">
        <f>IF(기초자료입력!B65&lt;&gt;"",8,"")</f>
        <v/>
      </c>
      <c r="C33" s="22" t="str">
        <f>IF(기초자료입력!B65&lt;&gt;"","위원","")</f>
        <v/>
      </c>
      <c r="D33" s="22" t="str">
        <f>IF(기초자료입력!B65&lt;&gt;"",기초자료입력!B65,"")</f>
        <v/>
      </c>
      <c r="E33" s="22" t="str">
        <f>IF(기초자료입력!C65&lt;&gt;"",기초자료입력!C65,"")</f>
        <v/>
      </c>
      <c r="F33" s="101"/>
      <c r="G33" s="101"/>
      <c r="H33" s="101"/>
    </row>
    <row r="34" spans="2:8">
      <c r="B34" s="22" t="str">
        <f>IF(기초자료입력!B66&lt;&gt;"",9,"")</f>
        <v/>
      </c>
      <c r="C34" s="22" t="str">
        <f>IF(기초자료입력!B66&lt;&gt;"","위원","")</f>
        <v/>
      </c>
      <c r="D34" s="22" t="str">
        <f>IF(기초자료입력!B66&lt;&gt;"",기초자료입력!B66,"")</f>
        <v/>
      </c>
      <c r="E34" s="22" t="str">
        <f>IF(기초자료입력!C66&lt;&gt;"",기초자료입력!C66,"")</f>
        <v/>
      </c>
      <c r="F34" s="101"/>
      <c r="G34" s="101"/>
      <c r="H34" s="101"/>
    </row>
    <row r="35" spans="2:8">
      <c r="B35" s="22" t="str">
        <f>IF(기초자료입력!B67&lt;&gt;"",10,"")</f>
        <v/>
      </c>
      <c r="C35" s="22" t="str">
        <f>IF(기초자료입력!B67&lt;&gt;"","위원","")</f>
        <v/>
      </c>
      <c r="D35" s="22" t="str">
        <f>IF(기초자료입력!B67&lt;&gt;"",기초자료입력!B67,"")</f>
        <v/>
      </c>
      <c r="E35" s="22" t="str">
        <f>IF(기초자료입력!C67&lt;&gt;"",기초자료입력!C67,"")</f>
        <v/>
      </c>
      <c r="F35" s="101"/>
      <c r="G35" s="101"/>
      <c r="H35" s="101"/>
    </row>
    <row r="36" spans="2:8">
      <c r="B36" s="100" t="s">
        <v>606</v>
      </c>
      <c r="C36" s="100"/>
      <c r="D36" s="100"/>
      <c r="E36" s="100"/>
      <c r="F36" s="100"/>
      <c r="G36" s="100"/>
      <c r="H36" s="100"/>
    </row>
    <row r="37" spans="2:8">
      <c r="B37" s="21"/>
      <c r="C37" s="21"/>
      <c r="D37" s="21"/>
      <c r="E37" s="21"/>
      <c r="F37" s="21"/>
      <c r="G37" s="21"/>
      <c r="H37" s="21"/>
    </row>
    <row r="38" spans="2:8">
      <c r="B38" s="100" t="str">
        <f>"붙임  "&amp;IF(기초자료입력!C5&lt;&gt;"",기초자료입력!C5,"○○")&amp;"학년도 "&amp;IF(기초자료입력!C4&lt;&gt;"",기초자료입력!C4,"○○학교")&amp;" 교복 학교주관구매 계획안 1부.  끝."</f>
        <v>붙임  ○○학년도 ○○학교 교복 학교주관구매 계획안 1부.  끝.</v>
      </c>
      <c r="C38" s="100"/>
      <c r="D38" s="100"/>
      <c r="E38" s="100"/>
      <c r="F38" s="100"/>
      <c r="G38" s="100"/>
      <c r="H38" s="100"/>
    </row>
    <row r="39" spans="2:8">
      <c r="B39" s="21"/>
      <c r="C39" s="21"/>
      <c r="D39" s="21"/>
      <c r="E39" s="21"/>
      <c r="F39" s="21"/>
      <c r="G39" s="21"/>
      <c r="H39" s="21"/>
    </row>
    <row r="40" spans="2:8">
      <c r="B40" s="100" t="s">
        <v>607</v>
      </c>
      <c r="C40" s="100"/>
      <c r="D40" s="100"/>
      <c r="E40" s="100"/>
      <c r="F40" s="100"/>
      <c r="G40" s="100"/>
      <c r="H40" s="100"/>
    </row>
  </sheetData>
  <mergeCells count="32">
    <mergeCell ref="B18:H18"/>
    <mergeCell ref="B3:H4"/>
    <mergeCell ref="C6:H6"/>
    <mergeCell ref="C7:H7"/>
    <mergeCell ref="C8:H8"/>
    <mergeCell ref="C9:H9"/>
    <mergeCell ref="B11:H11"/>
    <mergeCell ref="B12:H12"/>
    <mergeCell ref="B13:H13"/>
    <mergeCell ref="B15:H15"/>
    <mergeCell ref="B16:H16"/>
    <mergeCell ref="B17:H17"/>
    <mergeCell ref="F30:H30"/>
    <mergeCell ref="B19:H19"/>
    <mergeCell ref="B20:H20"/>
    <mergeCell ref="B21:H21"/>
    <mergeCell ref="B22:H22"/>
    <mergeCell ref="B23:H23"/>
    <mergeCell ref="B24:H24"/>
    <mergeCell ref="F25:H25"/>
    <mergeCell ref="F26:H26"/>
    <mergeCell ref="F27:H27"/>
    <mergeCell ref="F28:H28"/>
    <mergeCell ref="F29:H29"/>
    <mergeCell ref="B38:H38"/>
    <mergeCell ref="B40:H40"/>
    <mergeCell ref="F31:H31"/>
    <mergeCell ref="F32:H32"/>
    <mergeCell ref="F33:H33"/>
    <mergeCell ref="F34:H34"/>
    <mergeCell ref="F35:H35"/>
    <mergeCell ref="B36:H36"/>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1843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CD142F-19CB-430D-8BAC-4037F83E4553}">
  <sheetPr codeName="Sheet19"/>
  <dimension ref="A1:H33"/>
  <sheetViews>
    <sheetView workbookViewId="0"/>
  </sheetViews>
  <sheetFormatPr defaultRowHeight="17.399999999999999"/>
  <cols>
    <col min="1" max="1" width="3.19921875" customWidth="1"/>
    <col min="2" max="2" width="11.69921875" customWidth="1"/>
    <col min="3" max="8" width="9.69921875" customWidth="1"/>
  </cols>
  <sheetData>
    <row r="1" spans="1:8">
      <c r="A1" s="20"/>
    </row>
    <row r="3" spans="1:8" ht="30" customHeight="1">
      <c r="B3" s="112" t="s">
        <v>290</v>
      </c>
      <c r="C3" s="94"/>
      <c r="D3" s="94"/>
      <c r="E3" s="94"/>
      <c r="F3" s="94"/>
      <c r="G3" s="94"/>
      <c r="H3" s="94"/>
    </row>
    <row r="5" spans="1:8">
      <c r="B5" s="25" t="s">
        <v>13</v>
      </c>
      <c r="C5" s="22" t="str">
        <f>IF(기초자료입력!C9&lt;&gt;"",기초자료입력!C9,"")</f>
        <v/>
      </c>
      <c r="D5" s="22"/>
      <c r="E5" s="25" t="s">
        <v>291</v>
      </c>
      <c r="F5" s="22" t="str">
        <f>IF(기초자료입력!C8&lt;&gt;"",TEXT(기초자료입력!C8,"yyyy-mm-dd"),"")</f>
        <v/>
      </c>
      <c r="G5" s="22"/>
      <c r="H5" s="22"/>
    </row>
    <row r="6" spans="1:8">
      <c r="B6" s="22"/>
      <c r="C6" s="22"/>
      <c r="D6" s="22"/>
      <c r="E6" s="22"/>
      <c r="F6" s="22"/>
      <c r="G6" s="22"/>
      <c r="H6" s="22"/>
    </row>
    <row r="7" spans="1:8">
      <c r="B7" s="25" t="s">
        <v>292</v>
      </c>
      <c r="C7" s="101" t="str">
        <f>IF(기초자료입력!C21&lt;&gt;"",기초자료입력!C21,"내부결재")</f>
        <v>내부결재</v>
      </c>
      <c r="D7" s="101"/>
      <c r="E7" s="101"/>
      <c r="F7" s="101"/>
      <c r="G7" s="101"/>
      <c r="H7" s="101"/>
    </row>
    <row r="8" spans="1:8">
      <c r="B8" s="25" t="s">
        <v>297</v>
      </c>
      <c r="C8" s="101"/>
      <c r="D8" s="101"/>
      <c r="E8" s="101"/>
      <c r="F8" s="101"/>
      <c r="G8" s="101"/>
      <c r="H8" s="101"/>
    </row>
    <row r="9" spans="1:8">
      <c r="B9" s="25" t="s">
        <v>293</v>
      </c>
      <c r="C9" s="102" t="str">
        <f>IF(기초자료입력!C22&lt;&gt;"",기초자료입력!C22,기초자료입력!C5&amp;"학년도 "&amp;기초자료입력!C12&amp;" 구매 요청")</f>
        <v>학년도  구매 요청</v>
      </c>
      <c r="D9" s="101"/>
      <c r="E9" s="101"/>
      <c r="F9" s="101"/>
      <c r="G9" s="101"/>
      <c r="H9" s="101"/>
    </row>
    <row r="10" spans="1:8" ht="40.049999999999997" customHeight="1">
      <c r="B10" s="22"/>
      <c r="C10" s="22"/>
      <c r="D10" s="22"/>
      <c r="E10" s="22"/>
      <c r="F10" s="22"/>
      <c r="G10" s="22"/>
      <c r="H10" s="22"/>
    </row>
    <row r="11" spans="1:8">
      <c r="B11" s="25" t="s">
        <v>298</v>
      </c>
      <c r="C11" s="101" t="str">
        <f>IF(기초자료입력!C23&lt;&gt;"",기초자료입력!C23,"")</f>
        <v/>
      </c>
      <c r="D11" s="101"/>
      <c r="E11" s="101"/>
      <c r="F11" s="101"/>
      <c r="G11" s="101"/>
      <c r="H11" s="101"/>
    </row>
    <row r="12" spans="1:8">
      <c r="B12" s="22"/>
      <c r="C12" s="22"/>
      <c r="D12" s="22"/>
      <c r="E12" s="22"/>
      <c r="F12" s="22"/>
      <c r="G12" s="22"/>
      <c r="H12" s="22"/>
    </row>
    <row r="13" spans="1:8" ht="30" customHeight="1">
      <c r="B13" s="111" t="str">
        <f>"2. "&amp;기초자료입력!C5&amp;"학년도 "&amp;기초자료입력!C12&amp;IF(기초자료입력!C12="","을",IF(MOD(_xlfn.UNICODE(RIGHT(기초자료입력!C12,1))-44032,28)=0,"를","을"))&amp;" 위하여 교복 구매 계획에 대한 학교운영위원회 심의가 완료되어, 아래와 같이 구매 요청을 하고자 합니다."</f>
        <v>2. 학년도 을 위하여 교복 구매 계획에 대한 학교운영위원회 심의가 완료되어, 아래와 같이 구매 요청을 하고자 합니다.</v>
      </c>
      <c r="C13" s="111"/>
      <c r="D13" s="111"/>
      <c r="E13" s="111"/>
      <c r="F13" s="111"/>
      <c r="G13" s="111"/>
      <c r="H13" s="111"/>
    </row>
    <row r="14" spans="1:8">
      <c r="B14" s="22"/>
      <c r="C14" s="22"/>
      <c r="D14" s="22"/>
      <c r="E14" s="22"/>
      <c r="F14" s="22"/>
      <c r="G14" s="22"/>
      <c r="H14" s="22"/>
    </row>
    <row r="15" spans="1:8">
      <c r="B15" s="25" t="s">
        <v>299</v>
      </c>
      <c r="C15" s="22" t="str">
        <f>기초자료입력!C5&amp;"학년도 신입생 중 학교주관구매 참여자 "&amp;IF(기초자료입력!C16&lt;&gt;"",기초자료입력!C16,"○○")&amp;"명"</f>
        <v>학년도 신입생 중 학교주관구매 참여자 ○○명</v>
      </c>
      <c r="D15" s="22"/>
      <c r="E15" s="22"/>
      <c r="F15" s="22"/>
      <c r="G15" s="22"/>
      <c r="H15" s="22"/>
    </row>
    <row r="16" spans="1:8">
      <c r="B16" s="25" t="s">
        <v>300</v>
      </c>
      <c r="C16" s="22" t="str">
        <f>"동복 "&amp;IF(SUM(기초자료입력!D29:D32)=0,"○○○,○○○",TEXT(SUM(기초자료입력!D29:D32),"#,##0"))&amp;"원, 하복 "&amp;IF(SUM(기초자료입력!D33:D34)=0,"○○,○○○",TEXT(SUM(기초자료입력!D33:D34),"#,##0"))&amp;"원"</f>
        <v>동복 ○○○,○○○원, 하복 ○○,○○○원</v>
      </c>
      <c r="D16" s="22"/>
      <c r="E16" s="22"/>
      <c r="F16" s="22"/>
      <c r="G16" s="22"/>
      <c r="H16" s="22"/>
    </row>
    <row r="17" spans="2:8">
      <c r="B17" s="25" t="s">
        <v>301</v>
      </c>
      <c r="C17" s="22" t="s">
        <v>303</v>
      </c>
      <c r="D17" s="22"/>
      <c r="E17" s="22"/>
      <c r="F17" s="22"/>
      <c r="G17" s="22"/>
      <c r="H17" s="22"/>
    </row>
    <row r="18" spans="2:8">
      <c r="B18" s="25" t="s">
        <v>302</v>
      </c>
      <c r="C18" s="22" t="str">
        <f>IF(기초자료입력!C17&lt;&gt;"",IFERROR(TEXT(기초자료입력!C17,"yyyy-mm-dd"),기초자료입력!C17),"")</f>
        <v/>
      </c>
      <c r="D18" s="22"/>
      <c r="E18" s="22"/>
      <c r="F18" s="22"/>
      <c r="G18" s="22"/>
      <c r="H18" s="22"/>
    </row>
    <row r="19" spans="2:8">
      <c r="B19" s="22"/>
      <c r="C19" s="22"/>
      <c r="D19" s="22"/>
      <c r="E19" s="22"/>
      <c r="F19" s="22"/>
      <c r="G19" s="22"/>
      <c r="H19" s="22"/>
    </row>
    <row r="20" spans="2:8">
      <c r="B20" s="25" t="s">
        <v>294</v>
      </c>
      <c r="C20" s="22" t="str">
        <f>IF(기초자료입력!C24&lt;&gt;"",기초자료입력!C24,"교복 사양서 1부")&amp;"  끝."</f>
        <v>교복 사양서 1부  끝.</v>
      </c>
      <c r="D20" s="22"/>
      <c r="E20" s="22"/>
      <c r="F20" s="22"/>
      <c r="G20" s="22"/>
      <c r="H20" s="22"/>
    </row>
    <row r="21" spans="2:8">
      <c r="B21" s="22"/>
      <c r="C21" s="22"/>
      <c r="D21" s="22"/>
      <c r="E21" s="22"/>
      <c r="F21" s="22"/>
      <c r="G21" s="22"/>
      <c r="H21" s="22"/>
    </row>
    <row r="22" spans="2:8">
      <c r="B22" s="22"/>
      <c r="C22" s="22"/>
      <c r="D22" s="22"/>
      <c r="E22" s="22"/>
      <c r="F22" s="22"/>
      <c r="G22" s="22"/>
      <c r="H22" s="22"/>
    </row>
    <row r="23" spans="2:8" ht="28.05" customHeight="1">
      <c r="B23" s="22"/>
      <c r="C23" s="22"/>
      <c r="D23" s="22"/>
      <c r="E23" s="22"/>
      <c r="F23" s="26" t="str">
        <f>"담당"&amp;CHAR(10)&amp;IF(기초자료입력!$C$10&lt;&gt;"",기초자료입력!$C$10,"")</f>
        <v xml:space="preserve">담당
</v>
      </c>
      <c r="G23" s="26" t="s">
        <v>304</v>
      </c>
      <c r="H23" s="26" t="str">
        <f>"교장"&amp;CHAR(10)&amp;IF(기초자료입력!$F$10&lt;&gt;"",기초자료입력!$F$10,"")</f>
        <v xml:space="preserve">교장
</v>
      </c>
    </row>
    <row r="24" spans="2:8">
      <c r="B24" s="25" t="s">
        <v>305</v>
      </c>
      <c r="C24" s="101" t="str">
        <f>IF(기초자료입력!C9&lt;&gt;"",기초자료입력!C9&amp;IF(기초자료입력!C8&lt;&gt;"","("&amp;TEXT(기초자료입력!C8,"yyyy.m.d.")&amp;")",""),"")</f>
        <v/>
      </c>
      <c r="D24" s="101"/>
      <c r="E24" s="101"/>
      <c r="F24" s="25" t="s">
        <v>306</v>
      </c>
      <c r="G24" s="101"/>
      <c r="H24" s="101"/>
    </row>
    <row r="25" spans="2:8">
      <c r="B25" s="25" t="s">
        <v>307</v>
      </c>
      <c r="C25" s="22"/>
      <c r="D25" s="25" t="s">
        <v>308</v>
      </c>
      <c r="E25" s="101" t="str">
        <f>IFERROR(INDEX(학교정보!$F$2:$F$791,MATCH(기초자료입력!$C$4,학교정보!$E$2:$E$791,0)),"")</f>
        <v/>
      </c>
      <c r="F25" s="101"/>
      <c r="G25" s="101"/>
      <c r="H25" s="101"/>
    </row>
    <row r="26" spans="2:8">
      <c r="B26" s="25" t="s">
        <v>309</v>
      </c>
      <c r="C26" s="22" t="str">
        <f>IFERROR(INDEX(학교정보!$G$2:$G$791,MATCH(기초자료입력!$C$4,학교정보!$E$2:$E$791,0)),"")</f>
        <v/>
      </c>
      <c r="D26" s="25" t="s">
        <v>310</v>
      </c>
      <c r="E26" s="22"/>
      <c r="F26" s="25" t="s">
        <v>311</v>
      </c>
      <c r="G26" s="101"/>
      <c r="H26" s="101"/>
    </row>
    <row r="29" spans="2:8" ht="4.95" customHeight="1"/>
    <row r="30" spans="2:8" ht="18" customHeight="1"/>
    <row r="31" spans="2:8" ht="18" customHeight="1"/>
    <row r="32" spans="2:8" ht="18" customHeight="1"/>
    <row r="33" ht="18" customHeight="1"/>
  </sheetData>
  <mergeCells count="10">
    <mergeCell ref="B3:H3"/>
    <mergeCell ref="C7:H7"/>
    <mergeCell ref="C8:H8"/>
    <mergeCell ref="E25:H25"/>
    <mergeCell ref="G26:H26"/>
    <mergeCell ref="C9:H9"/>
    <mergeCell ref="C11:H11"/>
    <mergeCell ref="B13:H13"/>
    <mergeCell ref="C24:E24"/>
    <mergeCell ref="G24:H24"/>
  </mergeCells>
  <phoneticPr fontId="6" type="noConversion"/>
  <printOptions horizontalCentered="1"/>
  <pageMargins left="0.50000076388888881" right="0.50000076388888881" top="0.50000076388888881" bottom="0.50000076388888881" header="0.31496111111111108" footer="0.31496111111111108"/>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1945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27894D-73AB-4633-B3D0-3F7F30313537}">
  <sheetPr codeName="Sheet20"/>
  <dimension ref="A1:H29"/>
  <sheetViews>
    <sheetView workbookViewId="0"/>
  </sheetViews>
  <sheetFormatPr defaultRowHeight="17.399999999999999"/>
  <cols>
    <col min="1" max="1" width="3.19921875" customWidth="1"/>
    <col min="2" max="2" width="12.69921875" customWidth="1"/>
    <col min="3" max="8" width="9.69921875" customWidth="1"/>
  </cols>
  <sheetData>
    <row r="1" spans="1:8">
      <c r="A1" s="20"/>
    </row>
    <row r="3" spans="1:8">
      <c r="B3" s="93" t="str">
        <f>IF(기초자료입력!C4&lt;&gt;"",기초자료입력!C4,"○○○○학교")&amp;" 교복 사양서(규격서)"</f>
        <v>○○○○학교 교복 사양서(규격서)</v>
      </c>
      <c r="C3" s="116"/>
      <c r="D3" s="116"/>
      <c r="E3" s="116"/>
      <c r="F3" s="116"/>
      <c r="G3" s="116"/>
      <c r="H3" s="116"/>
    </row>
    <row r="4" spans="1:8">
      <c r="B4" s="116"/>
      <c r="C4" s="116"/>
      <c r="D4" s="116"/>
      <c r="E4" s="116"/>
      <c r="F4" s="116"/>
      <c r="G4" s="116"/>
      <c r="H4" s="116"/>
    </row>
    <row r="5" spans="1:8">
      <c r="B5" s="38"/>
      <c r="C5" s="38"/>
      <c r="D5" s="38"/>
      <c r="E5" s="38"/>
      <c r="F5" s="38"/>
      <c r="G5" s="38"/>
      <c r="H5" s="38"/>
    </row>
    <row r="6" spans="1:8">
      <c r="B6" s="88" t="s">
        <v>691</v>
      </c>
      <c r="C6" s="86"/>
      <c r="D6" s="86"/>
      <c r="E6" s="86"/>
      <c r="F6" s="86"/>
      <c r="G6" s="86"/>
      <c r="H6" s="86"/>
    </row>
    <row r="7" spans="1:8">
      <c r="B7" s="63" t="s">
        <v>326</v>
      </c>
      <c r="C7" s="114" t="s">
        <v>692</v>
      </c>
      <c r="D7" s="115"/>
      <c r="E7" s="115"/>
      <c r="F7" s="114" t="s">
        <v>316</v>
      </c>
      <c r="G7" s="115"/>
      <c r="H7" s="115"/>
    </row>
    <row r="8" spans="1:8" ht="19.95" customHeight="1">
      <c r="B8" s="37" t="str">
        <f>IF(기초자료입력!B29&lt;&gt;"",기초자료입력!B29,"")</f>
        <v/>
      </c>
      <c r="C8" s="87"/>
      <c r="D8" s="87"/>
      <c r="E8" s="87"/>
      <c r="F8" s="87"/>
      <c r="G8" s="87"/>
      <c r="H8" s="87"/>
    </row>
    <row r="9" spans="1:8" ht="19.95" customHeight="1">
      <c r="B9" s="37" t="str">
        <f>IF(기초자료입력!B30&lt;&gt;"",기초자료입력!B30,"")</f>
        <v/>
      </c>
      <c r="C9" s="87"/>
      <c r="D9" s="87"/>
      <c r="E9" s="87"/>
      <c r="F9" s="87"/>
      <c r="G9" s="87"/>
      <c r="H9" s="87"/>
    </row>
    <row r="10" spans="1:8" ht="19.95" customHeight="1">
      <c r="B10" s="37" t="str">
        <f>IF(기초자료입력!B31&lt;&gt;"",기초자료입력!B31,"")</f>
        <v/>
      </c>
      <c r="C10" s="87"/>
      <c r="D10" s="87"/>
      <c r="E10" s="87"/>
      <c r="F10" s="87"/>
      <c r="G10" s="87"/>
      <c r="H10" s="87"/>
    </row>
    <row r="11" spans="1:8" ht="19.95" customHeight="1">
      <c r="B11" s="37" t="str">
        <f>IF(기초자료입력!B32&lt;&gt;"",기초자료입력!B32,"")</f>
        <v/>
      </c>
      <c r="C11" s="87"/>
      <c r="D11" s="87"/>
      <c r="E11" s="87"/>
      <c r="F11" s="87"/>
      <c r="G11" s="87"/>
      <c r="H11" s="87"/>
    </row>
    <row r="12" spans="1:8" ht="19.95" customHeight="1">
      <c r="B12" s="37" t="str">
        <f>IF(기초자료입력!B33&lt;&gt;"",기초자료입력!B33,"")</f>
        <v/>
      </c>
      <c r="C12" s="87"/>
      <c r="D12" s="87"/>
      <c r="E12" s="87"/>
      <c r="F12" s="87"/>
      <c r="G12" s="87"/>
      <c r="H12" s="87"/>
    </row>
    <row r="13" spans="1:8" ht="19.95" customHeight="1">
      <c r="B13" s="37" t="str">
        <f>IF(기초자료입력!B34&lt;&gt;"",기초자료입력!B34,"")</f>
        <v/>
      </c>
      <c r="C13" s="87"/>
      <c r="D13" s="87"/>
      <c r="E13" s="87"/>
      <c r="F13" s="87"/>
      <c r="G13" s="87"/>
      <c r="H13" s="87"/>
    </row>
    <row r="14" spans="1:8">
      <c r="B14" s="38"/>
      <c r="C14" s="38"/>
      <c r="D14" s="38"/>
      <c r="E14" s="38"/>
      <c r="F14" s="38"/>
      <c r="G14" s="38"/>
      <c r="H14" s="38"/>
    </row>
    <row r="15" spans="1:8">
      <c r="B15" s="38"/>
      <c r="C15" s="38"/>
      <c r="D15" s="38"/>
      <c r="E15" s="38"/>
      <c r="F15" s="38"/>
      <c r="G15" s="38"/>
      <c r="H15" s="38"/>
    </row>
    <row r="16" spans="1:8">
      <c r="B16" s="89" t="s">
        <v>693</v>
      </c>
      <c r="C16" s="87"/>
      <c r="D16" s="87"/>
      <c r="E16" s="87"/>
      <c r="F16" s="87"/>
      <c r="G16" s="87"/>
      <c r="H16" s="87"/>
    </row>
    <row r="17" spans="2:8">
      <c r="B17" s="87" t="s">
        <v>694</v>
      </c>
      <c r="C17" s="87"/>
      <c r="D17" s="87"/>
      <c r="E17" s="87"/>
      <c r="F17" s="87"/>
      <c r="G17" s="87"/>
      <c r="H17" s="87"/>
    </row>
    <row r="18" spans="2:8" ht="40.049999999999997" customHeight="1">
      <c r="B18" s="87"/>
      <c r="C18" s="87"/>
      <c r="D18" s="87"/>
      <c r="E18" s="87"/>
      <c r="F18" s="87"/>
      <c r="G18" s="87"/>
      <c r="H18" s="87"/>
    </row>
    <row r="19" spans="2:8">
      <c r="B19" s="87" t="s">
        <v>695</v>
      </c>
      <c r="C19" s="87"/>
      <c r="D19" s="87"/>
      <c r="E19" s="87"/>
      <c r="F19" s="87"/>
      <c r="G19" s="87"/>
      <c r="H19" s="87"/>
    </row>
    <row r="20" spans="2:8" ht="70.05" customHeight="1">
      <c r="B20" s="87"/>
      <c r="C20" s="87"/>
      <c r="D20" s="87"/>
      <c r="E20" s="87"/>
      <c r="F20" s="87"/>
      <c r="G20" s="87"/>
      <c r="H20" s="87"/>
    </row>
    <row r="21" spans="2:8">
      <c r="B21" s="38"/>
      <c r="C21" s="38"/>
      <c r="D21" s="38"/>
      <c r="E21" s="38"/>
      <c r="F21" s="38"/>
      <c r="G21" s="38"/>
      <c r="H21" s="38"/>
    </row>
    <row r="22" spans="2:8">
      <c r="B22" s="88" t="s">
        <v>696</v>
      </c>
      <c r="C22" s="86"/>
      <c r="D22" s="86"/>
      <c r="E22" s="86"/>
      <c r="F22" s="86"/>
      <c r="G22" s="86"/>
      <c r="H22" s="86"/>
    </row>
    <row r="23" spans="2:8">
      <c r="B23" s="63" t="s">
        <v>314</v>
      </c>
      <c r="C23" s="114" t="s">
        <v>697</v>
      </c>
      <c r="D23" s="115"/>
      <c r="E23" s="114" t="s">
        <v>698</v>
      </c>
      <c r="F23" s="115"/>
      <c r="G23" s="114" t="s">
        <v>699</v>
      </c>
      <c r="H23" s="115"/>
    </row>
    <row r="24" spans="2:8" ht="109.95" customHeight="1">
      <c r="B24" s="37" t="str">
        <f>IF(기초자료입력!B29&lt;&gt;"",기초자료입력!B29,"")</f>
        <v/>
      </c>
      <c r="C24" s="113" t="s">
        <v>700</v>
      </c>
      <c r="D24" s="113"/>
      <c r="E24" s="87"/>
      <c r="F24" s="87"/>
      <c r="G24" s="87"/>
      <c r="H24" s="87"/>
    </row>
    <row r="25" spans="2:8" ht="109.95" customHeight="1">
      <c r="B25" s="37" t="str">
        <f>IF(기초자료입력!B30&lt;&gt;"",기초자료입력!B30,"")</f>
        <v/>
      </c>
      <c r="C25" s="113" t="s">
        <v>700</v>
      </c>
      <c r="D25" s="113"/>
      <c r="E25" s="87"/>
      <c r="F25" s="87"/>
      <c r="G25" s="87"/>
      <c r="H25" s="87"/>
    </row>
    <row r="26" spans="2:8" ht="109.95" customHeight="1">
      <c r="B26" s="37" t="str">
        <f>IF(기초자료입력!B31&lt;&gt;"",기초자료입력!B31,"")</f>
        <v/>
      </c>
      <c r="C26" s="113" t="s">
        <v>700</v>
      </c>
      <c r="D26" s="113"/>
      <c r="E26" s="87"/>
      <c r="F26" s="87"/>
      <c r="G26" s="87"/>
      <c r="H26" s="87"/>
    </row>
    <row r="27" spans="2:8" ht="109.95" customHeight="1">
      <c r="B27" s="37" t="str">
        <f>IF(기초자료입력!B32&lt;&gt;"",기초자료입력!B32,"")</f>
        <v/>
      </c>
      <c r="C27" s="113" t="s">
        <v>700</v>
      </c>
      <c r="D27" s="113"/>
      <c r="E27" s="87"/>
      <c r="F27" s="87"/>
      <c r="G27" s="87"/>
      <c r="H27" s="87"/>
    </row>
    <row r="28" spans="2:8" ht="109.95" customHeight="1">
      <c r="B28" s="37" t="str">
        <f>IF(기초자료입력!B33&lt;&gt;"",기초자료입력!B33,"")</f>
        <v/>
      </c>
      <c r="C28" s="113" t="s">
        <v>700</v>
      </c>
      <c r="D28" s="113"/>
      <c r="E28" s="87"/>
      <c r="F28" s="87"/>
      <c r="G28" s="87"/>
      <c r="H28" s="87"/>
    </row>
    <row r="29" spans="2:8" ht="109.95" customHeight="1">
      <c r="B29" s="37" t="str">
        <f>IF(기초자료입력!B34&lt;&gt;"",기초자료입력!B34,"")</f>
        <v/>
      </c>
      <c r="C29" s="113" t="s">
        <v>700</v>
      </c>
      <c r="D29" s="113"/>
      <c r="E29" s="87"/>
      <c r="F29" s="87"/>
      <c r="G29" s="87"/>
      <c r="H29" s="87"/>
    </row>
  </sheetData>
  <mergeCells count="43">
    <mergeCell ref="B3:H4"/>
    <mergeCell ref="B6:H6"/>
    <mergeCell ref="C7:E7"/>
    <mergeCell ref="F7:H7"/>
    <mergeCell ref="C8:E8"/>
    <mergeCell ref="F8:H8"/>
    <mergeCell ref="B17:H17"/>
    <mergeCell ref="C9:E9"/>
    <mergeCell ref="F9:H9"/>
    <mergeCell ref="C10:E10"/>
    <mergeCell ref="F10:H10"/>
    <mergeCell ref="C11:E11"/>
    <mergeCell ref="F11:H11"/>
    <mergeCell ref="C12:E12"/>
    <mergeCell ref="F12:H12"/>
    <mergeCell ref="C13:E13"/>
    <mergeCell ref="F13:H13"/>
    <mergeCell ref="B16:H16"/>
    <mergeCell ref="B18:H18"/>
    <mergeCell ref="B19:H19"/>
    <mergeCell ref="B20:H20"/>
    <mergeCell ref="B22:H22"/>
    <mergeCell ref="C23:D23"/>
    <mergeCell ref="E23:F23"/>
    <mergeCell ref="G23:H23"/>
    <mergeCell ref="C24:D24"/>
    <mergeCell ref="E24:F24"/>
    <mergeCell ref="G24:H24"/>
    <mergeCell ref="C25:D25"/>
    <mergeCell ref="E25:F25"/>
    <mergeCell ref="G25:H25"/>
    <mergeCell ref="C26:D26"/>
    <mergeCell ref="E26:F26"/>
    <mergeCell ref="G26:H26"/>
    <mergeCell ref="C27:D27"/>
    <mergeCell ref="E27:F27"/>
    <mergeCell ref="G27:H27"/>
    <mergeCell ref="C28:D28"/>
    <mergeCell ref="E28:F28"/>
    <mergeCell ref="G28:H28"/>
    <mergeCell ref="C29:D29"/>
    <mergeCell ref="E29:F29"/>
    <mergeCell ref="G29:H29"/>
  </mergeCells>
  <phoneticPr fontId="6" type="noConversion"/>
  <printOptions horizontalCentered="1"/>
  <pageMargins left="0.39370138888888889" right="0.39370138888888889" top="0.39370138888888889" bottom="0.39370138888888889"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048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71E2C-F479-4AF9-BD4E-092CE4EB65A9}">
  <sheetPr codeName="Sheet21"/>
  <dimension ref="A1:H30"/>
  <sheetViews>
    <sheetView workbookViewId="0"/>
  </sheetViews>
  <sheetFormatPr defaultRowHeight="17.399999999999999"/>
  <cols>
    <col min="1" max="1" width="3.19921875" customWidth="1"/>
    <col min="2" max="2" width="10.69921875" customWidth="1"/>
    <col min="3" max="8" width="9.69921875" customWidth="1"/>
  </cols>
  <sheetData>
    <row r="1" spans="1:8">
      <c r="A1" s="20"/>
    </row>
    <row r="3" spans="1:8">
      <c r="B3" s="93" t="s">
        <v>608</v>
      </c>
      <c r="C3" s="94"/>
      <c r="D3" s="94"/>
      <c r="E3" s="94"/>
      <c r="F3" s="94"/>
      <c r="G3" s="94"/>
      <c r="H3" s="94"/>
    </row>
    <row r="4" spans="1:8">
      <c r="B4" s="94"/>
      <c r="C4" s="94"/>
      <c r="D4" s="94"/>
      <c r="E4" s="94"/>
      <c r="F4" s="94"/>
      <c r="G4" s="94"/>
      <c r="H4" s="94"/>
    </row>
    <row r="5" spans="1:8">
      <c r="B5" s="55" t="s">
        <v>13</v>
      </c>
      <c r="C5" s="61" t="str">
        <f>IF(기초자료입력!C9&lt;&gt;"",기초자료입력!C9,"")</f>
        <v/>
      </c>
      <c r="D5" s="61"/>
      <c r="E5" s="55" t="s">
        <v>291</v>
      </c>
      <c r="F5" s="61" t="str">
        <f>IF(기초자료입력!C8&lt;&gt;"",TEXT(기초자료입력!C8,"yyyy-mm-dd"),"")</f>
        <v/>
      </c>
      <c r="G5" s="61"/>
      <c r="H5" s="61"/>
    </row>
    <row r="6" spans="1:8">
      <c r="B6" s="61"/>
      <c r="C6" s="61"/>
      <c r="D6" s="61"/>
      <c r="E6" s="61"/>
      <c r="F6" s="61"/>
      <c r="G6" s="61"/>
      <c r="H6" s="61"/>
    </row>
    <row r="7" spans="1:8">
      <c r="B7" s="55" t="s">
        <v>292</v>
      </c>
      <c r="C7" s="87" t="s">
        <v>500</v>
      </c>
      <c r="D7" s="87"/>
      <c r="E7" s="87"/>
      <c r="F7" s="87"/>
      <c r="G7" s="87"/>
      <c r="H7" s="87"/>
    </row>
    <row r="8" spans="1:8">
      <c r="B8" s="55" t="s">
        <v>297</v>
      </c>
      <c r="C8" s="87"/>
      <c r="D8" s="87"/>
      <c r="E8" s="87"/>
      <c r="F8" s="87"/>
      <c r="G8" s="87"/>
      <c r="H8" s="87"/>
    </row>
    <row r="9" spans="1:8">
      <c r="B9" s="55" t="s">
        <v>293</v>
      </c>
      <c r="C9" s="87" t="str">
        <f>IF(기초자료입력!C22&lt;&gt;"",기초자료입력!C22,IF(기초자료입력!C5&lt;&gt;"",기초자료입력!C5,"20○○")&amp;"학년도 교복 학교주관구매 기초금액 및 계약방법 결정")</f>
        <v>20○○학년도 교복 학교주관구매 기초금액 및 계약방법 결정</v>
      </c>
      <c r="D9" s="87"/>
      <c r="E9" s="87"/>
      <c r="F9" s="87"/>
      <c r="G9" s="87"/>
      <c r="H9" s="87"/>
    </row>
    <row r="10" spans="1:8">
      <c r="B10" s="60"/>
      <c r="C10" s="60"/>
      <c r="D10" s="60"/>
      <c r="E10" s="60"/>
      <c r="F10" s="60"/>
      <c r="G10" s="60"/>
      <c r="H10" s="60"/>
    </row>
    <row r="11" spans="1:8">
      <c r="B11" s="117" t="s">
        <v>609</v>
      </c>
      <c r="C11" s="104"/>
      <c r="D11" s="104"/>
      <c r="E11" s="104"/>
      <c r="F11" s="104"/>
      <c r="G11" s="104"/>
      <c r="H11" s="104"/>
    </row>
    <row r="12" spans="1:8">
      <c r="B12" s="104"/>
      <c r="C12" s="104"/>
      <c r="D12" s="104"/>
      <c r="E12" s="104"/>
      <c r="F12" s="104"/>
      <c r="G12" s="104"/>
      <c r="H12" s="104"/>
    </row>
    <row r="13" spans="1:8">
      <c r="B13" s="60"/>
      <c r="C13" s="60"/>
      <c r="D13" s="60"/>
      <c r="E13" s="60"/>
      <c r="F13" s="60"/>
      <c r="G13" s="60"/>
      <c r="H13" s="60"/>
    </row>
    <row r="14" spans="1:8">
      <c r="B14" s="104" t="str">
        <f>"2. "&amp;IF(기초자료입력!C5&lt;&gt;"",기초자료입력!C5,"20○○")&amp;"학년도 교복 학교주관구매를 위하여 아래와 같이 기초금액을 결정하고 계약상대자를 결정하고자 합니다."</f>
        <v>2. 20○○학년도 교복 학교주관구매를 위하여 아래와 같이 기초금액을 결정하고 계약상대자를 결정하고자 합니다.</v>
      </c>
      <c r="C14" s="104"/>
      <c r="D14" s="104"/>
      <c r="E14" s="104"/>
      <c r="F14" s="104"/>
      <c r="G14" s="104"/>
      <c r="H14" s="104"/>
    </row>
    <row r="15" spans="1:8">
      <c r="B15" s="104"/>
      <c r="C15" s="104"/>
      <c r="D15" s="104"/>
      <c r="E15" s="104"/>
      <c r="F15" s="104"/>
      <c r="G15" s="104"/>
      <c r="H15" s="104"/>
    </row>
    <row r="16" spans="1:8">
      <c r="B16" s="60"/>
      <c r="C16" s="60"/>
      <c r="D16" s="60"/>
      <c r="E16" s="60"/>
      <c r="F16" s="60"/>
      <c r="G16" s="60"/>
      <c r="H16" s="60"/>
    </row>
    <row r="17" spans="2:8">
      <c r="B17" s="53" t="s">
        <v>610</v>
      </c>
      <c r="C17" s="86" t="str">
        <f>IF(기초자료입력!C12&lt;&gt;"",기초자료입력!C12,"")</f>
        <v/>
      </c>
      <c r="D17" s="86"/>
      <c r="E17" s="86"/>
      <c r="F17" s="86"/>
      <c r="G17" s="86"/>
      <c r="H17" s="86"/>
    </row>
    <row r="18" spans="2:8">
      <c r="B18" s="53" t="s">
        <v>611</v>
      </c>
      <c r="C18" s="86" t="s">
        <v>612</v>
      </c>
      <c r="D18" s="86"/>
      <c r="E18" s="86"/>
      <c r="F18" s="86"/>
      <c r="G18" s="86"/>
      <c r="H18" s="86"/>
    </row>
    <row r="19" spans="2:8">
      <c r="B19" s="53" t="s">
        <v>613</v>
      </c>
      <c r="C19" s="86" t="str">
        <f>IF(기초자료입력!C15&lt;&gt;"","금"&amp;TEXT(기초자료입력!C15,"#,##0")&amp;"원","")</f>
        <v/>
      </c>
      <c r="D19" s="86"/>
      <c r="E19" s="86"/>
      <c r="F19" s="86"/>
      <c r="G19" s="86"/>
      <c r="H19" s="86"/>
    </row>
    <row r="20" spans="2:8">
      <c r="B20" s="53" t="s">
        <v>614</v>
      </c>
      <c r="C20" s="86" t="str">
        <f>IF(기초자료입력!C17&lt;&gt;"",TEXT(기초자료입력!C17,"yyyy. m. d."),"")</f>
        <v/>
      </c>
      <c r="D20" s="86"/>
      <c r="E20" s="86"/>
      <c r="F20" s="86"/>
      <c r="G20" s="86"/>
      <c r="H20" s="86"/>
    </row>
    <row r="21" spans="2:8">
      <c r="B21" s="53" t="s">
        <v>615</v>
      </c>
      <c r="C21" s="104" t="str">
        <f>IF(기초자료입력!C14&lt;&gt;"",기초자료입력!C14,"2단계 입찰(규격, 가격 동시입찰)")</f>
        <v>2단계 입찰(규격, 가격 동시입찰)</v>
      </c>
      <c r="D21" s="104"/>
      <c r="E21" s="104"/>
      <c r="F21" s="104"/>
      <c r="G21" s="104"/>
      <c r="H21" s="104"/>
    </row>
    <row r="22" spans="2:8">
      <c r="B22" s="60"/>
      <c r="C22" s="104"/>
      <c r="D22" s="104"/>
      <c r="E22" s="104"/>
      <c r="F22" s="104"/>
      <c r="G22" s="104"/>
      <c r="H22" s="104"/>
    </row>
    <row r="23" spans="2:8">
      <c r="B23" s="60"/>
      <c r="C23" s="60"/>
      <c r="D23" s="60"/>
      <c r="E23" s="60"/>
      <c r="F23" s="60"/>
      <c r="G23" s="60"/>
      <c r="H23" s="60"/>
    </row>
    <row r="24" spans="2:8">
      <c r="B24" s="88" t="s">
        <v>616</v>
      </c>
      <c r="C24" s="86"/>
      <c r="D24" s="86"/>
      <c r="E24" s="86"/>
      <c r="F24" s="86"/>
      <c r="G24" s="86"/>
      <c r="H24" s="86"/>
    </row>
    <row r="25" spans="2:8">
      <c r="B25" s="60"/>
      <c r="C25" s="60"/>
      <c r="D25" s="60"/>
      <c r="E25" s="60"/>
      <c r="F25" s="60"/>
      <c r="G25" s="60"/>
      <c r="H25" s="60"/>
    </row>
    <row r="26" spans="2:8">
      <c r="B26" s="60"/>
      <c r="C26" s="60"/>
      <c r="D26" s="60"/>
      <c r="E26" s="60"/>
      <c r="F26" s="60"/>
      <c r="G26" s="60"/>
      <c r="H26" s="60"/>
    </row>
    <row r="27" spans="2:8" ht="28.05" customHeight="1">
      <c r="B27" s="60"/>
      <c r="C27" s="60"/>
      <c r="D27" s="60"/>
      <c r="E27" s="60"/>
      <c r="F27" s="56" t="str">
        <f>"담당"&amp;CHAR(10)&amp;IF(기초자료입력!$C$10&lt;&gt;"",기초자료입력!$C$10,"")</f>
        <v xml:space="preserve">담당
</v>
      </c>
      <c r="G27" s="56" t="s">
        <v>304</v>
      </c>
      <c r="H27" s="56" t="str">
        <f>"교장"&amp;CHAR(10)&amp;IF(기초자료입력!$F$10&lt;&gt;"",기초자료입력!$F$10,"")</f>
        <v xml:space="preserve">교장
</v>
      </c>
    </row>
    <row r="28" spans="2:8">
      <c r="B28" s="53" t="s">
        <v>305</v>
      </c>
      <c r="C28" s="86" t="str">
        <f>IF(기초자료입력!C9&lt;&gt;"",기초자료입력!C9&amp;IF(기초자료입력!C8&lt;&gt;"","("&amp;TEXT(기초자료입력!C8,"yyyy.m.d.")&amp;")",""),"")</f>
        <v/>
      </c>
      <c r="D28" s="86"/>
      <c r="E28" s="86"/>
      <c r="F28" s="55" t="s">
        <v>306</v>
      </c>
      <c r="G28" s="87"/>
      <c r="H28" s="87"/>
    </row>
    <row r="29" spans="2:8">
      <c r="B29" s="53" t="s">
        <v>307</v>
      </c>
      <c r="C29" s="60"/>
      <c r="D29" s="53" t="s">
        <v>308</v>
      </c>
      <c r="E29" s="86" t="str">
        <f>IFERROR(INDEX(학교정보!$F$2:$F$791,MATCH(기초자료입력!$C$4,학교정보!$E$2:$E$791,0)),"")</f>
        <v/>
      </c>
      <c r="F29" s="87"/>
      <c r="G29" s="87"/>
      <c r="H29" s="87"/>
    </row>
    <row r="30" spans="2:8">
      <c r="B30" s="53" t="s">
        <v>309</v>
      </c>
      <c r="C30" s="60" t="str">
        <f>IFERROR(INDEX(학교정보!$G$2:$G$791,MATCH(기초자료입력!$C$4,학교정보!$E$2:$E$791,0)),"")</f>
        <v/>
      </c>
      <c r="D30" s="53" t="s">
        <v>310</v>
      </c>
      <c r="E30" s="60"/>
      <c r="F30" s="55" t="s">
        <v>311</v>
      </c>
      <c r="G30" s="87"/>
      <c r="H30" s="87"/>
    </row>
  </sheetData>
  <mergeCells count="16">
    <mergeCell ref="B14:H15"/>
    <mergeCell ref="B3:H4"/>
    <mergeCell ref="C7:H7"/>
    <mergeCell ref="C8:H8"/>
    <mergeCell ref="C9:H9"/>
    <mergeCell ref="B11:H12"/>
    <mergeCell ref="C28:E28"/>
    <mergeCell ref="G28:H28"/>
    <mergeCell ref="E29:H29"/>
    <mergeCell ref="G30:H30"/>
    <mergeCell ref="C17:H17"/>
    <mergeCell ref="C18:H18"/>
    <mergeCell ref="C19:H19"/>
    <mergeCell ref="C20:H20"/>
    <mergeCell ref="C21:H22"/>
    <mergeCell ref="B24:H24"/>
  </mergeCells>
  <phoneticPr fontId="6" type="noConversion"/>
  <printOptions horizontalCentered="1"/>
  <pageMargins left="0.39370138888888889" right="0.39370138888888889" top="0.39370138888888889" bottom="0.39370138888888889"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150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B4A901-CFF5-4889-B09A-70CD3B5D4479}">
  <sheetPr codeName="Sheet22"/>
  <dimension ref="A1:H29"/>
  <sheetViews>
    <sheetView workbookViewId="0"/>
  </sheetViews>
  <sheetFormatPr defaultRowHeight="17.399999999999999"/>
  <cols>
    <col min="1" max="1" width="3.19921875" customWidth="1"/>
    <col min="2" max="2" width="12.69921875" customWidth="1"/>
    <col min="3" max="8" width="9.69921875" customWidth="1"/>
  </cols>
  <sheetData>
    <row r="1" spans="1:8">
      <c r="A1" s="20"/>
    </row>
    <row r="3" spans="1:8">
      <c r="B3" s="93" t="str">
        <f>IF(기초자료입력!C22&lt;&gt;"",기초자료입력!C22,IF(기초자료입력!C5&lt;&gt;"",기초자료입력!C5,"20○○")&amp;"학년도 학생 교복 입찰 사전규격 공개")</f>
        <v>20○○학년도 학생 교복 입찰 사전규격 공개</v>
      </c>
      <c r="C3" s="94"/>
      <c r="D3" s="94"/>
      <c r="E3" s="94"/>
      <c r="F3" s="94"/>
      <c r="G3" s="94"/>
      <c r="H3" s="94"/>
    </row>
    <row r="4" spans="1:8">
      <c r="B4" s="94"/>
      <c r="C4" s="94"/>
      <c r="D4" s="94"/>
      <c r="E4" s="94"/>
      <c r="F4" s="94"/>
      <c r="G4" s="94"/>
      <c r="H4" s="94"/>
    </row>
    <row r="5" spans="1:8">
      <c r="B5" s="55" t="s">
        <v>13</v>
      </c>
      <c r="C5" s="61" t="str">
        <f>IF(기초자료입력!C9&lt;&gt;"",기초자료입력!C9,"")</f>
        <v/>
      </c>
      <c r="D5" s="61"/>
      <c r="E5" s="55" t="s">
        <v>291</v>
      </c>
      <c r="F5" s="61" t="str">
        <f>IF(기초자료입력!C8&lt;&gt;"",TEXT(기초자료입력!C8,"yyyy-mm-dd"),"")</f>
        <v/>
      </c>
      <c r="G5" s="61"/>
      <c r="H5" s="61"/>
    </row>
    <row r="6" spans="1:8">
      <c r="B6" s="61"/>
      <c r="C6" s="61"/>
      <c r="D6" s="61"/>
      <c r="E6" s="61"/>
      <c r="F6" s="61"/>
      <c r="G6" s="61"/>
      <c r="H6" s="61"/>
    </row>
    <row r="7" spans="1:8">
      <c r="B7" s="55" t="s">
        <v>292</v>
      </c>
      <c r="C7" s="87" t="s">
        <v>500</v>
      </c>
      <c r="D7" s="87"/>
      <c r="E7" s="87"/>
      <c r="F7" s="87"/>
      <c r="G7" s="87"/>
      <c r="H7" s="87"/>
    </row>
    <row r="8" spans="1:8">
      <c r="B8" s="55" t="s">
        <v>297</v>
      </c>
      <c r="C8" s="87"/>
      <c r="D8" s="87"/>
      <c r="E8" s="87"/>
      <c r="F8" s="87"/>
      <c r="G8" s="87"/>
      <c r="H8" s="87"/>
    </row>
    <row r="9" spans="1:8">
      <c r="B9" s="55" t="s">
        <v>293</v>
      </c>
      <c r="C9" s="87" t="str">
        <f>IF(기초자료입력!C22&lt;&gt;"",기초자료입력!C22,"")</f>
        <v/>
      </c>
      <c r="D9" s="87"/>
      <c r="E9" s="87"/>
      <c r="F9" s="87"/>
      <c r="G9" s="87"/>
      <c r="H9" s="87"/>
    </row>
    <row r="10" spans="1:8">
      <c r="B10" s="60"/>
      <c r="C10" s="60"/>
      <c r="D10" s="60"/>
      <c r="E10" s="60"/>
      <c r="F10" s="60"/>
      <c r="G10" s="60"/>
      <c r="H10" s="60"/>
    </row>
    <row r="11" spans="1:8">
      <c r="B11" s="117" t="s">
        <v>617</v>
      </c>
      <c r="C11" s="104"/>
      <c r="D11" s="104"/>
      <c r="E11" s="104"/>
      <c r="F11" s="104"/>
      <c r="G11" s="104"/>
      <c r="H11" s="104"/>
    </row>
    <row r="12" spans="1:8">
      <c r="B12" s="104"/>
      <c r="C12" s="104"/>
      <c r="D12" s="104"/>
      <c r="E12" s="104"/>
      <c r="F12" s="104"/>
      <c r="G12" s="104"/>
      <c r="H12" s="104"/>
    </row>
    <row r="13" spans="1:8">
      <c r="B13" s="60"/>
      <c r="C13" s="60"/>
      <c r="D13" s="60"/>
      <c r="E13" s="60"/>
      <c r="F13" s="60"/>
      <c r="G13" s="60"/>
      <c r="H13" s="60"/>
    </row>
    <row r="14" spans="1:8">
      <c r="B14" s="104" t="str">
        <f>"2. "&amp;IF(기초자료입력!C5&lt;&gt;"",기초자료입력!C5,"20○○")&amp;"학년도 학생 교복 구입에 대한 물품 구매 규격(사양서)을 사전 공개하고자 합니다."</f>
        <v>2. 20○○학년도 학생 교복 구입에 대한 물품 구매 규격(사양서)을 사전 공개하고자 합니다.</v>
      </c>
      <c r="C14" s="104"/>
      <c r="D14" s="104"/>
      <c r="E14" s="104"/>
      <c r="F14" s="104"/>
      <c r="G14" s="104"/>
      <c r="H14" s="104"/>
    </row>
    <row r="15" spans="1:8">
      <c r="B15" s="104"/>
      <c r="C15" s="104"/>
      <c r="D15" s="104"/>
      <c r="E15" s="104"/>
      <c r="F15" s="104"/>
      <c r="G15" s="104"/>
      <c r="H15" s="104"/>
    </row>
    <row r="16" spans="1:8">
      <c r="B16" s="60"/>
      <c r="C16" s="60"/>
      <c r="D16" s="60"/>
      <c r="E16" s="60"/>
      <c r="F16" s="60"/>
      <c r="G16" s="60"/>
      <c r="H16" s="60"/>
    </row>
    <row r="17" spans="2:8">
      <c r="B17" s="53" t="s">
        <v>618</v>
      </c>
      <c r="C17" s="60" t="str">
        <f>IF(기초자료입력!C12&lt;&gt;"",기초자료입력!C12,"")</f>
        <v/>
      </c>
      <c r="D17" s="60"/>
      <c r="E17" s="60"/>
      <c r="F17" s="60"/>
      <c r="G17" s="60"/>
      <c r="H17" s="60"/>
    </row>
    <row r="18" spans="2:8">
      <c r="B18" s="53" t="s">
        <v>619</v>
      </c>
      <c r="C18" s="60" t="str">
        <f>IF(기초자료입력!C15&lt;&gt;"","단가 "&amp;TEXT(기초자료입력!C15,"#,##0")&amp;"원","")</f>
        <v/>
      </c>
      <c r="D18" s="60"/>
      <c r="E18" s="60"/>
      <c r="F18" s="60"/>
      <c r="G18" s="60"/>
      <c r="H18" s="60"/>
    </row>
    <row r="19" spans="2:8">
      <c r="B19" s="53" t="s">
        <v>620</v>
      </c>
      <c r="C19" s="60" t="str">
        <f>IF(AND(기초자료입력!C15&lt;&gt;"",기초자료입력!C16&lt;&gt;""),TEXT(기초자료입력!C15,"#,##0")&amp;"원×"&amp;기초자료입력!C16&amp;"벌","")</f>
        <v/>
      </c>
      <c r="D19" s="60"/>
      <c r="E19" s="60"/>
      <c r="F19" s="60"/>
      <c r="G19" s="60"/>
      <c r="H19" s="60"/>
    </row>
    <row r="20" spans="2:8">
      <c r="B20" s="53" t="s">
        <v>621</v>
      </c>
      <c r="C20" s="60" t="s">
        <v>625</v>
      </c>
      <c r="D20" s="60"/>
      <c r="E20" s="60"/>
      <c r="F20" s="60"/>
      <c r="G20" s="60"/>
      <c r="H20" s="60"/>
    </row>
    <row r="21" spans="2:8">
      <c r="B21" s="53" t="s">
        <v>622</v>
      </c>
      <c r="C21" s="60" t="str">
        <f>IF(기초자료입력!C5&lt;&gt;"",기초자료입력!C5&amp;"학년도 학생 교복사양서","")</f>
        <v/>
      </c>
      <c r="D21" s="60"/>
      <c r="E21" s="60"/>
      <c r="F21" s="60"/>
      <c r="G21" s="60"/>
      <c r="H21" s="60"/>
    </row>
    <row r="22" spans="2:8">
      <c r="B22" s="53" t="s">
        <v>623</v>
      </c>
      <c r="C22" s="60" t="str">
        <f>IF(기초자료입력!C18&lt;&gt;"",TEXT(기초자료입력!C18-5,"yyyy. m. d.")&amp;" ~ "&amp;TEXT(기초자료입력!C18,"yyyy. m. d."),"")</f>
        <v/>
      </c>
      <c r="D22" s="60"/>
      <c r="E22" s="60"/>
      <c r="F22" s="60"/>
      <c r="G22" s="60"/>
      <c r="H22" s="60"/>
    </row>
    <row r="23" spans="2:8">
      <c r="B23" s="53" t="s">
        <v>624</v>
      </c>
      <c r="C23" s="60" t="str">
        <f>IF(기초자료입력!C18&lt;&gt;"",TEXT(기초자료입력!C18,"yyyy. m. d. (aaa) hh:mm"),"")</f>
        <v/>
      </c>
      <c r="D23" s="60"/>
      <c r="E23" s="60"/>
      <c r="F23" s="60"/>
      <c r="G23" s="60"/>
      <c r="H23" s="60"/>
    </row>
    <row r="24" spans="2:8">
      <c r="B24" s="60"/>
      <c r="C24" s="60"/>
      <c r="D24" s="60"/>
      <c r="E24" s="60"/>
      <c r="F24" s="60"/>
      <c r="G24" s="60"/>
      <c r="H24" s="60"/>
    </row>
    <row r="25" spans="2:8">
      <c r="B25" s="88" t="str">
        <f>"붙임 "&amp;IF(기초자료입력!C5&lt;&gt;"",기초자료입력!C5,"20○○")&amp;"학년도 학생 교복사양서 1부. 끝."</f>
        <v>붙임 20○○학년도 학생 교복사양서 1부. 끝.</v>
      </c>
      <c r="C25" s="86"/>
      <c r="D25" s="86"/>
      <c r="E25" s="86"/>
      <c r="F25" s="86"/>
      <c r="G25" s="86"/>
      <c r="H25" s="86"/>
    </row>
    <row r="26" spans="2:8">
      <c r="B26" s="60"/>
      <c r="C26" s="60"/>
      <c r="D26" s="60"/>
      <c r="E26" s="60"/>
      <c r="F26" s="60"/>
      <c r="G26" s="60"/>
      <c r="H26" s="60"/>
    </row>
    <row r="27" spans="2:8">
      <c r="B27" s="60"/>
      <c r="C27" s="60"/>
      <c r="D27" s="60"/>
      <c r="E27" s="60"/>
      <c r="F27" s="60"/>
      <c r="G27" s="60"/>
      <c r="H27" s="60"/>
    </row>
    <row r="28" spans="2:8" ht="28.05" customHeight="1">
      <c r="B28" s="60"/>
      <c r="C28" s="60"/>
      <c r="D28" s="60"/>
      <c r="E28" s="60"/>
      <c r="F28" s="56" t="str">
        <f>"담당"&amp;CHAR(10)&amp;IF(기초자료입력!$C$10&lt;&gt;"",기초자료입력!$C$10,"")</f>
        <v xml:space="preserve">담당
</v>
      </c>
      <c r="G28" s="56" t="s">
        <v>304</v>
      </c>
      <c r="H28" s="56" t="str">
        <f>"교장"&amp;CHAR(10)&amp;IF(기초자료입력!$F$10&lt;&gt;"",기초자료입력!$F$10,"")</f>
        <v xml:space="preserve">교장
</v>
      </c>
    </row>
    <row r="29" spans="2:8">
      <c r="B29" s="53" t="s">
        <v>305</v>
      </c>
      <c r="C29" s="86" t="str">
        <f>IF(기초자료입력!C9&lt;&gt;"",기초자료입력!C9&amp;IF(기초자료입력!C8&lt;&gt;"","("&amp;TEXT(기초자료입력!C8,"yyyy.m.d.")&amp;")",""),"")</f>
        <v/>
      </c>
      <c r="D29" s="86"/>
      <c r="E29" s="86"/>
      <c r="F29" s="55" t="s">
        <v>306</v>
      </c>
      <c r="G29" s="87"/>
      <c r="H29" s="87"/>
    </row>
  </sheetData>
  <mergeCells count="9">
    <mergeCell ref="B25:H25"/>
    <mergeCell ref="C29:E29"/>
    <mergeCell ref="G29:H29"/>
    <mergeCell ref="B3:H4"/>
    <mergeCell ref="C7:H7"/>
    <mergeCell ref="C8:H8"/>
    <mergeCell ref="C9:H9"/>
    <mergeCell ref="B11:H12"/>
    <mergeCell ref="B14:H15"/>
  </mergeCells>
  <phoneticPr fontId="6" type="noConversion"/>
  <printOptions horizontalCentered="1"/>
  <pageMargins left="0.39370138888888889" right="0.39370138888888889" top="0.39370138888888889" bottom="0.39370138888888889"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253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5A8AF4-ABF3-49BE-9FB9-B8F273940CD8}">
  <sheetPr codeName="Sheet23"/>
  <dimension ref="A1:H71"/>
  <sheetViews>
    <sheetView workbookViewId="0">
      <selection sqref="A1:H1"/>
    </sheetView>
  </sheetViews>
  <sheetFormatPr defaultRowHeight="17.399999999999999"/>
  <cols>
    <col min="1" max="1" width="3.19921875" customWidth="1"/>
    <col min="2" max="2" width="14.69921875" customWidth="1"/>
    <col min="3" max="8" width="8.19921875" customWidth="1"/>
  </cols>
  <sheetData>
    <row r="1" spans="1:8" ht="28.05" customHeight="1">
      <c r="A1" s="121"/>
      <c r="B1" s="85"/>
      <c r="C1" s="85"/>
      <c r="D1" s="85"/>
      <c r="E1" s="85"/>
      <c r="F1" s="85"/>
      <c r="G1" s="85"/>
      <c r="H1" s="85"/>
    </row>
    <row r="3" spans="1:8">
      <c r="B3" s="116" t="str">
        <f>IF(기초자료입력!C9&lt;&gt;"",기초자료입력!C9,"○○○○학교 공고 제20○○-00호")</f>
        <v>○○○○학교 공고 제20○○-00호</v>
      </c>
      <c r="C3" s="116"/>
      <c r="D3" s="116"/>
      <c r="E3" s="116"/>
      <c r="F3" s="116"/>
      <c r="G3" s="116"/>
      <c r="H3" s="116"/>
    </row>
    <row r="4" spans="1:8">
      <c r="B4" s="38"/>
      <c r="C4" s="38"/>
      <c r="D4" s="38"/>
      <c r="E4" s="38"/>
      <c r="F4" s="38"/>
      <c r="G4" s="38"/>
      <c r="H4" s="38"/>
    </row>
    <row r="5" spans="1:8">
      <c r="B5" s="93" t="str">
        <f>IF(기초자료입력!C5&lt;&gt;"",기초자료입력!C5,"20○○")&amp;"학년도 "&amp;IF(기초자료입력!C4&lt;&gt;"",기초자료입력!C4,"○○○○학교")&amp;" 교복 학교주관 구매 입찰 공고"</f>
        <v>20○○학년도 ○○○○학교 교복 학교주관 구매 입찰 공고</v>
      </c>
      <c r="C5" s="116"/>
      <c r="D5" s="116"/>
      <c r="E5" s="116"/>
      <c r="F5" s="116"/>
      <c r="G5" s="116"/>
      <c r="H5" s="116"/>
    </row>
    <row r="6" spans="1:8">
      <c r="B6" s="116"/>
      <c r="C6" s="116"/>
      <c r="D6" s="116"/>
      <c r="E6" s="116"/>
      <c r="F6" s="116"/>
      <c r="G6" s="116"/>
      <c r="H6" s="116"/>
    </row>
    <row r="7" spans="1:8">
      <c r="B7" s="116" t="str">
        <f>"〔"&amp;IF(기초자료입력!C14&lt;&gt;"",기초자료입력!C14,"2단계 입찰(규격·가격 동시)")&amp;"〕"</f>
        <v>〔2단계 입찰(규격·가격 동시)〕</v>
      </c>
      <c r="C7" s="116"/>
      <c r="D7" s="116"/>
      <c r="E7" s="116"/>
      <c r="F7" s="116"/>
      <c r="G7" s="116"/>
      <c r="H7" s="116"/>
    </row>
    <row r="8" spans="1:8">
      <c r="B8" s="38"/>
      <c r="C8" s="38"/>
      <c r="D8" s="38"/>
      <c r="E8" s="38"/>
      <c r="F8" s="38"/>
      <c r="G8" s="38"/>
      <c r="H8" s="38"/>
    </row>
    <row r="9" spans="1:8">
      <c r="B9" s="104" t="str">
        <f>"「지방자치단체를 당사자로 하는 계약에 관한 법률 시행령」 제18조 제3항에 따라 "&amp;IF(기초자료입력!C5&lt;&gt;"",기초자료입력!C5,"20○○")&amp;"학년도 교복 학교주관 구매를 위해 다음과 같이 공고합니다."</f>
        <v>「지방자치단체를 당사자로 하는 계약에 관한 법률 시행령」 제18조 제3항에 따라 20○○학년도 교복 학교주관 구매를 위해 다음과 같이 공고합니다.</v>
      </c>
      <c r="C9" s="104"/>
      <c r="D9" s="104"/>
      <c r="E9" s="104"/>
      <c r="F9" s="104"/>
      <c r="G9" s="104"/>
      <c r="H9" s="104"/>
    </row>
    <row r="10" spans="1:8">
      <c r="B10" s="104"/>
      <c r="C10" s="104"/>
      <c r="D10" s="104"/>
      <c r="E10" s="104"/>
      <c r="F10" s="104"/>
      <c r="G10" s="104"/>
      <c r="H10" s="104"/>
    </row>
    <row r="11" spans="1:8">
      <c r="B11" s="38"/>
      <c r="C11" s="38"/>
      <c r="D11" s="38"/>
      <c r="E11" s="38"/>
      <c r="F11" s="38"/>
      <c r="G11" s="38"/>
      <c r="H11" s="38"/>
    </row>
    <row r="12" spans="1:8">
      <c r="B12" s="88" t="s">
        <v>626</v>
      </c>
      <c r="C12" s="86"/>
      <c r="D12" s="86"/>
      <c r="E12" s="86"/>
      <c r="F12" s="86"/>
      <c r="G12" s="86"/>
      <c r="H12" s="86"/>
    </row>
    <row r="13" spans="1:8" ht="28.05" customHeight="1">
      <c r="B13" s="62" t="s">
        <v>432</v>
      </c>
      <c r="C13" s="120" t="str">
        <f>IF(기초자료입력!C12&lt;&gt;"",기초자료입력!C12,"")</f>
        <v/>
      </c>
      <c r="D13" s="120"/>
      <c r="E13" s="120"/>
      <c r="F13" s="120"/>
      <c r="G13" s="120"/>
      <c r="H13" s="120"/>
    </row>
    <row r="14" spans="1:8" ht="28.05" customHeight="1">
      <c r="B14" s="62" t="s">
        <v>93</v>
      </c>
      <c r="C14" s="120" t="str">
        <f>IF(기초자료입력!C15&lt;&gt;"","금"&amp;TEXT(기초자료입력!C15,"#,##0")&amp;"원 (부가세포함)","")</f>
        <v/>
      </c>
      <c r="D14" s="120"/>
      <c r="E14" s="120"/>
      <c r="F14" s="120"/>
      <c r="G14" s="120"/>
      <c r="H14" s="120"/>
    </row>
    <row r="15" spans="1:8" ht="28.05" customHeight="1">
      <c r="B15" s="62" t="s">
        <v>627</v>
      </c>
      <c r="C15" s="120" t="str">
        <f>IF(기초자료입력!C16&lt;&gt;"",기초자료입력!C16&amp;"벌","")</f>
        <v/>
      </c>
      <c r="D15" s="120"/>
      <c r="E15" s="120"/>
      <c r="F15" s="120"/>
      <c r="G15" s="120"/>
      <c r="H15" s="120"/>
    </row>
    <row r="16" spans="1:8" ht="28.05" customHeight="1">
      <c r="B16" s="62" t="s">
        <v>628</v>
      </c>
      <c r="C16" s="120" t="s">
        <v>629</v>
      </c>
      <c r="D16" s="120"/>
      <c r="E16" s="120"/>
      <c r="F16" s="120"/>
      <c r="G16" s="120"/>
      <c r="H16" s="120"/>
    </row>
    <row r="17" spans="2:8" ht="28.05" customHeight="1">
      <c r="B17" s="62" t="s">
        <v>630</v>
      </c>
      <c r="C17" s="120" t="str">
        <f>IF(기초자료입력!C14&lt;&gt;"","단가입찰, 지역제한, "&amp;기초자료입력!C14,"단가입찰, 지역제한, 2단계입찰(규격·가격동시)")</f>
        <v>단가입찰, 지역제한, 2단계입찰(규격·가격동시)</v>
      </c>
      <c r="D17" s="120"/>
      <c r="E17" s="120"/>
      <c r="F17" s="120"/>
      <c r="G17" s="120"/>
      <c r="H17" s="120"/>
    </row>
    <row r="18" spans="2:8" ht="28.05" customHeight="1">
      <c r="B18" s="62" t="s">
        <v>30</v>
      </c>
      <c r="C18" s="120" t="str">
        <f>IF(기초자료입력!C17&lt;&gt;"",TEXT(기초자료입력!C17,"yyyy. m. d."),"")</f>
        <v/>
      </c>
      <c r="D18" s="120"/>
      <c r="E18" s="120"/>
      <c r="F18" s="120"/>
      <c r="G18" s="120"/>
      <c r="H18" s="120"/>
    </row>
    <row r="19" spans="2:8" ht="28.05" customHeight="1">
      <c r="B19" s="62" t="s">
        <v>631</v>
      </c>
      <c r="C19" s="120" t="str">
        <f>IF(기초자료입력!C4&lt;&gt;"",기초자료입력!C4&amp;" 지정 장소","")</f>
        <v/>
      </c>
      <c r="D19" s="120"/>
      <c r="E19" s="120"/>
      <c r="F19" s="120"/>
      <c r="G19" s="120"/>
      <c r="H19" s="120"/>
    </row>
    <row r="20" spans="2:8" ht="48" customHeight="1">
      <c r="B20" s="62" t="s">
        <v>632</v>
      </c>
      <c r="C20" s="92" t="s">
        <v>633</v>
      </c>
      <c r="D20" s="92"/>
      <c r="E20" s="92"/>
      <c r="F20" s="92"/>
      <c r="G20" s="92"/>
      <c r="H20" s="92"/>
    </row>
    <row r="21" spans="2:8">
      <c r="B21" s="38"/>
      <c r="C21" s="38"/>
      <c r="D21" s="38"/>
      <c r="E21" s="38"/>
      <c r="F21" s="38"/>
      <c r="G21" s="38"/>
      <c r="H21" s="38"/>
    </row>
    <row r="22" spans="2:8">
      <c r="B22" s="88" t="s">
        <v>634</v>
      </c>
      <c r="C22" s="86"/>
      <c r="D22" s="86"/>
      <c r="E22" s="86"/>
      <c r="F22" s="86"/>
      <c r="G22" s="86"/>
      <c r="H22" s="86"/>
    </row>
    <row r="23" spans="2:8" ht="82.05" customHeight="1">
      <c r="B23" s="119" t="s">
        <v>635</v>
      </c>
      <c r="C23" s="119"/>
      <c r="D23" s="119"/>
      <c r="E23" s="119"/>
      <c r="F23" s="119"/>
      <c r="G23" s="119"/>
      <c r="H23" s="119"/>
    </row>
    <row r="24" spans="2:8" hidden="1">
      <c r="B24" s="119"/>
      <c r="C24" s="119"/>
      <c r="D24" s="119"/>
      <c r="E24" s="119"/>
      <c r="F24" s="119"/>
      <c r="G24" s="119"/>
      <c r="H24" s="119"/>
    </row>
    <row r="25" spans="2:8">
      <c r="B25" s="38"/>
      <c r="C25" s="38"/>
      <c r="D25" s="38"/>
      <c r="E25" s="38"/>
      <c r="F25" s="38"/>
      <c r="G25" s="38"/>
      <c r="H25" s="38"/>
    </row>
    <row r="26" spans="2:8">
      <c r="B26" s="88" t="s">
        <v>636</v>
      </c>
      <c r="C26" s="86"/>
      <c r="D26" s="86"/>
      <c r="E26" s="86"/>
      <c r="F26" s="86"/>
      <c r="G26" s="86"/>
      <c r="H26" s="86"/>
    </row>
    <row r="27" spans="2:8" ht="67.95" customHeight="1">
      <c r="B27" s="119" t="s">
        <v>637</v>
      </c>
      <c r="C27" s="119"/>
      <c r="D27" s="119"/>
      <c r="E27" s="119"/>
      <c r="F27" s="119"/>
      <c r="G27" s="119"/>
      <c r="H27" s="119"/>
    </row>
    <row r="28" spans="2:8" hidden="1">
      <c r="B28" s="119"/>
      <c r="C28" s="119"/>
      <c r="D28" s="119"/>
      <c r="E28" s="119"/>
      <c r="F28" s="119"/>
      <c r="G28" s="119"/>
      <c r="H28" s="119"/>
    </row>
    <row r="29" spans="2:8">
      <c r="B29" s="38"/>
      <c r="C29" s="38"/>
      <c r="D29" s="38"/>
      <c r="E29" s="38"/>
      <c r="F29" s="38"/>
      <c r="G29" s="38"/>
      <c r="H29" s="38"/>
    </row>
    <row r="30" spans="2:8">
      <c r="B30" s="88" t="s">
        <v>638</v>
      </c>
      <c r="C30" s="86"/>
      <c r="D30" s="86"/>
      <c r="E30" s="86"/>
      <c r="F30" s="86"/>
      <c r="G30" s="86"/>
      <c r="H30" s="86"/>
    </row>
    <row r="31" spans="2:8" ht="45" customHeight="1">
      <c r="B31" s="119" t="s">
        <v>639</v>
      </c>
      <c r="C31" s="119"/>
      <c r="D31" s="119"/>
      <c r="E31" s="119"/>
      <c r="F31" s="119"/>
      <c r="G31" s="119"/>
      <c r="H31" s="119"/>
    </row>
    <row r="32" spans="2:8" hidden="1">
      <c r="B32" s="119"/>
      <c r="C32" s="119"/>
      <c r="D32" s="119"/>
      <c r="E32" s="119"/>
      <c r="F32" s="119"/>
      <c r="G32" s="119"/>
      <c r="H32" s="119"/>
    </row>
    <row r="33" spans="2:8">
      <c r="B33" s="38"/>
      <c r="C33" s="38"/>
      <c r="D33" s="38"/>
      <c r="E33" s="38"/>
      <c r="F33" s="38"/>
      <c r="G33" s="38"/>
      <c r="H33" s="38"/>
    </row>
    <row r="34" spans="2:8">
      <c r="B34" s="88" t="s">
        <v>640</v>
      </c>
      <c r="C34" s="86"/>
      <c r="D34" s="86"/>
      <c r="E34" s="86"/>
      <c r="F34" s="86"/>
      <c r="G34" s="86"/>
      <c r="H34" s="86"/>
    </row>
    <row r="35" spans="2:8" ht="145.05000000000001" customHeight="1">
      <c r="B35" s="119" t="str">
        <f>"가. 제출기간: "&amp;IF(기초자료입력!C18&lt;&gt;"",TEXT(기초자료입력!C18,"yyyy. m. d. (aaa) hh:mm"),"담당자 최종 확인")&amp;"까지"&amp;CHAR(10)&amp;"나. 제출 장소·접수 가능 시간·제출 방법은 담당자가 공고 전에 확정합니다."&amp;CHAR(10)&amp;"다. 제출서류: 자기확인서, 자기평점표, 입찰참가신청서, 입찰참가신고서, 납품제안서, 납품실적표, 제조사양서, 단가비율표, A/S 계획서, 소비자 불만 처리 계획, 위임장·서약서·청렴계약 이행서약서(해당 시) 및 품질인증 서류."&amp;CHAR(10)&amp;"라. 블라인드 심사 대상 제안서와 견본품에는 업체명·표시 문양을 제거하며, 서류 반환·공개 여부와 견본품 제출 조건은 공고문에서 최종 확인합니다."</f>
        <v>가. 제출기간: 담당자 최종 확인까지
나. 제출 장소·접수 가능 시간·제출 방법은 담당자가 공고 전에 확정합니다.
다. 제출서류: 자기확인서, 자기평점표, 입찰참가신청서, 입찰참가신고서, 납품제안서, 납품실적표, 제조사양서, 단가비율표, A/S 계획서, 소비자 불만 처리 계획, 위임장·서약서·청렴계약 이행서약서(해당 시) 및 품질인증 서류.
라. 블라인드 심사 대상 제안서와 견본품에는 업체명·표시 문양을 제거하며, 서류 반환·공개 여부와 견본품 제출 조건은 공고문에서 최종 확인합니다.</v>
      </c>
      <c r="C35" s="119"/>
      <c r="D35" s="119"/>
      <c r="E35" s="119"/>
      <c r="F35" s="119"/>
      <c r="G35" s="119"/>
      <c r="H35" s="119"/>
    </row>
    <row r="36" spans="2:8" hidden="1">
      <c r="B36" s="119"/>
      <c r="C36" s="119"/>
      <c r="D36" s="119"/>
      <c r="E36" s="119"/>
      <c r="F36" s="119"/>
      <c r="G36" s="119"/>
      <c r="H36" s="119"/>
    </row>
    <row r="37" spans="2:8">
      <c r="B37" s="38"/>
      <c r="C37" s="38"/>
      <c r="D37" s="38"/>
      <c r="E37" s="38"/>
      <c r="F37" s="38"/>
      <c r="G37" s="38"/>
      <c r="H37" s="38"/>
    </row>
    <row r="38" spans="2:8">
      <c r="B38" s="88" t="s">
        <v>641</v>
      </c>
      <c r="C38" s="86"/>
      <c r="D38" s="86"/>
      <c r="E38" s="86"/>
      <c r="F38" s="86"/>
      <c r="G38" s="86"/>
      <c r="H38" s="86"/>
    </row>
    <row r="39" spans="2:8" ht="58.05" customHeight="1">
      <c r="B39" s="119" t="s">
        <v>642</v>
      </c>
      <c r="C39" s="119"/>
      <c r="D39" s="119"/>
      <c r="E39" s="119"/>
      <c r="F39" s="119"/>
      <c r="G39" s="119"/>
      <c r="H39" s="119"/>
    </row>
    <row r="40" spans="2:8" hidden="1">
      <c r="B40" s="119"/>
      <c r="C40" s="119"/>
      <c r="D40" s="119"/>
      <c r="E40" s="119"/>
      <c r="F40" s="119"/>
      <c r="G40" s="119"/>
      <c r="H40" s="119"/>
    </row>
    <row r="41" spans="2:8">
      <c r="B41" s="38"/>
      <c r="C41" s="38"/>
      <c r="D41" s="38"/>
      <c r="E41" s="38"/>
      <c r="F41" s="38"/>
      <c r="G41" s="38"/>
      <c r="H41" s="38"/>
    </row>
    <row r="42" spans="2:8">
      <c r="B42" s="88" t="s">
        <v>643</v>
      </c>
      <c r="C42" s="86"/>
      <c r="D42" s="86"/>
      <c r="E42" s="86"/>
      <c r="F42" s="86"/>
      <c r="G42" s="86"/>
      <c r="H42" s="86"/>
    </row>
    <row r="43" spans="2:8" ht="82.05" customHeight="1">
      <c r="B43" s="119" t="s">
        <v>644</v>
      </c>
      <c r="C43" s="119"/>
      <c r="D43" s="119"/>
      <c r="E43" s="119"/>
      <c r="F43" s="119"/>
      <c r="G43" s="119"/>
      <c r="H43" s="119"/>
    </row>
    <row r="44" spans="2:8" hidden="1">
      <c r="B44" s="119"/>
      <c r="C44" s="119"/>
      <c r="D44" s="119"/>
      <c r="E44" s="119"/>
      <c r="F44" s="119"/>
      <c r="G44" s="119"/>
      <c r="H44" s="119"/>
    </row>
    <row r="45" spans="2:8">
      <c r="B45" s="38"/>
      <c r="C45" s="38"/>
      <c r="D45" s="38"/>
      <c r="E45" s="38"/>
      <c r="F45" s="38"/>
      <c r="G45" s="38"/>
      <c r="H45" s="38"/>
    </row>
    <row r="46" spans="2:8">
      <c r="B46" s="88" t="s">
        <v>645</v>
      </c>
      <c r="C46" s="86"/>
      <c r="D46" s="86"/>
      <c r="E46" s="86"/>
      <c r="F46" s="86"/>
      <c r="G46" s="86"/>
      <c r="H46" s="86"/>
    </row>
    <row r="47" spans="2:8" ht="78" customHeight="1">
      <c r="B47" s="119" t="s">
        <v>646</v>
      </c>
      <c r="C47" s="119"/>
      <c r="D47" s="119"/>
      <c r="E47" s="119"/>
      <c r="F47" s="119"/>
      <c r="G47" s="119"/>
      <c r="H47" s="119"/>
    </row>
    <row r="48" spans="2:8" hidden="1">
      <c r="B48" s="119"/>
      <c r="C48" s="119"/>
      <c r="D48" s="119"/>
      <c r="E48" s="119"/>
      <c r="F48" s="119"/>
      <c r="G48" s="119"/>
      <c r="H48" s="119"/>
    </row>
    <row r="49" spans="2:8">
      <c r="B49" s="38"/>
      <c r="C49" s="38"/>
      <c r="D49" s="38"/>
      <c r="E49" s="38"/>
      <c r="F49" s="38"/>
      <c r="G49" s="38"/>
      <c r="H49" s="38"/>
    </row>
    <row r="50" spans="2:8">
      <c r="B50" s="88" t="s">
        <v>647</v>
      </c>
      <c r="C50" s="86"/>
      <c r="D50" s="86"/>
      <c r="E50" s="86"/>
      <c r="F50" s="86"/>
      <c r="G50" s="86"/>
      <c r="H50" s="86"/>
    </row>
    <row r="51" spans="2:8" ht="37.950000000000003" customHeight="1">
      <c r="B51" s="119" t="s">
        <v>648</v>
      </c>
      <c r="C51" s="119"/>
      <c r="D51" s="119"/>
      <c r="E51" s="119"/>
      <c r="F51" s="119"/>
      <c r="G51" s="119"/>
      <c r="H51" s="119"/>
    </row>
    <row r="52" spans="2:8" hidden="1">
      <c r="B52" s="119"/>
      <c r="C52" s="119"/>
      <c r="D52" s="119"/>
      <c r="E52" s="119"/>
      <c r="F52" s="119"/>
      <c r="G52" s="119"/>
      <c r="H52" s="119"/>
    </row>
    <row r="53" spans="2:8">
      <c r="B53" s="38"/>
      <c r="C53" s="38"/>
      <c r="D53" s="38"/>
      <c r="E53" s="38"/>
      <c r="F53" s="38"/>
      <c r="G53" s="38"/>
      <c r="H53" s="38"/>
    </row>
    <row r="54" spans="2:8">
      <c r="B54" s="88" t="s">
        <v>649</v>
      </c>
      <c r="C54" s="86"/>
      <c r="D54" s="86"/>
      <c r="E54" s="86"/>
      <c r="F54" s="86"/>
      <c r="G54" s="86"/>
      <c r="H54" s="86"/>
    </row>
    <row r="55" spans="2:8" ht="45" customHeight="1">
      <c r="B55" s="119" t="s">
        <v>650</v>
      </c>
      <c r="C55" s="119"/>
      <c r="D55" s="119"/>
      <c r="E55" s="119"/>
      <c r="F55" s="119"/>
      <c r="G55" s="119"/>
      <c r="H55" s="119"/>
    </row>
    <row r="56" spans="2:8" hidden="1">
      <c r="B56" s="119"/>
      <c r="C56" s="119"/>
      <c r="D56" s="119"/>
      <c r="E56" s="119"/>
      <c r="F56" s="119"/>
      <c r="G56" s="119"/>
      <c r="H56" s="119"/>
    </row>
    <row r="57" spans="2:8">
      <c r="B57" s="38"/>
      <c r="C57" s="38"/>
      <c r="D57" s="38"/>
      <c r="E57" s="38"/>
      <c r="F57" s="38"/>
      <c r="G57" s="38"/>
      <c r="H57" s="38"/>
    </row>
    <row r="58" spans="2:8">
      <c r="B58" s="88" t="s">
        <v>651</v>
      </c>
      <c r="C58" s="86"/>
      <c r="D58" s="86"/>
      <c r="E58" s="86"/>
      <c r="F58" s="86"/>
      <c r="G58" s="86"/>
      <c r="H58" s="86"/>
    </row>
    <row r="59" spans="2:8" ht="45" customHeight="1">
      <c r="B59" s="119" t="s">
        <v>652</v>
      </c>
      <c r="C59" s="119"/>
      <c r="D59" s="119"/>
      <c r="E59" s="119"/>
      <c r="F59" s="119"/>
      <c r="G59" s="119"/>
      <c r="H59" s="119"/>
    </row>
    <row r="60" spans="2:8" hidden="1">
      <c r="B60" s="119"/>
      <c r="C60" s="119"/>
      <c r="D60" s="119"/>
      <c r="E60" s="119"/>
      <c r="F60" s="119"/>
      <c r="G60" s="119"/>
      <c r="H60" s="119"/>
    </row>
    <row r="61" spans="2:8">
      <c r="B61" s="38"/>
      <c r="C61" s="38"/>
      <c r="D61" s="38"/>
      <c r="E61" s="38"/>
      <c r="F61" s="38"/>
      <c r="G61" s="38"/>
      <c r="H61" s="38"/>
    </row>
    <row r="62" spans="2:8">
      <c r="B62" s="88" t="s">
        <v>653</v>
      </c>
      <c r="C62" s="86"/>
      <c r="D62" s="86"/>
      <c r="E62" s="86"/>
      <c r="F62" s="86"/>
      <c r="G62" s="86"/>
      <c r="H62" s="86"/>
    </row>
    <row r="63" spans="2:8" ht="48" customHeight="1">
      <c r="B63" s="119" t="s">
        <v>654</v>
      </c>
      <c r="C63" s="119"/>
      <c r="D63" s="119"/>
      <c r="E63" s="119"/>
      <c r="F63" s="119"/>
      <c r="G63" s="119"/>
      <c r="H63" s="119"/>
    </row>
    <row r="64" spans="2:8" hidden="1">
      <c r="B64" s="119"/>
      <c r="C64" s="119"/>
      <c r="D64" s="119"/>
      <c r="E64" s="119"/>
      <c r="F64" s="119"/>
      <c r="G64" s="119"/>
      <c r="H64" s="119"/>
    </row>
    <row r="65" spans="2:8">
      <c r="B65" s="38"/>
      <c r="C65" s="38"/>
      <c r="D65" s="38"/>
      <c r="E65" s="38"/>
      <c r="F65" s="38"/>
      <c r="G65" s="38"/>
      <c r="H65" s="38"/>
    </row>
    <row r="66" spans="2:8">
      <c r="B66" s="116" t="str">
        <f>IF(기초자료입력!C8&lt;&gt;"",TEXT(기초자료입력!C8,"yyyy. m. d."),"20○○. ○○. ○○.")</f>
        <v>20○○. ○○. ○○.</v>
      </c>
      <c r="C66" s="116"/>
      <c r="D66" s="116"/>
      <c r="E66" s="116"/>
      <c r="F66" s="116"/>
      <c r="G66" s="116"/>
      <c r="H66" s="116"/>
    </row>
    <row r="67" spans="2:8">
      <c r="B67" s="38"/>
      <c r="C67" s="38"/>
      <c r="D67" s="38"/>
      <c r="E67" s="38"/>
      <c r="F67" s="38"/>
      <c r="G67" s="38"/>
      <c r="H67" s="38"/>
    </row>
    <row r="68" spans="2:8">
      <c r="B68" s="118" t="str">
        <f>IF(기초자료입력!C4&lt;&gt;"",기초자료입력!C4&amp;"장","○○○○학교장")</f>
        <v>○○○○학교장</v>
      </c>
      <c r="C68" s="116"/>
      <c r="D68" s="116"/>
      <c r="E68" s="116"/>
      <c r="F68" s="116"/>
      <c r="G68" s="116"/>
      <c r="H68" s="116"/>
    </row>
    <row r="69" spans="2:8">
      <c r="B69" s="38"/>
      <c r="C69" s="38"/>
      <c r="D69" s="38"/>
      <c r="E69" s="38"/>
      <c r="F69" s="38"/>
      <c r="G69" s="38"/>
      <c r="H69" s="38"/>
    </row>
    <row r="70" spans="2:8">
      <c r="B70" s="38"/>
      <c r="C70" s="38"/>
      <c r="D70" s="38"/>
      <c r="E70" s="38"/>
      <c r="F70" s="38"/>
      <c r="G70" s="38"/>
      <c r="H70" s="38"/>
    </row>
    <row r="71" spans="2:8" ht="31.95" customHeight="1">
      <c r="B71" s="104" t="str">
        <f>"붙임  1. "&amp;IF(기초자료입력!C5&lt;&gt;"",기초자료입력!C5,"20○○")&amp;"학년도 교복 학교주관구매 계약 특수조건 1부.  2. 교복 디자인 및 규격서 1부.  3. 제안서 평가항목 및 배점기준 1부.  끝."</f>
        <v>붙임  1. 20○○학년도 교복 학교주관구매 계약 특수조건 1부.  2. 교복 디자인 및 규격서 1부.  3. 제안서 평가항목 및 배점기준 1부.  끝.</v>
      </c>
      <c r="C71" s="104"/>
      <c r="D71" s="104"/>
      <c r="E71" s="104"/>
      <c r="F71" s="104"/>
      <c r="G71" s="104"/>
      <c r="H71" s="104"/>
    </row>
  </sheetData>
  <mergeCells count="39">
    <mergeCell ref="B12:H12"/>
    <mergeCell ref="A1:H1"/>
    <mergeCell ref="B3:H3"/>
    <mergeCell ref="B5:H6"/>
    <mergeCell ref="B7:H7"/>
    <mergeCell ref="B9:H10"/>
    <mergeCell ref="B27:H28"/>
    <mergeCell ref="C13:H13"/>
    <mergeCell ref="C14:H14"/>
    <mergeCell ref="C15:H15"/>
    <mergeCell ref="C16:H16"/>
    <mergeCell ref="C17:H17"/>
    <mergeCell ref="C18:H18"/>
    <mergeCell ref="C19:H19"/>
    <mergeCell ref="C20:H20"/>
    <mergeCell ref="B22:H22"/>
    <mergeCell ref="B23:H24"/>
    <mergeCell ref="B26:H26"/>
    <mergeCell ref="B51:H52"/>
    <mergeCell ref="B30:H30"/>
    <mergeCell ref="B31:H32"/>
    <mergeCell ref="B34:H34"/>
    <mergeCell ref="B35:H36"/>
    <mergeCell ref="B38:H38"/>
    <mergeCell ref="B39:H40"/>
    <mergeCell ref="B42:H42"/>
    <mergeCell ref="B43:H44"/>
    <mergeCell ref="B46:H46"/>
    <mergeCell ref="B47:H48"/>
    <mergeCell ref="B50:H50"/>
    <mergeCell ref="B66:H66"/>
    <mergeCell ref="B68:H68"/>
    <mergeCell ref="B71:H71"/>
    <mergeCell ref="B54:H54"/>
    <mergeCell ref="B55:H56"/>
    <mergeCell ref="B58:H58"/>
    <mergeCell ref="B59:H60"/>
    <mergeCell ref="B62:H62"/>
    <mergeCell ref="B63:H64"/>
  </mergeCells>
  <phoneticPr fontId="6" type="noConversion"/>
  <printOptions horizontalCentered="1"/>
  <pageMargins left="0.39370138888888889" right="0.39370138888888889" top="0.39370138888888889" bottom="0.39370138888888889"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0</xdr:row>
                    <xdr:rowOff>228600</xdr:rowOff>
                  </to>
                </anchor>
              </controlPr>
            </control>
          </mc:Choice>
        </mc:AlternateContent>
        <mc:AlternateContent xmlns:mc="http://schemas.openxmlformats.org/markup-compatibility/2006">
          <mc:Choice Requires="x14">
            <control shapeId="2355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0</xdr:row>
                    <xdr:rowOff>228600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96680C-EDDA-4003-A7E5-B0C0A8A836D6}">
  <sheetPr codeName="Sheet24"/>
  <dimension ref="A1:H86"/>
  <sheetViews>
    <sheetView workbookViewId="0">
      <selection sqref="A1:H1"/>
    </sheetView>
  </sheetViews>
  <sheetFormatPr defaultRowHeight="17.399999999999999"/>
  <cols>
    <col min="1" max="1" width="3.19921875" customWidth="1"/>
    <col min="2" max="2" width="14.69921875" customWidth="1"/>
    <col min="3" max="8" width="8.19921875" customWidth="1"/>
  </cols>
  <sheetData>
    <row r="1" spans="1:8" ht="28.05" customHeight="1">
      <c r="A1" s="121"/>
      <c r="B1" s="85"/>
      <c r="C1" s="85"/>
      <c r="D1" s="85"/>
      <c r="E1" s="85"/>
      <c r="F1" s="85"/>
      <c r="G1" s="85"/>
      <c r="H1" s="85"/>
    </row>
    <row r="3" spans="1:8" ht="22.05" customHeight="1">
      <c r="B3" s="122" t="str">
        <f>IF(기초자료입력!C5&lt;&gt;"",기초자료입력!C5,"20○○")&amp;"학년도 "&amp;IF(기초자료입력!C4&lt;&gt;"",기초자료입력!C4,"○○○○학교")&amp;" 교복 학교주관구매 계약 특수조건(예시)"</f>
        <v>20○○학년도 ○○○○학교 교복 학교주관구매 계약 특수조건(예시)</v>
      </c>
      <c r="C3" s="123"/>
      <c r="D3" s="123"/>
      <c r="E3" s="123"/>
      <c r="F3" s="123"/>
      <c r="G3" s="123"/>
      <c r="H3" s="123"/>
    </row>
    <row r="4" spans="1:8" ht="22.05" customHeight="1">
      <c r="B4" s="123"/>
      <c r="C4" s="123"/>
      <c r="D4" s="123"/>
      <c r="E4" s="123"/>
      <c r="F4" s="123"/>
      <c r="G4" s="123"/>
      <c r="H4" s="123"/>
    </row>
    <row r="5" spans="1:8">
      <c r="B5" s="38"/>
      <c r="C5" s="38"/>
      <c r="D5" s="38"/>
      <c r="E5" s="38"/>
      <c r="F5" s="38"/>
      <c r="G5" s="38"/>
      <c r="H5" s="38"/>
    </row>
    <row r="6" spans="1:8" ht="60" customHeight="1">
      <c r="B6" s="104" t="str">
        <f>IF(기초자료입력!C5&lt;&gt;"",기초자료입력!C5,"20○○")&amp;"학년도 "&amp;IF(기초자료입력!C4&lt;&gt;"",기초자료입력!C4,"○○○○학교")&amp;" 교복 학교주관구매 계약을 체결함에 있어 "&amp;IF(기초자료입력!C4&lt;&gt;"",기초자료입력!C4,"○○○○학교")&amp;"장(이하 「학교」라 한다)과 계약상대자 ○○교복사 대표 ○○○(이하 「공급자」라 한다)간에 본 계약의 성실한 이행을 위하여 다음과 같이 계약특수조건을 정한다."</f>
        <v>20○○학년도 ○○○○학교 교복 학교주관구매 계약을 체결함에 있어 ○○○○학교장(이하 「학교」라 한다)과 계약상대자 ○○교복사 대표 ○○○(이하 「공급자」라 한다)간에 본 계약의 성실한 이행을 위하여 다음과 같이 계약특수조건을 정한다.</v>
      </c>
      <c r="C6" s="104"/>
      <c r="D6" s="104"/>
      <c r="E6" s="104"/>
      <c r="F6" s="104"/>
      <c r="G6" s="104"/>
      <c r="H6" s="104"/>
    </row>
    <row r="7" spans="1:8">
      <c r="B7" s="104"/>
      <c r="C7" s="104"/>
      <c r="D7" s="104"/>
      <c r="E7" s="104"/>
      <c r="F7" s="104"/>
      <c r="G7" s="104"/>
      <c r="H7" s="104"/>
    </row>
    <row r="8" spans="1:8">
      <c r="B8" s="104"/>
      <c r="C8" s="104"/>
      <c r="D8" s="104"/>
      <c r="E8" s="104"/>
      <c r="F8" s="104"/>
      <c r="G8" s="104"/>
      <c r="H8" s="104"/>
    </row>
    <row r="9" spans="1:8">
      <c r="B9" s="38"/>
      <c r="C9" s="38"/>
      <c r="D9" s="38"/>
      <c r="E9" s="38"/>
      <c r="F9" s="38"/>
      <c r="G9" s="38"/>
      <c r="H9" s="38"/>
    </row>
    <row r="10" spans="1:8">
      <c r="B10" s="88" t="s">
        <v>655</v>
      </c>
      <c r="C10" s="86"/>
      <c r="D10" s="86"/>
      <c r="E10" s="86"/>
      <c r="F10" s="86"/>
      <c r="G10" s="86"/>
      <c r="H10" s="86"/>
    </row>
    <row r="11" spans="1:8" ht="205.95" customHeight="1">
      <c r="B11" s="119" t="str">
        <f>"① 교복 구매 수량은 "&amp;IF(기초자료입력!C5&lt;&gt;"",기초자료입력!C5&amp;"학년도","20○○학년도")&amp;" 본교 신입생들의 신청에 따라 확정된다."&amp;CHAR(10)&amp;"② 「공급자」는 납품 완료 후 교복 구매 또는 품목별 추가 구매를 희망하는 학생(신입생, 재학생, 전입생)이 있을 경우, 추가 구매 할 수 있도록 충분한 수량을 확보하여야 하며, 해당연도에 한하여 품목별 계약 단가와 동일한 금액으로 판매해야 하며 품목별 계약 단가는 제안서에 포함된 품목별 단가비율표에 낙찰금액을 반영한 금액으로 한다."&amp;CHAR(10)&amp;"③ 「공급자」는 본교 학생(신입생, 재학생, 전입생)이 교복 구매 또는 품목별 추가 구매 시 적기에 납품할 수 있도록 노력해야 한다."&amp;CHAR(10)&amp;"④ 「공급자」로 선정된 업체는 계약체결 시 계약보증서를 제출하여야 한다."</f>
        <v>① 교복 구매 수량은 20○○학년도 본교 신입생들의 신청에 따라 확정된다.
② 「공급자」는 납품 완료 후 교복 구매 또는 품목별 추가 구매를 희망하는 학생(신입생, 재학생, 전입생)이 있을 경우, 추가 구매 할 수 있도록 충분한 수량을 확보하여야 하며, 해당연도에 한하여 품목별 계약 단가와 동일한 금액으로 판매해야 하며 품목별 계약 단가는 제안서에 포함된 품목별 단가비율표에 낙찰금액을 반영한 금액으로 한다.
③ 「공급자」는 본교 학생(신입생, 재학생, 전입생)이 교복 구매 또는 품목별 추가 구매 시 적기에 납품할 수 있도록 노력해야 한다.
④ 「공급자」로 선정된 업체는 계약체결 시 계약보증서를 제출하여야 한다.</v>
      </c>
      <c r="C11" s="119"/>
      <c r="D11" s="119"/>
      <c r="E11" s="119"/>
      <c r="F11" s="119"/>
      <c r="G11" s="119"/>
      <c r="H11" s="119"/>
    </row>
    <row r="12" spans="1:8" hidden="1">
      <c r="B12" s="119"/>
      <c r="C12" s="119"/>
      <c r="D12" s="119"/>
      <c r="E12" s="119"/>
      <c r="F12" s="119"/>
      <c r="G12" s="119"/>
      <c r="H12" s="119"/>
    </row>
    <row r="13" spans="1:8">
      <c r="B13" s="38"/>
      <c r="C13" s="38"/>
      <c r="D13" s="38"/>
      <c r="E13" s="38"/>
      <c r="F13" s="38"/>
      <c r="G13" s="38"/>
      <c r="H13" s="38"/>
    </row>
    <row r="14" spans="1:8">
      <c r="B14" s="88" t="s">
        <v>656</v>
      </c>
      <c r="C14" s="86"/>
      <c r="D14" s="86"/>
      <c r="E14" s="86"/>
      <c r="F14" s="86"/>
      <c r="G14" s="86"/>
      <c r="H14" s="86"/>
    </row>
    <row r="15" spans="1:8" ht="253.95" customHeight="1">
      <c r="B15" s="119" t="s">
        <v>657</v>
      </c>
      <c r="C15" s="119"/>
      <c r="D15" s="119"/>
      <c r="E15" s="119"/>
      <c r="F15" s="119"/>
      <c r="G15" s="119"/>
      <c r="H15" s="119"/>
    </row>
    <row r="16" spans="1:8" hidden="1">
      <c r="B16" s="119"/>
      <c r="C16" s="119"/>
      <c r="D16" s="119"/>
      <c r="E16" s="119"/>
      <c r="F16" s="119"/>
      <c r="G16" s="119"/>
      <c r="H16" s="119"/>
    </row>
    <row r="17" spans="2:8">
      <c r="B17" s="38"/>
      <c r="C17" s="38"/>
      <c r="D17" s="38"/>
      <c r="E17" s="38"/>
      <c r="F17" s="38"/>
      <c r="G17" s="38"/>
      <c r="H17" s="38"/>
    </row>
    <row r="18" spans="2:8">
      <c r="B18" s="88" t="s">
        <v>658</v>
      </c>
      <c r="C18" s="86"/>
      <c r="D18" s="86"/>
      <c r="E18" s="86"/>
      <c r="F18" s="86"/>
      <c r="G18" s="86"/>
      <c r="H18" s="86"/>
    </row>
    <row r="19" spans="2:8" ht="85.95" customHeight="1">
      <c r="B19" s="119" t="str">
        <f>"① 「공급자」는 완성된 교복을 기한 내에 지정된 장소에 납품해야 한다."&amp;CHAR(10)&amp;"- 동복: "&amp;IF(기초자료입력!C17&lt;&gt;"",TEXT(기초자료입력!C17,"yyyy.m.d.")&amp;"("&amp;TEXT(기초자료입력!C17,"aaa")&amp;")","20○○.OO.OO(요일)")&amp;"까지, 학교에서 지정하는 장소"&amp;CHAR(10)&amp;"- 하복: "&amp;IF(기초자료입력!C17&lt;&gt;"",TEXT(기초자료입력!C17,"yyyy.m.d.")&amp;"("&amp;TEXT(기초자료입력!C17,"aaa")&amp;")","20○○.OO.OO(요일)")&amp;"까지, 학교에서 지정하는 장소"</f>
        <v>① 「공급자」는 완성된 교복을 기한 내에 지정된 장소에 납품해야 한다.
- 동복: 20○○.OO.OO(요일)까지, 학교에서 지정하는 장소
- 하복: 20○○.OO.OO(요일)까지, 학교에서 지정하는 장소</v>
      </c>
      <c r="C19" s="119"/>
      <c r="D19" s="119"/>
      <c r="E19" s="119"/>
      <c r="F19" s="119"/>
      <c r="G19" s="119"/>
      <c r="H19" s="119"/>
    </row>
    <row r="20" spans="2:8" hidden="1">
      <c r="B20" s="119"/>
      <c r="C20" s="119"/>
      <c r="D20" s="119"/>
      <c r="E20" s="119"/>
      <c r="F20" s="119"/>
      <c r="G20" s="119"/>
      <c r="H20" s="119"/>
    </row>
    <row r="21" spans="2:8">
      <c r="B21" s="38"/>
      <c r="C21" s="38"/>
      <c r="D21" s="38"/>
      <c r="E21" s="38"/>
      <c r="F21" s="38"/>
      <c r="G21" s="38"/>
      <c r="H21" s="38"/>
    </row>
    <row r="22" spans="2:8">
      <c r="B22" s="88" t="s">
        <v>659</v>
      </c>
      <c r="C22" s="86"/>
      <c r="D22" s="86"/>
      <c r="E22" s="86"/>
      <c r="F22" s="86"/>
      <c r="G22" s="86"/>
      <c r="H22" s="86"/>
    </row>
    <row r="23" spans="2:8" ht="109.95" customHeight="1">
      <c r="B23" s="119" t="s">
        <v>660</v>
      </c>
      <c r="C23" s="119"/>
      <c r="D23" s="119"/>
      <c r="E23" s="119"/>
      <c r="F23" s="119"/>
      <c r="G23" s="119"/>
      <c r="H23" s="119"/>
    </row>
    <row r="24" spans="2:8" hidden="1">
      <c r="B24" s="119"/>
      <c r="C24" s="119"/>
      <c r="D24" s="119"/>
      <c r="E24" s="119"/>
      <c r="F24" s="119"/>
      <c r="G24" s="119"/>
      <c r="H24" s="119"/>
    </row>
    <row r="25" spans="2:8">
      <c r="B25" s="38"/>
      <c r="C25" s="38"/>
      <c r="D25" s="38"/>
      <c r="E25" s="38"/>
      <c r="F25" s="38"/>
      <c r="G25" s="38"/>
      <c r="H25" s="38"/>
    </row>
    <row r="26" spans="2:8">
      <c r="B26" s="88" t="s">
        <v>661</v>
      </c>
      <c r="C26" s="86"/>
      <c r="D26" s="86"/>
      <c r="E26" s="86"/>
      <c r="F26" s="86"/>
      <c r="G26" s="86"/>
      <c r="H26" s="86"/>
    </row>
    <row r="27" spans="2:8" ht="205.95" customHeight="1">
      <c r="B27" s="119" t="s">
        <v>662</v>
      </c>
      <c r="C27" s="119"/>
      <c r="D27" s="119"/>
      <c r="E27" s="119"/>
      <c r="F27" s="119"/>
      <c r="G27" s="119"/>
      <c r="H27" s="119"/>
    </row>
    <row r="28" spans="2:8" hidden="1">
      <c r="B28" s="119"/>
      <c r="C28" s="119"/>
      <c r="D28" s="119"/>
      <c r="E28" s="119"/>
      <c r="F28" s="119"/>
      <c r="G28" s="119"/>
      <c r="H28" s="119"/>
    </row>
    <row r="29" spans="2:8">
      <c r="B29" s="38"/>
      <c r="C29" s="38"/>
      <c r="D29" s="38"/>
      <c r="E29" s="38"/>
      <c r="F29" s="38"/>
      <c r="G29" s="38"/>
      <c r="H29" s="38"/>
    </row>
    <row r="30" spans="2:8">
      <c r="B30" s="88" t="s">
        <v>663</v>
      </c>
      <c r="C30" s="86"/>
      <c r="D30" s="86"/>
      <c r="E30" s="86"/>
      <c r="F30" s="86"/>
      <c r="G30" s="86"/>
      <c r="H30" s="86"/>
    </row>
    <row r="31" spans="2:8" ht="253.95" customHeight="1">
      <c r="B31" s="119" t="s">
        <v>664</v>
      </c>
      <c r="C31" s="119"/>
      <c r="D31" s="119"/>
      <c r="E31" s="119"/>
      <c r="F31" s="119"/>
      <c r="G31" s="119"/>
      <c r="H31" s="119"/>
    </row>
    <row r="32" spans="2:8" hidden="1">
      <c r="B32" s="119"/>
      <c r="C32" s="119"/>
      <c r="D32" s="119"/>
      <c r="E32" s="119"/>
      <c r="F32" s="119"/>
      <c r="G32" s="119"/>
      <c r="H32" s="119"/>
    </row>
    <row r="33" spans="2:8">
      <c r="B33" s="38"/>
      <c r="C33" s="38"/>
      <c r="D33" s="38"/>
      <c r="E33" s="38"/>
      <c r="F33" s="38"/>
      <c r="G33" s="38"/>
      <c r="H33" s="38"/>
    </row>
    <row r="34" spans="2:8">
      <c r="B34" s="88" t="s">
        <v>665</v>
      </c>
      <c r="C34" s="86"/>
      <c r="D34" s="86"/>
      <c r="E34" s="86"/>
      <c r="F34" s="86"/>
      <c r="G34" s="86"/>
      <c r="H34" s="86"/>
    </row>
    <row r="35" spans="2:8" ht="109.95" customHeight="1">
      <c r="B35" s="119" t="s">
        <v>666</v>
      </c>
      <c r="C35" s="119"/>
      <c r="D35" s="119"/>
      <c r="E35" s="119"/>
      <c r="F35" s="119"/>
      <c r="G35" s="119"/>
      <c r="H35" s="119"/>
    </row>
    <row r="36" spans="2:8" hidden="1">
      <c r="B36" s="119"/>
      <c r="C36" s="119"/>
      <c r="D36" s="119"/>
      <c r="E36" s="119"/>
      <c r="F36" s="119"/>
      <c r="G36" s="119"/>
      <c r="H36" s="119"/>
    </row>
    <row r="37" spans="2:8">
      <c r="B37" s="38"/>
      <c r="C37" s="38"/>
      <c r="D37" s="38"/>
      <c r="E37" s="38"/>
      <c r="F37" s="38"/>
      <c r="G37" s="38"/>
      <c r="H37" s="38"/>
    </row>
    <row r="38" spans="2:8">
      <c r="B38" s="88" t="s">
        <v>667</v>
      </c>
      <c r="C38" s="86"/>
      <c r="D38" s="86"/>
      <c r="E38" s="86"/>
      <c r="F38" s="86"/>
      <c r="G38" s="86"/>
      <c r="H38" s="86"/>
    </row>
    <row r="39" spans="2:8" ht="157.94999999999999" customHeight="1">
      <c r="B39" s="119" t="s">
        <v>668</v>
      </c>
      <c r="C39" s="119"/>
      <c r="D39" s="119"/>
      <c r="E39" s="119"/>
      <c r="F39" s="119"/>
      <c r="G39" s="119"/>
      <c r="H39" s="119"/>
    </row>
    <row r="40" spans="2:8" hidden="1">
      <c r="B40" s="119"/>
      <c r="C40" s="119"/>
      <c r="D40" s="119"/>
      <c r="E40" s="119"/>
      <c r="F40" s="119"/>
      <c r="G40" s="119"/>
      <c r="H40" s="119"/>
    </row>
    <row r="41" spans="2:8">
      <c r="B41" s="38"/>
      <c r="C41" s="38"/>
      <c r="D41" s="38"/>
      <c r="E41" s="38"/>
      <c r="F41" s="38"/>
      <c r="G41" s="38"/>
      <c r="H41" s="38"/>
    </row>
    <row r="42" spans="2:8">
      <c r="B42" s="88" t="s">
        <v>669</v>
      </c>
      <c r="C42" s="86"/>
      <c r="D42" s="86"/>
      <c r="E42" s="86"/>
      <c r="F42" s="86"/>
      <c r="G42" s="86"/>
      <c r="H42" s="86"/>
    </row>
    <row r="43" spans="2:8" ht="61.95" customHeight="1">
      <c r="B43" s="119" t="s">
        <v>670</v>
      </c>
      <c r="C43" s="119"/>
      <c r="D43" s="119"/>
      <c r="E43" s="119"/>
      <c r="F43" s="119"/>
      <c r="G43" s="119"/>
      <c r="H43" s="119"/>
    </row>
    <row r="44" spans="2:8" hidden="1">
      <c r="B44" s="119"/>
      <c r="C44" s="119"/>
      <c r="D44" s="119"/>
      <c r="E44" s="119"/>
      <c r="F44" s="119"/>
      <c r="G44" s="119"/>
      <c r="H44" s="119"/>
    </row>
    <row r="45" spans="2:8">
      <c r="B45" s="38"/>
      <c r="C45" s="38"/>
      <c r="D45" s="38"/>
      <c r="E45" s="38"/>
      <c r="F45" s="38"/>
      <c r="G45" s="38"/>
      <c r="H45" s="38"/>
    </row>
    <row r="46" spans="2:8">
      <c r="B46" s="88" t="s">
        <v>671</v>
      </c>
      <c r="C46" s="86"/>
      <c r="D46" s="86"/>
      <c r="E46" s="86"/>
      <c r="F46" s="86"/>
      <c r="G46" s="86"/>
      <c r="H46" s="86"/>
    </row>
    <row r="47" spans="2:8" ht="181.95" customHeight="1">
      <c r="B47" s="119" t="s">
        <v>672</v>
      </c>
      <c r="C47" s="119"/>
      <c r="D47" s="119"/>
      <c r="E47" s="119"/>
      <c r="F47" s="119"/>
      <c r="G47" s="119"/>
      <c r="H47" s="119"/>
    </row>
    <row r="48" spans="2:8" hidden="1">
      <c r="B48" s="119"/>
      <c r="C48" s="119"/>
      <c r="D48" s="119"/>
      <c r="E48" s="119"/>
      <c r="F48" s="119"/>
      <c r="G48" s="119"/>
      <c r="H48" s="119"/>
    </row>
    <row r="49" spans="2:8">
      <c r="B49" s="38"/>
      <c r="C49" s="38"/>
      <c r="D49" s="38"/>
      <c r="E49" s="38"/>
      <c r="F49" s="38"/>
      <c r="G49" s="38"/>
      <c r="H49" s="38"/>
    </row>
    <row r="50" spans="2:8">
      <c r="B50" s="88" t="s">
        <v>673</v>
      </c>
      <c r="C50" s="86"/>
      <c r="D50" s="86"/>
      <c r="E50" s="86"/>
      <c r="F50" s="86"/>
      <c r="G50" s="86"/>
      <c r="H50" s="86"/>
    </row>
    <row r="51" spans="2:8" ht="109.95" customHeight="1">
      <c r="B51" s="119" t="s">
        <v>674</v>
      </c>
      <c r="C51" s="119"/>
      <c r="D51" s="119"/>
      <c r="E51" s="119"/>
      <c r="F51" s="119"/>
      <c r="G51" s="119"/>
      <c r="H51" s="119"/>
    </row>
    <row r="52" spans="2:8" hidden="1">
      <c r="B52" s="119"/>
      <c r="C52" s="119"/>
      <c r="D52" s="119"/>
      <c r="E52" s="119"/>
      <c r="F52" s="119"/>
      <c r="G52" s="119"/>
      <c r="H52" s="119"/>
    </row>
    <row r="53" spans="2:8">
      <c r="B53" s="38"/>
      <c r="C53" s="38"/>
      <c r="D53" s="38"/>
      <c r="E53" s="38"/>
      <c r="F53" s="38"/>
      <c r="G53" s="38"/>
      <c r="H53" s="38"/>
    </row>
    <row r="54" spans="2:8">
      <c r="B54" s="88" t="s">
        <v>675</v>
      </c>
      <c r="C54" s="86"/>
      <c r="D54" s="86"/>
      <c r="E54" s="86"/>
      <c r="F54" s="86"/>
      <c r="G54" s="86"/>
      <c r="H54" s="86"/>
    </row>
    <row r="55" spans="2:8" ht="61.95" customHeight="1">
      <c r="B55" s="119" t="s">
        <v>676</v>
      </c>
      <c r="C55" s="119"/>
      <c r="D55" s="119"/>
      <c r="E55" s="119"/>
      <c r="F55" s="119"/>
      <c r="G55" s="119"/>
      <c r="H55" s="119"/>
    </row>
    <row r="56" spans="2:8" hidden="1">
      <c r="B56" s="119"/>
      <c r="C56" s="119"/>
      <c r="D56" s="119"/>
      <c r="E56" s="119"/>
      <c r="F56" s="119"/>
      <c r="G56" s="119"/>
      <c r="H56" s="119"/>
    </row>
    <row r="57" spans="2:8">
      <c r="B57" s="38"/>
      <c r="C57" s="38"/>
      <c r="D57" s="38"/>
      <c r="E57" s="38"/>
      <c r="F57" s="38"/>
      <c r="G57" s="38"/>
      <c r="H57" s="38"/>
    </row>
    <row r="58" spans="2:8">
      <c r="B58" s="88" t="s">
        <v>677</v>
      </c>
      <c r="C58" s="86"/>
      <c r="D58" s="86"/>
      <c r="E58" s="86"/>
      <c r="F58" s="86"/>
      <c r="G58" s="86"/>
      <c r="H58" s="86"/>
    </row>
    <row r="59" spans="2:8" ht="61.95" customHeight="1">
      <c r="B59" s="119" t="s">
        <v>678</v>
      </c>
      <c r="C59" s="119"/>
      <c r="D59" s="119"/>
      <c r="E59" s="119"/>
      <c r="F59" s="119"/>
      <c r="G59" s="119"/>
      <c r="H59" s="119"/>
    </row>
    <row r="60" spans="2:8" hidden="1">
      <c r="B60" s="119"/>
      <c r="C60" s="119"/>
      <c r="D60" s="119"/>
      <c r="E60" s="119"/>
      <c r="F60" s="119"/>
      <c r="G60" s="119"/>
      <c r="H60" s="119"/>
    </row>
    <row r="61" spans="2:8">
      <c r="B61" s="38"/>
      <c r="C61" s="38"/>
      <c r="D61" s="38"/>
      <c r="E61" s="38"/>
      <c r="F61" s="38"/>
      <c r="G61" s="38"/>
      <c r="H61" s="38"/>
    </row>
    <row r="62" spans="2:8">
      <c r="B62" s="88" t="s">
        <v>679</v>
      </c>
      <c r="C62" s="86"/>
      <c r="D62" s="86"/>
      <c r="E62" s="86"/>
      <c r="F62" s="86"/>
      <c r="G62" s="86"/>
      <c r="H62" s="86"/>
    </row>
    <row r="63" spans="2:8" ht="109.95" customHeight="1">
      <c r="B63" s="119" t="s">
        <v>680</v>
      </c>
      <c r="C63" s="119"/>
      <c r="D63" s="119"/>
      <c r="E63" s="119"/>
      <c r="F63" s="119"/>
      <c r="G63" s="119"/>
      <c r="H63" s="119"/>
    </row>
    <row r="64" spans="2:8" hidden="1">
      <c r="B64" s="119"/>
      <c r="C64" s="119"/>
      <c r="D64" s="119"/>
      <c r="E64" s="119"/>
      <c r="F64" s="119"/>
      <c r="G64" s="119"/>
      <c r="H64" s="119"/>
    </row>
    <row r="65" spans="2:8">
      <c r="B65" s="38"/>
      <c r="C65" s="38"/>
      <c r="D65" s="38"/>
      <c r="E65" s="38"/>
      <c r="F65" s="38"/>
      <c r="G65" s="38"/>
      <c r="H65" s="38"/>
    </row>
    <row r="66" spans="2:8">
      <c r="B66" s="88" t="s">
        <v>681</v>
      </c>
      <c r="C66" s="86"/>
      <c r="D66" s="86"/>
      <c r="E66" s="86"/>
      <c r="F66" s="86"/>
      <c r="G66" s="86"/>
      <c r="H66" s="86"/>
    </row>
    <row r="67" spans="2:8" ht="37.950000000000003" customHeight="1">
      <c r="B67" s="119" t="s">
        <v>682</v>
      </c>
      <c r="C67" s="119"/>
      <c r="D67" s="119"/>
      <c r="E67" s="119"/>
      <c r="F67" s="119"/>
      <c r="G67" s="119"/>
      <c r="H67" s="119"/>
    </row>
    <row r="68" spans="2:8" hidden="1">
      <c r="B68" s="119"/>
      <c r="C68" s="119"/>
      <c r="D68" s="119"/>
      <c r="E68" s="119"/>
      <c r="F68" s="119"/>
      <c r="G68" s="119"/>
      <c r="H68" s="119"/>
    </row>
    <row r="69" spans="2:8">
      <c r="B69" s="38"/>
      <c r="C69" s="38"/>
      <c r="D69" s="38"/>
      <c r="E69" s="38"/>
      <c r="F69" s="38"/>
      <c r="G69" s="38"/>
      <c r="H69" s="38"/>
    </row>
    <row r="70" spans="2:8">
      <c r="B70" s="88" t="s">
        <v>683</v>
      </c>
      <c r="C70" s="86"/>
      <c r="D70" s="86"/>
      <c r="E70" s="86"/>
      <c r="F70" s="86"/>
      <c r="G70" s="86"/>
      <c r="H70" s="86"/>
    </row>
    <row r="71" spans="2:8" ht="37.950000000000003" customHeight="1">
      <c r="B71" s="119" t="s">
        <v>684</v>
      </c>
      <c r="C71" s="119"/>
      <c r="D71" s="119"/>
      <c r="E71" s="119"/>
      <c r="F71" s="119"/>
      <c r="G71" s="119"/>
      <c r="H71" s="119"/>
    </row>
    <row r="72" spans="2:8" hidden="1">
      <c r="B72" s="119"/>
      <c r="C72" s="119"/>
      <c r="D72" s="119"/>
      <c r="E72" s="119"/>
      <c r="F72" s="119"/>
      <c r="G72" s="119"/>
      <c r="H72" s="119"/>
    </row>
    <row r="73" spans="2:8">
      <c r="B73" s="38"/>
      <c r="C73" s="38"/>
      <c r="D73" s="38"/>
      <c r="E73" s="38"/>
      <c r="F73" s="38"/>
      <c r="G73" s="38"/>
      <c r="H73" s="38"/>
    </row>
    <row r="74" spans="2:8">
      <c r="B74" s="88" t="s">
        <v>685</v>
      </c>
      <c r="C74" s="86"/>
      <c r="D74" s="86"/>
      <c r="E74" s="86"/>
      <c r="F74" s="86"/>
      <c r="G74" s="86"/>
      <c r="H74" s="86"/>
    </row>
    <row r="75" spans="2:8" ht="109.95" customHeight="1">
      <c r="B75" s="119" t="s">
        <v>686</v>
      </c>
      <c r="C75" s="119"/>
      <c r="D75" s="119"/>
      <c r="E75" s="119"/>
      <c r="F75" s="119"/>
      <c r="G75" s="119"/>
      <c r="H75" s="119"/>
    </row>
    <row r="76" spans="2:8" hidden="1">
      <c r="B76" s="119"/>
      <c r="C76" s="119"/>
      <c r="D76" s="119"/>
      <c r="E76" s="119"/>
      <c r="F76" s="119"/>
      <c r="G76" s="119"/>
      <c r="H76" s="119"/>
    </row>
    <row r="77" spans="2:8">
      <c r="B77" s="38"/>
      <c r="C77" s="38"/>
      <c r="D77" s="38"/>
      <c r="E77" s="38"/>
      <c r="F77" s="38"/>
      <c r="G77" s="38"/>
      <c r="H77" s="38"/>
    </row>
    <row r="78" spans="2:8">
      <c r="B78" s="88" t="s">
        <v>687</v>
      </c>
      <c r="C78" s="86"/>
      <c r="D78" s="86"/>
      <c r="E78" s="86"/>
      <c r="F78" s="86"/>
      <c r="G78" s="86"/>
      <c r="H78" s="86"/>
    </row>
    <row r="79" spans="2:8" ht="205.95" customHeight="1">
      <c r="B79" s="119" t="s">
        <v>688</v>
      </c>
      <c r="C79" s="119"/>
      <c r="D79" s="119"/>
      <c r="E79" s="119"/>
      <c r="F79" s="119"/>
      <c r="G79" s="119"/>
      <c r="H79" s="119"/>
    </row>
    <row r="80" spans="2:8" hidden="1">
      <c r="B80" s="119"/>
      <c r="C80" s="119"/>
      <c r="D80" s="119"/>
      <c r="E80" s="119"/>
      <c r="F80" s="119"/>
      <c r="G80" s="119"/>
      <c r="H80" s="119"/>
    </row>
    <row r="81" spans="2:8">
      <c r="B81" s="38"/>
      <c r="C81" s="38"/>
      <c r="D81" s="38"/>
      <c r="E81" s="38"/>
      <c r="F81" s="38"/>
      <c r="G81" s="38"/>
      <c r="H81" s="38"/>
    </row>
    <row r="82" spans="2:8">
      <c r="B82" s="88" t="s">
        <v>689</v>
      </c>
      <c r="C82" s="86"/>
      <c r="D82" s="86"/>
      <c r="E82" s="86"/>
      <c r="F82" s="86"/>
      <c r="G82" s="86"/>
      <c r="H82" s="86"/>
    </row>
    <row r="83" spans="2:8" ht="61.95" customHeight="1">
      <c r="B83" s="119" t="s">
        <v>690</v>
      </c>
      <c r="C83" s="119"/>
      <c r="D83" s="119"/>
      <c r="E83" s="119"/>
      <c r="F83" s="119"/>
      <c r="G83" s="119"/>
      <c r="H83" s="119"/>
    </row>
    <row r="84" spans="2:8" hidden="1">
      <c r="B84" s="119"/>
      <c r="C84" s="119"/>
      <c r="D84" s="119"/>
      <c r="E84" s="119"/>
      <c r="F84" s="119"/>
      <c r="G84" s="119"/>
      <c r="H84" s="119"/>
    </row>
    <row r="85" spans="2:8">
      <c r="B85" s="38"/>
      <c r="C85" s="38"/>
      <c r="D85" s="38"/>
      <c r="E85" s="38"/>
      <c r="F85" s="38"/>
      <c r="G85" s="38"/>
      <c r="H85" s="38"/>
    </row>
    <row r="86" spans="2:8">
      <c r="B86" s="38"/>
      <c r="C86" s="38"/>
      <c r="D86" s="38"/>
      <c r="E86" s="38"/>
      <c r="F86" s="38"/>
      <c r="G86" s="38"/>
      <c r="H86" s="38"/>
    </row>
  </sheetData>
  <mergeCells count="41">
    <mergeCell ref="B26:H26"/>
    <mergeCell ref="A1:H1"/>
    <mergeCell ref="B3:H4"/>
    <mergeCell ref="B6:H8"/>
    <mergeCell ref="B10:H10"/>
    <mergeCell ref="B11:H12"/>
    <mergeCell ref="B14:H14"/>
    <mergeCell ref="B15:H16"/>
    <mergeCell ref="B18:H18"/>
    <mergeCell ref="B19:H20"/>
    <mergeCell ref="B22:H22"/>
    <mergeCell ref="B23:H24"/>
    <mergeCell ref="B50:H50"/>
    <mergeCell ref="B27:H28"/>
    <mergeCell ref="B30:H30"/>
    <mergeCell ref="B31:H32"/>
    <mergeCell ref="B34:H34"/>
    <mergeCell ref="B35:H36"/>
    <mergeCell ref="B38:H38"/>
    <mergeCell ref="B39:H40"/>
    <mergeCell ref="B42:H42"/>
    <mergeCell ref="B43:H44"/>
    <mergeCell ref="B46:H46"/>
    <mergeCell ref="B47:H48"/>
    <mergeCell ref="B74:H74"/>
    <mergeCell ref="B51:H52"/>
    <mergeCell ref="B54:H54"/>
    <mergeCell ref="B55:H56"/>
    <mergeCell ref="B58:H58"/>
    <mergeCell ref="B59:H60"/>
    <mergeCell ref="B62:H62"/>
    <mergeCell ref="B63:H64"/>
    <mergeCell ref="B66:H66"/>
    <mergeCell ref="B67:H68"/>
    <mergeCell ref="B70:H70"/>
    <mergeCell ref="B71:H72"/>
    <mergeCell ref="B75:H76"/>
    <mergeCell ref="B78:H78"/>
    <mergeCell ref="B79:H80"/>
    <mergeCell ref="B82:H82"/>
    <mergeCell ref="B83:H84"/>
  </mergeCells>
  <phoneticPr fontId="6" type="noConversion"/>
  <printOptions horizontalCentered="1"/>
  <pageMargins left="0.39370138888888889" right="0.39370138888888889" top="0.39370138888888889" bottom="0.39370138888888889"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0</xdr:row>
                    <xdr:rowOff>228600</xdr:rowOff>
                  </to>
                </anchor>
              </controlPr>
            </control>
          </mc:Choice>
        </mc:AlternateContent>
        <mc:AlternateContent xmlns:mc="http://schemas.openxmlformats.org/markup-compatibility/2006">
          <mc:Choice Requires="x14">
            <control shapeId="2457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0</xdr:row>
                    <xdr:rowOff>228600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A16800-AA1B-494E-9B12-70C27577CAC6}">
  <sheetPr codeName="Sheet25"/>
  <dimension ref="A1:G25"/>
  <sheetViews>
    <sheetView workbookViewId="0"/>
  </sheetViews>
  <sheetFormatPr defaultRowHeight="17.399999999999999"/>
  <cols>
    <col min="1" max="1" width="3.19921875" customWidth="1"/>
    <col min="2" max="2" width="7.69921875" customWidth="1"/>
    <col min="3" max="4" width="18.69921875" customWidth="1"/>
    <col min="5" max="5" width="7.69921875" customWidth="1"/>
    <col min="6" max="6" width="9.69921875" customWidth="1"/>
    <col min="7" max="7" width="7.69921875" customWidth="1"/>
  </cols>
  <sheetData>
    <row r="1" spans="1:7">
      <c r="A1" s="20"/>
    </row>
    <row r="3" spans="1:7">
      <c r="B3" s="118" t="s">
        <v>322</v>
      </c>
      <c r="C3" s="116"/>
      <c r="D3" s="116"/>
      <c r="E3" s="116"/>
      <c r="F3" s="116"/>
      <c r="G3" s="116"/>
    </row>
    <row r="4" spans="1:7">
      <c r="B4" s="116" t="s">
        <v>323</v>
      </c>
      <c r="C4" s="116"/>
      <c r="D4" s="116"/>
      <c r="E4" s="116"/>
      <c r="F4" s="116"/>
      <c r="G4" s="116"/>
    </row>
    <row r="5" spans="1:7">
      <c r="B5" s="29" t="s">
        <v>86</v>
      </c>
      <c r="C5" s="30" t="str">
        <f>IF(기초자료입력!C4&lt;&gt;"",기초자료입력!C4,"")</f>
        <v/>
      </c>
      <c r="D5" s="30" t="s">
        <v>87</v>
      </c>
      <c r="E5" s="30" t="str">
        <f>IF(기초자료입력!C5&lt;&gt;"",기초자료입력!C5,"")</f>
        <v/>
      </c>
      <c r="F5" s="30" t="s">
        <v>324</v>
      </c>
      <c r="G5" s="29" t="str">
        <f>IF(COUNTA(기초자료입력!B72:B81)&gt;0,기초자료입력!D82,"")</f>
        <v/>
      </c>
    </row>
    <row r="6" spans="1:7">
      <c r="B6" s="124" t="str">
        <f>IF(기초자료입력!C22&lt;&gt;"",기초자료입력!C22,"제안서 평가항목 및 배점기준")</f>
        <v>제안서 평가항목 및 배점기준</v>
      </c>
      <c r="C6" s="125"/>
      <c r="D6" s="125"/>
      <c r="E6" s="125"/>
      <c r="F6" s="125"/>
      <c r="G6" s="125"/>
    </row>
    <row r="7" spans="1:7" ht="30" customHeight="1">
      <c r="B7" s="104" t="s">
        <v>325</v>
      </c>
      <c r="C7" s="104"/>
      <c r="D7" s="104"/>
      <c r="E7" s="104"/>
      <c r="F7" s="104"/>
      <c r="G7" s="104"/>
    </row>
    <row r="8" spans="1:7">
      <c r="B8" s="31"/>
      <c r="C8" s="31"/>
      <c r="D8" s="31"/>
      <c r="E8" s="31"/>
      <c r="F8" s="31"/>
      <c r="G8" s="31"/>
    </row>
    <row r="9" spans="1:7">
      <c r="B9" s="32" t="s">
        <v>326</v>
      </c>
      <c r="C9" s="32" t="s">
        <v>75</v>
      </c>
      <c r="D9" s="32" t="s">
        <v>327</v>
      </c>
      <c r="E9" s="32" t="s">
        <v>76</v>
      </c>
      <c r="F9" s="32" t="s">
        <v>328</v>
      </c>
      <c r="G9" s="32" t="s">
        <v>316</v>
      </c>
    </row>
    <row r="10" spans="1:7" ht="24" customHeight="1">
      <c r="B10" s="29" t="str">
        <f>IF(기초자료입력!B72&lt;&gt;"","평가","")</f>
        <v/>
      </c>
      <c r="C10" s="33" t="str">
        <f>IF(기초자료입력!B72&lt;&gt;"",기초자료입력!B72,"")</f>
        <v/>
      </c>
      <c r="D10" s="30" t="s">
        <v>329</v>
      </c>
      <c r="E10" s="34" t="str">
        <f>IF(기초자료입력!C72&lt;&gt;"",기초자료입력!C72,"")</f>
        <v/>
      </c>
      <c r="F10" s="34" t="str">
        <f>IF(기초자료입력!D72&lt;&gt;"",기초자료입력!D72,"")</f>
        <v/>
      </c>
      <c r="G10" s="29" t="str">
        <f>IF(AND(기초자료입력!B72&lt;&gt;"",기초자료입력!D72&lt;=기초자료입력!C72),"정상","")</f>
        <v/>
      </c>
    </row>
    <row r="11" spans="1:7" ht="24" customHeight="1">
      <c r="B11" s="29" t="str">
        <f>IF(기초자료입력!B73&lt;&gt;"","평가","")</f>
        <v/>
      </c>
      <c r="C11" s="33" t="str">
        <f>IF(기초자료입력!B73&lt;&gt;"",기초자료입력!B73,"")</f>
        <v/>
      </c>
      <c r="D11" s="30" t="s">
        <v>329</v>
      </c>
      <c r="E11" s="34" t="str">
        <f>IF(기초자료입력!C73&lt;&gt;"",기초자료입력!C73,"")</f>
        <v/>
      </c>
      <c r="F11" s="34" t="str">
        <f>IF(기초자료입력!D73&lt;&gt;"",기초자료입력!D73,"")</f>
        <v/>
      </c>
      <c r="G11" s="29" t="str">
        <f>IF(AND(기초자료입력!B73&lt;&gt;"",기초자료입력!D73&lt;=기초자료입력!C73),"정상","")</f>
        <v/>
      </c>
    </row>
    <row r="12" spans="1:7" ht="24" customHeight="1">
      <c r="B12" s="29" t="str">
        <f>IF(기초자료입력!B74&lt;&gt;"","평가","")</f>
        <v/>
      </c>
      <c r="C12" s="33" t="str">
        <f>IF(기초자료입력!B74&lt;&gt;"",기초자료입력!B74,"")</f>
        <v/>
      </c>
      <c r="D12" s="30" t="s">
        <v>329</v>
      </c>
      <c r="E12" s="34" t="str">
        <f>IF(기초자료입력!C74&lt;&gt;"",기초자료입력!C74,"")</f>
        <v/>
      </c>
      <c r="F12" s="34" t="str">
        <f>IF(기초자료입력!D74&lt;&gt;"",기초자료입력!D74,"")</f>
        <v/>
      </c>
      <c r="G12" s="29" t="str">
        <f>IF(AND(기초자료입력!B74&lt;&gt;"",기초자료입력!D74&lt;=기초자료입력!C74),"정상","")</f>
        <v/>
      </c>
    </row>
    <row r="13" spans="1:7" ht="24" customHeight="1">
      <c r="B13" s="29" t="str">
        <f>IF(기초자료입력!B75&lt;&gt;"","평가","")</f>
        <v/>
      </c>
      <c r="C13" s="33" t="str">
        <f>IF(기초자료입력!B75&lt;&gt;"",기초자료입력!B75,"")</f>
        <v/>
      </c>
      <c r="D13" s="30" t="s">
        <v>329</v>
      </c>
      <c r="E13" s="34" t="str">
        <f>IF(기초자료입력!C75&lt;&gt;"",기초자료입력!C75,"")</f>
        <v/>
      </c>
      <c r="F13" s="34" t="str">
        <f>IF(기초자료입력!D75&lt;&gt;"",기초자료입력!D75,"")</f>
        <v/>
      </c>
      <c r="G13" s="29" t="str">
        <f>IF(AND(기초자료입력!B75&lt;&gt;"",기초자료입력!D75&lt;=기초자료입력!C75),"정상","")</f>
        <v/>
      </c>
    </row>
    <row r="14" spans="1:7" ht="24" customHeight="1">
      <c r="B14" s="29" t="str">
        <f>IF(기초자료입력!B76&lt;&gt;"","평가","")</f>
        <v/>
      </c>
      <c r="C14" s="33" t="str">
        <f>IF(기초자료입력!B76&lt;&gt;"",기초자료입력!B76,"")</f>
        <v/>
      </c>
      <c r="D14" s="30" t="s">
        <v>329</v>
      </c>
      <c r="E14" s="34" t="str">
        <f>IF(기초자료입력!C76&lt;&gt;"",기초자료입력!C76,"")</f>
        <v/>
      </c>
      <c r="F14" s="34" t="str">
        <f>IF(기초자료입력!D76&lt;&gt;"",기초자료입력!D76,"")</f>
        <v/>
      </c>
      <c r="G14" s="29" t="str">
        <f>IF(AND(기초자료입력!B76&lt;&gt;"",기초자료입력!D76&lt;=기초자료입력!C76),"정상","")</f>
        <v/>
      </c>
    </row>
    <row r="15" spans="1:7" ht="24" customHeight="1">
      <c r="B15" s="29" t="str">
        <f>IF(기초자료입력!B77&lt;&gt;"","평가","")</f>
        <v/>
      </c>
      <c r="C15" s="33" t="str">
        <f>IF(기초자료입력!B77&lt;&gt;"",기초자료입력!B77,"")</f>
        <v/>
      </c>
      <c r="D15" s="30" t="s">
        <v>329</v>
      </c>
      <c r="E15" s="34" t="str">
        <f>IF(기초자료입력!C77&lt;&gt;"",기초자료입력!C77,"")</f>
        <v/>
      </c>
      <c r="F15" s="34" t="str">
        <f>IF(기초자료입력!D77&lt;&gt;"",기초자료입력!D77,"")</f>
        <v/>
      </c>
      <c r="G15" s="29" t="str">
        <f>IF(AND(기초자료입력!B77&lt;&gt;"",기초자료입력!D77&lt;=기초자료입력!C77),"정상","")</f>
        <v/>
      </c>
    </row>
    <row r="16" spans="1:7" ht="24" customHeight="1">
      <c r="B16" s="29" t="str">
        <f>IF(기초자료입력!B78&lt;&gt;"","평가","")</f>
        <v/>
      </c>
      <c r="C16" s="33" t="str">
        <f>IF(기초자료입력!B78&lt;&gt;"",기초자료입력!B78,"")</f>
        <v/>
      </c>
      <c r="D16" s="30" t="s">
        <v>329</v>
      </c>
      <c r="E16" s="34" t="str">
        <f>IF(기초자료입력!C78&lt;&gt;"",기초자료입력!C78,"")</f>
        <v/>
      </c>
      <c r="F16" s="34" t="str">
        <f>IF(기초자료입력!D78&lt;&gt;"",기초자료입력!D78,"")</f>
        <v/>
      </c>
      <c r="G16" s="29" t="str">
        <f>IF(AND(기초자료입력!B78&lt;&gt;"",기초자료입력!D78&lt;=기초자료입력!C78),"정상","")</f>
        <v/>
      </c>
    </row>
    <row r="17" spans="2:7" ht="24" customHeight="1">
      <c r="B17" s="29" t="str">
        <f>IF(기초자료입력!B79&lt;&gt;"","평가","")</f>
        <v/>
      </c>
      <c r="C17" s="33" t="str">
        <f>IF(기초자료입력!B79&lt;&gt;"",기초자료입력!B79,"")</f>
        <v/>
      </c>
      <c r="D17" s="30" t="s">
        <v>329</v>
      </c>
      <c r="E17" s="34" t="str">
        <f>IF(기초자료입력!C79&lt;&gt;"",기초자료입력!C79,"")</f>
        <v/>
      </c>
      <c r="F17" s="34" t="str">
        <f>IF(기초자료입력!D79&lt;&gt;"",기초자료입력!D79,"")</f>
        <v/>
      </c>
      <c r="G17" s="29" t="str">
        <f>IF(AND(기초자료입력!B79&lt;&gt;"",기초자료입력!D79&lt;=기초자료입력!C79),"정상","")</f>
        <v/>
      </c>
    </row>
    <row r="18" spans="2:7" ht="24" customHeight="1">
      <c r="B18" s="29" t="str">
        <f>IF(기초자료입력!B80&lt;&gt;"","평가","")</f>
        <v/>
      </c>
      <c r="C18" s="33" t="str">
        <f>IF(기초자료입력!B80&lt;&gt;"",기초자료입력!B80,"")</f>
        <v/>
      </c>
      <c r="D18" s="30" t="s">
        <v>329</v>
      </c>
      <c r="E18" s="34" t="str">
        <f>IF(기초자료입력!C80&lt;&gt;"",기초자료입력!C80,"")</f>
        <v/>
      </c>
      <c r="F18" s="34" t="str">
        <f>IF(기초자료입력!D80&lt;&gt;"",기초자료입력!D80,"")</f>
        <v/>
      </c>
      <c r="G18" s="29" t="str">
        <f>IF(AND(기초자료입력!B80&lt;&gt;"",기초자료입력!D80&lt;=기초자료입력!C80),"정상","")</f>
        <v/>
      </c>
    </row>
    <row r="19" spans="2:7" ht="24" customHeight="1">
      <c r="B19" s="29" t="str">
        <f>IF(기초자료입력!B81&lt;&gt;"","평가","")</f>
        <v/>
      </c>
      <c r="C19" s="33" t="str">
        <f>IF(기초자료입력!B81&lt;&gt;"",기초자료입력!B81,"")</f>
        <v/>
      </c>
      <c r="D19" s="30" t="s">
        <v>329</v>
      </c>
      <c r="E19" s="34" t="str">
        <f>IF(기초자료입력!C81&lt;&gt;"",기초자료입력!C81,"")</f>
        <v/>
      </c>
      <c r="F19" s="34" t="str">
        <f>IF(기초자료입력!D81&lt;&gt;"",기초자료입력!D81,"")</f>
        <v/>
      </c>
      <c r="G19" s="29" t="str">
        <f>IF(AND(기초자료입력!B81&lt;&gt;"",기초자료입력!D81&lt;=기초자료입력!C81),"정상","")</f>
        <v/>
      </c>
    </row>
    <row r="20" spans="2:7">
      <c r="B20" s="90" t="s">
        <v>330</v>
      </c>
      <c r="C20" s="126"/>
      <c r="D20" s="126"/>
      <c r="E20" s="35">
        <f>SUM(E10:E19)</f>
        <v>0</v>
      </c>
      <c r="F20" s="35">
        <f>기초자료입력!D82</f>
        <v>0</v>
      </c>
      <c r="G20" s="32"/>
    </row>
    <row r="21" spans="2:7">
      <c r="B21" s="31"/>
      <c r="C21" s="31"/>
      <c r="D21" s="31"/>
      <c r="E21" s="31"/>
      <c r="F21" s="31"/>
      <c r="G21" s="31"/>
    </row>
    <row r="22" spans="2:7">
      <c r="B22" s="117" t="s">
        <v>331</v>
      </c>
      <c r="C22" s="104"/>
      <c r="D22" s="104"/>
      <c r="E22" s="104"/>
      <c r="F22" s="104"/>
      <c r="G22" s="104"/>
    </row>
    <row r="23" spans="2:7" ht="30" customHeight="1">
      <c r="B23" s="104" t="s">
        <v>332</v>
      </c>
      <c r="C23" s="104"/>
      <c r="D23" s="104"/>
      <c r="E23" s="104"/>
      <c r="F23" s="104"/>
      <c r="G23" s="104"/>
    </row>
    <row r="24" spans="2:7" ht="30" customHeight="1">
      <c r="B24" s="104" t="s">
        <v>333</v>
      </c>
      <c r="C24" s="104"/>
      <c r="D24" s="104"/>
      <c r="E24" s="104"/>
      <c r="F24" s="104"/>
      <c r="G24" s="104"/>
    </row>
    <row r="25" spans="2:7" ht="30" customHeight="1">
      <c r="B25" s="104" t="s">
        <v>334</v>
      </c>
      <c r="C25" s="104"/>
      <c r="D25" s="104"/>
      <c r="E25" s="104"/>
      <c r="F25" s="104"/>
      <c r="G25" s="104"/>
    </row>
  </sheetData>
  <mergeCells count="9">
    <mergeCell ref="B23:G23"/>
    <mergeCell ref="B24:G24"/>
    <mergeCell ref="B25:G25"/>
    <mergeCell ref="B3:G3"/>
    <mergeCell ref="B4:G4"/>
    <mergeCell ref="B6:G6"/>
    <mergeCell ref="B7:G7"/>
    <mergeCell ref="B20:D20"/>
    <mergeCell ref="B22:G22"/>
  </mergeCells>
  <phoneticPr fontId="6" type="noConversion"/>
  <printOptions horizontalCentered="1"/>
  <pageMargins left="0.50000076388888881" right="0.50000076388888881" top="0.50000076388888881" bottom="0.50000076388888881" header="0.31496111111111108" footer="0.31496111111111108"/>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560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BDFAA4-02B4-4A4E-B21B-0B47C2A4D88D}">
  <sheetPr codeName="Sheet26"/>
  <dimension ref="A1:I26"/>
  <sheetViews>
    <sheetView workbookViewId="0"/>
  </sheetViews>
  <sheetFormatPr defaultRowHeight="17.399999999999999"/>
  <cols>
    <col min="1" max="1" width="3.19921875" customWidth="1"/>
    <col min="2" max="2" width="7.69921875" customWidth="1"/>
    <col min="3" max="3" width="20.69921875" customWidth="1"/>
    <col min="4" max="4" width="18.69921875" customWidth="1"/>
    <col min="5" max="5" width="6.69921875" customWidth="1"/>
    <col min="6" max="6" width="8.69921875" customWidth="1"/>
    <col min="7" max="7" width="6.69921875" customWidth="1"/>
  </cols>
  <sheetData>
    <row r="1" spans="1:9">
      <c r="A1" s="20"/>
    </row>
    <row r="2" spans="1:9">
      <c r="I2" s="36" t="s">
        <v>335</v>
      </c>
    </row>
    <row r="3" spans="1:9">
      <c r="B3" s="118" t="s">
        <v>336</v>
      </c>
      <c r="C3" s="116"/>
      <c r="D3" s="116"/>
      <c r="E3" s="116"/>
      <c r="F3" s="116"/>
      <c r="G3" s="116"/>
      <c r="I3">
        <v>1</v>
      </c>
    </row>
    <row r="4" spans="1:9">
      <c r="B4" s="118" t="s">
        <v>337</v>
      </c>
      <c r="C4" s="116"/>
      <c r="D4" s="116"/>
      <c r="E4" s="116"/>
      <c r="F4" s="116"/>
      <c r="G4" s="116"/>
    </row>
    <row r="5" spans="1:9">
      <c r="B5" s="37" t="s">
        <v>86</v>
      </c>
      <c r="C5" s="37" t="str">
        <f>IF(기초자료입력!C4&lt;&gt;"",기초자료입력!C4,"")</f>
        <v/>
      </c>
      <c r="D5" s="37" t="s">
        <v>87</v>
      </c>
      <c r="E5" s="37" t="str">
        <f>IF(기초자료입력!C5&lt;&gt;"",기초자료입력!C5,"")</f>
        <v/>
      </c>
      <c r="F5" s="37" t="s">
        <v>338</v>
      </c>
      <c r="G5" s="37">
        <f>IFERROR(INDEX(기초자료입력!$B$44:$B$53,I3),"")</f>
        <v>0</v>
      </c>
    </row>
    <row r="6" spans="1:9" ht="24" customHeight="1">
      <c r="B6" s="104" t="s">
        <v>339</v>
      </c>
      <c r="C6" s="104"/>
      <c r="D6" s="104"/>
      <c r="E6" s="104"/>
      <c r="F6" s="104"/>
      <c r="G6" s="104"/>
    </row>
    <row r="7" spans="1:9">
      <c r="B7" s="38"/>
      <c r="C7" s="38"/>
      <c r="D7" s="38"/>
      <c r="E7" s="38"/>
      <c r="F7" s="38"/>
      <c r="G7" s="38"/>
    </row>
    <row r="8" spans="1:9">
      <c r="B8" s="32" t="s">
        <v>326</v>
      </c>
      <c r="C8" s="32" t="s">
        <v>75</v>
      </c>
      <c r="D8" s="32" t="s">
        <v>327</v>
      </c>
      <c r="E8" s="32" t="s">
        <v>76</v>
      </c>
      <c r="F8" s="32" t="s">
        <v>328</v>
      </c>
      <c r="G8" s="37"/>
    </row>
    <row r="9" spans="1:9" ht="22.05" customHeight="1">
      <c r="B9" s="127" t="s">
        <v>340</v>
      </c>
      <c r="C9" s="92" t="s">
        <v>341</v>
      </c>
      <c r="D9" s="33" t="s">
        <v>342</v>
      </c>
      <c r="E9" s="29">
        <v>10</v>
      </c>
      <c r="F9" s="113">
        <f>IFERROR(INDEX(기초자료입력!$C$44:$C$53,I3),"")</f>
        <v>0</v>
      </c>
      <c r="G9" s="30"/>
    </row>
    <row r="10" spans="1:9" ht="22.05" customHeight="1">
      <c r="B10" s="127"/>
      <c r="C10" s="92"/>
      <c r="D10" s="33" t="s">
        <v>343</v>
      </c>
      <c r="E10" s="29">
        <v>8</v>
      </c>
      <c r="F10" s="113"/>
      <c r="G10" s="30"/>
    </row>
    <row r="11" spans="1:9" ht="22.05" customHeight="1">
      <c r="B11" s="127"/>
      <c r="C11" s="92"/>
      <c r="D11" s="33" t="s">
        <v>344</v>
      </c>
      <c r="E11" s="29">
        <v>6</v>
      </c>
      <c r="F11" s="113"/>
      <c r="G11" s="30"/>
    </row>
    <row r="12" spans="1:9" ht="22.05" customHeight="1">
      <c r="B12" s="127"/>
      <c r="C12" s="92"/>
      <c r="D12" s="33" t="s">
        <v>345</v>
      </c>
      <c r="E12" s="29">
        <v>4</v>
      </c>
      <c r="F12" s="113"/>
      <c r="G12" s="30"/>
    </row>
    <row r="13" spans="1:9" ht="22.05" customHeight="1">
      <c r="B13" s="127"/>
      <c r="C13" s="92" t="s">
        <v>346</v>
      </c>
      <c r="D13" s="33" t="s">
        <v>347</v>
      </c>
      <c r="E13" s="29">
        <v>10</v>
      </c>
      <c r="F13" s="113">
        <f>IFERROR(INDEX(기초자료입력!$D$44:$D$53,I3),"")</f>
        <v>0</v>
      </c>
      <c r="G13" s="30"/>
    </row>
    <row r="14" spans="1:9" ht="22.05" customHeight="1">
      <c r="B14" s="127"/>
      <c r="C14" s="92"/>
      <c r="D14" s="33" t="s">
        <v>348</v>
      </c>
      <c r="E14" s="29">
        <v>8</v>
      </c>
      <c r="F14" s="113"/>
      <c r="G14" s="30"/>
    </row>
    <row r="15" spans="1:9" ht="22.05" customHeight="1">
      <c r="B15" s="127"/>
      <c r="C15" s="92"/>
      <c r="D15" s="33" t="s">
        <v>349</v>
      </c>
      <c r="E15" s="29">
        <v>5</v>
      </c>
      <c r="F15" s="113"/>
      <c r="G15" s="30"/>
    </row>
    <row r="16" spans="1:9" ht="22.05" customHeight="1">
      <c r="B16" s="127"/>
      <c r="C16" s="92" t="s">
        <v>350</v>
      </c>
      <c r="D16" s="33" t="s">
        <v>351</v>
      </c>
      <c r="E16" s="29">
        <v>15</v>
      </c>
      <c r="F16" s="113">
        <f>IFERROR(INDEX(기초자료입력!$E$44:$E$53,I3),"")</f>
        <v>0</v>
      </c>
      <c r="G16" s="30"/>
    </row>
    <row r="17" spans="2:7" ht="22.05" customHeight="1">
      <c r="B17" s="127"/>
      <c r="C17" s="92"/>
      <c r="D17" s="33" t="s">
        <v>352</v>
      </c>
      <c r="E17" s="29">
        <v>12</v>
      </c>
      <c r="F17" s="113"/>
      <c r="G17" s="30"/>
    </row>
    <row r="18" spans="2:7" ht="22.05" customHeight="1">
      <c r="B18" s="127"/>
      <c r="C18" s="92"/>
      <c r="D18" s="33" t="s">
        <v>353</v>
      </c>
      <c r="E18" s="29">
        <v>9</v>
      </c>
      <c r="F18" s="113"/>
      <c r="G18" s="30"/>
    </row>
    <row r="19" spans="2:7" ht="22.05" customHeight="1">
      <c r="B19" s="127"/>
      <c r="C19" s="92"/>
      <c r="D19" s="33" t="s">
        <v>354</v>
      </c>
      <c r="E19" s="29">
        <v>5</v>
      </c>
      <c r="F19" s="113"/>
      <c r="G19" s="30"/>
    </row>
    <row r="20" spans="2:7" ht="22.05" customHeight="1">
      <c r="B20" s="127"/>
      <c r="C20" s="92" t="s">
        <v>355</v>
      </c>
      <c r="D20" s="33" t="s">
        <v>356</v>
      </c>
      <c r="E20" s="29">
        <v>15</v>
      </c>
      <c r="F20" s="113">
        <f>IFERROR(INDEX(기초자료입력!$F$44:$F$53,I3),"")</f>
        <v>0</v>
      </c>
      <c r="G20" s="30"/>
    </row>
    <row r="21" spans="2:7" ht="22.05" customHeight="1">
      <c r="B21" s="127"/>
      <c r="C21" s="92"/>
      <c r="D21" s="33" t="s">
        <v>357</v>
      </c>
      <c r="E21" s="29">
        <v>0</v>
      </c>
      <c r="F21" s="113"/>
      <c r="G21" s="30"/>
    </row>
    <row r="22" spans="2:7">
      <c r="B22" s="90" t="s">
        <v>296</v>
      </c>
      <c r="C22" s="126"/>
      <c r="D22" s="126" t="s">
        <v>358</v>
      </c>
      <c r="E22" s="90"/>
      <c r="F22" s="32">
        <f>IF(OR(F9="",F13="",F16="",F20=""),"",F9+F13+F16+F20)</f>
        <v>0</v>
      </c>
      <c r="G22" s="30"/>
    </row>
    <row r="23" spans="2:7">
      <c r="B23" s="38"/>
      <c r="C23" s="38"/>
      <c r="D23" s="38"/>
      <c r="E23" s="38"/>
      <c r="F23" s="38"/>
      <c r="G23" s="38"/>
    </row>
    <row r="24" spans="2:7" ht="30" customHeight="1">
      <c r="B24" s="104" t="str">
        <f>"본인은 "&amp;IF(기초자료입력!C5&lt;&gt;"",기초자료입력!C5,"20○○")&amp;"학년도 "&amp;IF(기초자료입력!C4&lt;&gt;"",기초자료입력!C4,"○○○○학교")&amp;" 교복 학교주관 교복 구매업체 선정을 위한 제시된 항목에 따라 객관적이고 공정하게 심사할 것을 약속합니다."</f>
        <v>본인은 20○○학년도 ○○○○학교 교복 학교주관 교복 구매업체 선정을 위한 제시된 항목에 따라 객관적이고 공정하게 심사할 것을 약속합니다.</v>
      </c>
      <c r="C24" s="104"/>
      <c r="D24" s="104"/>
      <c r="E24" s="104"/>
      <c r="F24" s="104"/>
      <c r="G24" s="104"/>
    </row>
    <row r="25" spans="2:7">
      <c r="B25" s="116" t="s">
        <v>320</v>
      </c>
      <c r="C25" s="116"/>
      <c r="D25" s="116"/>
      <c r="E25" s="116"/>
      <c r="F25" s="116"/>
      <c r="G25" s="116"/>
    </row>
    <row r="26" spans="2:7">
      <c r="B26" s="116" t="s">
        <v>359</v>
      </c>
      <c r="C26" s="116"/>
      <c r="D26" s="116"/>
      <c r="E26" s="116"/>
      <c r="F26" s="116"/>
      <c r="G26" s="116"/>
    </row>
  </sheetData>
  <mergeCells count="17">
    <mergeCell ref="B3:G3"/>
    <mergeCell ref="B4:G4"/>
    <mergeCell ref="B6:G6"/>
    <mergeCell ref="B9:B21"/>
    <mergeCell ref="C9:C12"/>
    <mergeCell ref="F9:F12"/>
    <mergeCell ref="C13:C15"/>
    <mergeCell ref="F13:F15"/>
    <mergeCell ref="C16:C19"/>
    <mergeCell ref="F16:F19"/>
    <mergeCell ref="B26:G26"/>
    <mergeCell ref="C20:C21"/>
    <mergeCell ref="F20:F21"/>
    <mergeCell ref="B22:C22"/>
    <mergeCell ref="D22:E22"/>
    <mergeCell ref="B24:G24"/>
    <mergeCell ref="B25:G25"/>
  </mergeCells>
  <phoneticPr fontId="6" type="noConversion"/>
  <printOptions horizontalCentered="1"/>
  <pageMargins left="0.50000076388888881" right="0.50000076388888881" top="0.50000076388888881" bottom="0.50000076388888881" header="0.31496111111111108" footer="0.31496111111111108"/>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662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892444-F036-4A34-A2F6-EADC316D8ADB}">
  <sheetPr codeName="Sheet27"/>
  <dimension ref="A1:I18"/>
  <sheetViews>
    <sheetView workbookViewId="0"/>
  </sheetViews>
  <sheetFormatPr defaultRowHeight="17.399999999999999"/>
  <cols>
    <col min="1" max="1" width="3.19921875" customWidth="1"/>
    <col min="2" max="2" width="12.69921875" customWidth="1"/>
    <col min="3" max="3" width="14.69921875" customWidth="1"/>
    <col min="4" max="4" width="34.69921875" customWidth="1"/>
    <col min="5" max="6" width="8.69921875" customWidth="1"/>
  </cols>
  <sheetData>
    <row r="1" spans="1:9">
      <c r="A1" s="20"/>
    </row>
    <row r="2" spans="1:9">
      <c r="I2" s="36" t="s">
        <v>335</v>
      </c>
    </row>
    <row r="3" spans="1:9">
      <c r="B3" s="118" t="s">
        <v>360</v>
      </c>
      <c r="C3" s="116"/>
      <c r="D3" s="116"/>
      <c r="E3" s="116"/>
      <c r="F3" s="116"/>
      <c r="I3">
        <v>1</v>
      </c>
    </row>
    <row r="4" spans="1:9">
      <c r="B4" s="118" t="s">
        <v>361</v>
      </c>
      <c r="C4" s="116"/>
      <c r="D4" s="116"/>
      <c r="E4" s="116"/>
      <c r="F4" s="116"/>
    </row>
    <row r="5" spans="1:9">
      <c r="B5" s="37" t="s">
        <v>86</v>
      </c>
      <c r="C5" s="37" t="str">
        <f>IF(기초자료입력!C4&lt;&gt;"",기초자료입력!C4,"")</f>
        <v/>
      </c>
      <c r="D5" s="37" t="s">
        <v>87</v>
      </c>
      <c r="E5" s="37" t="str">
        <f>IF(기초자료입력!C5&lt;&gt;"",기초자료입력!C5,"")</f>
        <v/>
      </c>
      <c r="F5" s="37" t="s">
        <v>362</v>
      </c>
    </row>
    <row r="6" spans="1:9">
      <c r="B6" s="116">
        <f>IFERROR(INDEX(기초자료입력!$B$44:$B$53,I3),"")</f>
        <v>0</v>
      </c>
      <c r="C6" s="116"/>
      <c r="D6" s="116"/>
      <c r="E6" s="116"/>
      <c r="F6" s="116"/>
    </row>
    <row r="7" spans="1:9" ht="24" customHeight="1">
      <c r="B7" s="104" t="s">
        <v>339</v>
      </c>
      <c r="C7" s="104"/>
      <c r="D7" s="104"/>
      <c r="E7" s="104"/>
      <c r="F7" s="104"/>
    </row>
    <row r="8" spans="1:9">
      <c r="B8" s="32" t="s">
        <v>326</v>
      </c>
      <c r="C8" s="32" t="s">
        <v>75</v>
      </c>
      <c r="D8" s="32" t="s">
        <v>327</v>
      </c>
      <c r="E8" s="32" t="s">
        <v>76</v>
      </c>
      <c r="F8" s="32" t="s">
        <v>328</v>
      </c>
    </row>
    <row r="9" spans="1:9" ht="45" customHeight="1">
      <c r="B9" s="127" t="s">
        <v>363</v>
      </c>
      <c r="C9" s="29" t="s">
        <v>364</v>
      </c>
      <c r="D9" s="33" t="s">
        <v>365</v>
      </c>
      <c r="E9" s="29">
        <v>15</v>
      </c>
      <c r="F9" s="29" t="str">
        <f>IFERROR(IF(INDEX(기초자료입력!$H$44:$H$53,I3)="탁월",15,IF(INDEX(기초자료입력!$H$44:$H$53,I3)="우수",12,IF(INDEX(기초자료입력!$H$44:$H$53,I3)="보통",9,IF(INDEX(기초자료입력!$H$44:$H$53,I3)="미흡",6,IF(INDEX(기초자료입력!$H$44:$H$53,I3)="불량",3,""))))),"")</f>
        <v/>
      </c>
    </row>
    <row r="10" spans="1:9" ht="45" customHeight="1">
      <c r="B10" s="127"/>
      <c r="C10" s="29" t="s">
        <v>366</v>
      </c>
      <c r="D10" s="33" t="s">
        <v>367</v>
      </c>
      <c r="E10" s="29">
        <v>10</v>
      </c>
      <c r="F10" s="29" t="str">
        <f>IFERROR(IF(INDEX(기초자료입력!$I$44:$I$53,I3)="탁월",10,IF(INDEX(기초자료입력!$I$44:$I$53,I3)="우수",8,IF(INDEX(기초자료입력!$I$44:$I$53,I3)="보통",6,IF(INDEX(기초자료입력!$I$44:$I$53,I3)="미흡",4,IF(INDEX(기초자료입력!$I$44:$I$53,I3)="불량",2,""))))),"")</f>
        <v/>
      </c>
    </row>
    <row r="11" spans="1:9" ht="45" customHeight="1">
      <c r="B11" s="127"/>
      <c r="C11" s="29" t="s">
        <v>368</v>
      </c>
      <c r="D11" s="33" t="s">
        <v>369</v>
      </c>
      <c r="E11" s="29">
        <v>15</v>
      </c>
      <c r="F11" s="29" t="str">
        <f>IFERROR(IF(INDEX(기초자료입력!$J$44:$J$53,I3)="탁월",15,IF(INDEX(기초자료입력!$J$44:$J$53,I3)="우수",12,IF(INDEX(기초자료입력!$J$44:$J$53,I3)="보통",9,IF(INDEX(기초자료입력!$J$44:$J$53,I3)="미흡",6,IF(INDEX(기초자료입력!$J$44:$J$53,I3)="불량",3,""))))),"")</f>
        <v/>
      </c>
    </row>
    <row r="12" spans="1:9" ht="45" customHeight="1">
      <c r="B12" s="127"/>
      <c r="C12" s="29" t="s">
        <v>370</v>
      </c>
      <c r="D12" s="33" t="s">
        <v>371</v>
      </c>
      <c r="E12" s="29">
        <v>10</v>
      </c>
      <c r="F12" s="29" t="str">
        <f>IFERROR(IF(INDEX(기초자료입력!$K$44:$K$53,I3)="탁월",10,IF(INDEX(기초자료입력!$K$44:$K$53,I3)="우수",8,IF(INDEX(기초자료입력!$K$44:$K$53,I3)="보통",6,IF(INDEX(기초자료입력!$K$44:$K$53,I3)="미흡",4,IF(INDEX(기초자료입력!$K$44:$K$53,I3)="불량",2,""))))),"")</f>
        <v/>
      </c>
    </row>
    <row r="13" spans="1:9" ht="45" customHeight="1">
      <c r="B13" s="127"/>
      <c r="C13" s="29" t="s">
        <v>372</v>
      </c>
      <c r="D13" s="33" t="s">
        <v>373</v>
      </c>
      <c r="E13" s="29" t="s">
        <v>374</v>
      </c>
      <c r="F13" s="29">
        <f>IFERROR(INDEX(기초자료입력!$L$44:$L$53,I3),"")</f>
        <v>0</v>
      </c>
    </row>
    <row r="14" spans="1:9">
      <c r="B14" s="126" t="s">
        <v>296</v>
      </c>
      <c r="C14" s="126"/>
      <c r="D14" s="126" t="s">
        <v>358</v>
      </c>
      <c r="E14" s="90"/>
      <c r="F14" s="32" t="str">
        <f>IF(OR(F9="",F10="",F11="",F12="",F13=""),"",F9+F10+F11+F12+F13)</f>
        <v/>
      </c>
    </row>
    <row r="15" spans="1:9">
      <c r="B15" s="38"/>
      <c r="C15" s="38"/>
      <c r="D15" s="38"/>
      <c r="E15" s="38"/>
      <c r="F15" s="38"/>
    </row>
    <row r="16" spans="1:9" ht="30" customHeight="1">
      <c r="B16" s="104" t="str">
        <f>"본인은 "&amp;IF(기초자료입력!C5&lt;&gt;"",기초자료입력!C5,"20○○")&amp;"학년도 "&amp;IF(기초자료입력!C4&lt;&gt;"",기초자료입력!C4,"○○○○학교")&amp;" 교복 학교주관 교복 구매업체 선정을 위한 제시된 항목에 따라 객관적이고 공정하게 심사할 것을 약속합니다."</f>
        <v>본인은 20○○학년도 ○○○○학교 교복 학교주관 교복 구매업체 선정을 위한 제시된 항목에 따라 객관적이고 공정하게 심사할 것을 약속합니다.</v>
      </c>
      <c r="C16" s="104"/>
      <c r="D16" s="104"/>
      <c r="E16" s="104"/>
      <c r="F16" s="104"/>
    </row>
    <row r="17" spans="2:6">
      <c r="B17" s="116" t="s">
        <v>320</v>
      </c>
      <c r="C17" s="116"/>
      <c r="D17" s="116"/>
      <c r="E17" s="116"/>
      <c r="F17" s="116"/>
    </row>
    <row r="18" spans="2:6">
      <c r="B18" s="116" t="s">
        <v>375</v>
      </c>
      <c r="C18" s="116"/>
      <c r="D18" s="116"/>
      <c r="E18" s="116"/>
      <c r="F18" s="116"/>
    </row>
  </sheetData>
  <mergeCells count="10">
    <mergeCell ref="B16:F16"/>
    <mergeCell ref="B17:F17"/>
    <mergeCell ref="B18:F18"/>
    <mergeCell ref="B3:F3"/>
    <mergeCell ref="B4:F4"/>
    <mergeCell ref="B6:F6"/>
    <mergeCell ref="B7:F7"/>
    <mergeCell ref="B9:B13"/>
    <mergeCell ref="B14:C14"/>
    <mergeCell ref="D14:E14"/>
  </mergeCells>
  <phoneticPr fontId="6" type="noConversion"/>
  <printOptions horizontalCentered="1"/>
  <pageMargins left="0.50000076388888881" right="0.50000076388888881" top="0.50000076388888881" bottom="0.50000076388888881" header="0.31496111111111108" footer="0.31496111111111108"/>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765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74C419-1B56-4004-859A-8609A8BD28BE}">
  <sheetPr codeName="Sheet28"/>
  <dimension ref="A1:G30"/>
  <sheetViews>
    <sheetView workbookViewId="0"/>
  </sheetViews>
  <sheetFormatPr defaultRowHeight="17.399999999999999"/>
  <cols>
    <col min="1" max="1" width="3.19921875" customWidth="1"/>
    <col min="2" max="2" width="24.69921875" customWidth="1"/>
    <col min="3" max="4" width="10.69921875" customWidth="1"/>
    <col min="5" max="5" width="25.69921875" customWidth="1"/>
  </cols>
  <sheetData>
    <row r="1" spans="1:7">
      <c r="A1" s="20"/>
    </row>
    <row r="2" spans="1:7">
      <c r="G2" s="36" t="s">
        <v>335</v>
      </c>
    </row>
    <row r="3" spans="1:7">
      <c r="B3" s="128" t="str">
        <f>IF(기초자료입력!C5&lt;&gt;"",기초자료입력!C5,"20○○")&amp;"년도 신입생 교복 제출서류 자기확인서"</f>
        <v>20○○년도 신입생 교복 제출서류 자기확인서</v>
      </c>
      <c r="C3" s="129"/>
      <c r="D3" s="129"/>
      <c r="E3" s="129"/>
      <c r="G3">
        <v>1</v>
      </c>
    </row>
    <row r="4" spans="1:7">
      <c r="B4" s="39"/>
      <c r="C4" s="39"/>
      <c r="D4" s="39"/>
      <c r="E4" s="39"/>
    </row>
    <row r="5" spans="1:7" ht="19.95" customHeight="1">
      <c r="B5" s="130" t="s">
        <v>376</v>
      </c>
      <c r="C5" s="130"/>
      <c r="D5" s="130"/>
      <c r="E5" s="130"/>
    </row>
    <row r="6" spans="1:7">
      <c r="B6" s="39"/>
      <c r="C6" s="39"/>
      <c r="D6" s="39"/>
      <c r="E6" s="39"/>
    </row>
    <row r="7" spans="1:7" ht="24" customHeight="1">
      <c r="B7" s="40" t="s">
        <v>52</v>
      </c>
      <c r="C7" s="40" t="s">
        <v>377</v>
      </c>
      <c r="D7" s="40" t="s">
        <v>378</v>
      </c>
      <c r="E7" s="40" t="s">
        <v>379</v>
      </c>
    </row>
    <row r="8" spans="1:7" ht="19.95" customHeight="1">
      <c r="B8" s="41" t="str">
        <f>IFERROR(IF(INDEX(기초자료입력!$B$44:$B$53,$G$3)=0,"",INDEX(기초자료입력!$B$44:$B$53,$G$3)),"")</f>
        <v/>
      </c>
      <c r="C8" s="42" t="str">
        <f>IFERROR(IF(INDEX(기초자료입력!$S$44:$S$53,$G$3)="","",INDEX(기초자료입력!$S$44:$S$53,$G$3)),"")</f>
        <v/>
      </c>
      <c r="D8" s="42" t="str">
        <f>IFERROR(IF(INDEX(기초자료입력!$X$44:$X$53,$G$3)="","",INDEX(기초자료입력!$X$44:$X$53,$G$3)),"")</f>
        <v/>
      </c>
      <c r="E8" s="41"/>
    </row>
    <row r="9" spans="1:7">
      <c r="B9" s="43"/>
      <c r="C9" s="44"/>
      <c r="D9" s="44"/>
      <c r="E9" s="43"/>
    </row>
    <row r="10" spans="1:7" ht="24" customHeight="1">
      <c r="B10" s="40" t="s">
        <v>380</v>
      </c>
      <c r="C10" s="40" t="s">
        <v>47</v>
      </c>
      <c r="D10" s="40" t="s">
        <v>381</v>
      </c>
      <c r="E10" s="40" t="s">
        <v>382</v>
      </c>
    </row>
    <row r="11" spans="1:7" ht="16.05" customHeight="1">
      <c r="B11" s="45" t="s">
        <v>383</v>
      </c>
      <c r="C11" s="46" t="s">
        <v>384</v>
      </c>
      <c r="D11" s="46"/>
      <c r="E11" s="45"/>
    </row>
    <row r="12" spans="1:7" ht="16.05" customHeight="1">
      <c r="B12" s="45" t="s">
        <v>385</v>
      </c>
      <c r="C12" s="46" t="s">
        <v>384</v>
      </c>
      <c r="D12" s="46"/>
      <c r="E12" s="45"/>
    </row>
    <row r="13" spans="1:7" ht="16.05" customHeight="1">
      <c r="B13" s="45" t="s">
        <v>386</v>
      </c>
      <c r="C13" s="46" t="s">
        <v>384</v>
      </c>
      <c r="D13" s="46"/>
      <c r="E13" s="45"/>
    </row>
    <row r="14" spans="1:7" ht="16.05" customHeight="1">
      <c r="B14" s="45" t="s">
        <v>387</v>
      </c>
      <c r="C14" s="46" t="s">
        <v>384</v>
      </c>
      <c r="D14" s="46"/>
      <c r="E14" s="45" t="s">
        <v>388</v>
      </c>
    </row>
    <row r="15" spans="1:7" ht="16.05" customHeight="1">
      <c r="B15" s="45" t="s">
        <v>389</v>
      </c>
      <c r="C15" s="46" t="s">
        <v>384</v>
      </c>
      <c r="D15" s="46"/>
      <c r="E15" s="45"/>
    </row>
    <row r="16" spans="1:7" ht="16.05" customHeight="1">
      <c r="B16" s="45" t="s">
        <v>390</v>
      </c>
      <c r="C16" s="46" t="s">
        <v>384</v>
      </c>
      <c r="D16" s="46"/>
      <c r="E16" s="45"/>
    </row>
    <row r="17" spans="2:5" ht="16.05" customHeight="1">
      <c r="B17" s="45" t="s">
        <v>391</v>
      </c>
      <c r="C17" s="46" t="s">
        <v>384</v>
      </c>
      <c r="D17" s="46"/>
      <c r="E17" s="45"/>
    </row>
    <row r="18" spans="2:5" ht="16.05" customHeight="1">
      <c r="B18" s="45" t="s">
        <v>392</v>
      </c>
      <c r="C18" s="46" t="s">
        <v>384</v>
      </c>
      <c r="D18" s="46"/>
      <c r="E18" s="45"/>
    </row>
    <row r="19" spans="2:5" ht="16.05" customHeight="1">
      <c r="B19" s="45" t="s">
        <v>393</v>
      </c>
      <c r="C19" s="46" t="s">
        <v>384</v>
      </c>
      <c r="D19" s="46"/>
      <c r="E19" s="45"/>
    </row>
    <row r="20" spans="2:5" ht="16.05" customHeight="1">
      <c r="B20" s="45" t="s">
        <v>394</v>
      </c>
      <c r="C20" s="46" t="s">
        <v>384</v>
      </c>
      <c r="D20" s="46"/>
      <c r="E20" s="45"/>
    </row>
    <row r="21" spans="2:5" ht="16.05" customHeight="1">
      <c r="B21" s="45" t="s">
        <v>395</v>
      </c>
      <c r="C21" s="46" t="s">
        <v>384</v>
      </c>
      <c r="D21" s="46"/>
      <c r="E21" s="45"/>
    </row>
    <row r="22" spans="2:5" ht="24" customHeight="1">
      <c r="B22" s="45" t="s">
        <v>396</v>
      </c>
      <c r="C22" s="46" t="s">
        <v>384</v>
      </c>
      <c r="D22" s="46"/>
      <c r="E22" s="45" t="s">
        <v>397</v>
      </c>
    </row>
    <row r="23" spans="2:5" ht="16.05" customHeight="1">
      <c r="B23" s="45" t="s">
        <v>398</v>
      </c>
      <c r="C23" s="46" t="s">
        <v>399</v>
      </c>
      <c r="D23" s="46"/>
      <c r="E23" s="45" t="s">
        <v>400</v>
      </c>
    </row>
    <row r="24" spans="2:5" ht="16.05" customHeight="1">
      <c r="B24" s="45" t="s">
        <v>401</v>
      </c>
      <c r="C24" s="46" t="s">
        <v>399</v>
      </c>
      <c r="D24" s="46"/>
      <c r="E24" s="45" t="s">
        <v>400</v>
      </c>
    </row>
    <row r="25" spans="2:5" ht="16.05" customHeight="1">
      <c r="B25" s="45" t="s">
        <v>402</v>
      </c>
      <c r="C25" s="46" t="s">
        <v>399</v>
      </c>
      <c r="D25" s="46"/>
      <c r="E25" s="45" t="s">
        <v>400</v>
      </c>
    </row>
    <row r="26" spans="2:5" ht="16.05" customHeight="1">
      <c r="B26" s="45" t="s">
        <v>403</v>
      </c>
      <c r="C26" s="46" t="s">
        <v>399</v>
      </c>
      <c r="D26" s="46"/>
      <c r="E26" s="45" t="s">
        <v>400</v>
      </c>
    </row>
    <row r="27" spans="2:5" ht="16.05" customHeight="1">
      <c r="B27" s="45" t="s">
        <v>404</v>
      </c>
      <c r="C27" s="46" t="s">
        <v>399</v>
      </c>
      <c r="D27" s="46"/>
      <c r="E27" s="45" t="s">
        <v>400</v>
      </c>
    </row>
    <row r="28" spans="2:5" ht="16.05" customHeight="1">
      <c r="B28" s="45" t="s">
        <v>405</v>
      </c>
      <c r="C28" s="46" t="s">
        <v>399</v>
      </c>
      <c r="D28" s="46"/>
      <c r="E28" s="45" t="s">
        <v>400</v>
      </c>
    </row>
    <row r="29" spans="2:5" ht="16.05" customHeight="1">
      <c r="B29" s="45" t="s">
        <v>406</v>
      </c>
      <c r="C29" s="46" t="s">
        <v>399</v>
      </c>
      <c r="D29" s="46"/>
      <c r="E29" s="45" t="s">
        <v>400</v>
      </c>
    </row>
    <row r="30" spans="2:5" ht="16.05" customHeight="1">
      <c r="B30" s="45" t="s">
        <v>407</v>
      </c>
      <c r="C30" s="46" t="s">
        <v>408</v>
      </c>
      <c r="D30" s="46"/>
      <c r="E30" s="45" t="s">
        <v>409</v>
      </c>
    </row>
  </sheetData>
  <mergeCells count="2">
    <mergeCell ref="B3:E3"/>
    <mergeCell ref="B5:E5"/>
  </mergeCells>
  <phoneticPr fontId="6" type="noConversion"/>
  <printOptions horizontalCentered="1"/>
  <pageMargins left="0.39370138888888889" right="0.39370138888888889" top="0.31496111111111108" bottom="0.31496111111111108"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867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97423B-9470-427D-878D-B13B6571B988}">
  <sheetPr codeName="Sheet29"/>
  <dimension ref="A1:I25"/>
  <sheetViews>
    <sheetView workbookViewId="0"/>
  </sheetViews>
  <sheetFormatPr defaultRowHeight="17.399999999999999"/>
  <cols>
    <col min="1" max="1" width="3.19921875" customWidth="1"/>
    <col min="2" max="2" width="7.69921875" customWidth="1"/>
    <col min="3" max="3" width="21.69921875" customWidth="1"/>
    <col min="4" max="4" width="19.69921875" customWidth="1"/>
    <col min="5" max="5" width="7.69921875" customWidth="1"/>
    <col min="6" max="6" width="9.69921875" customWidth="1"/>
  </cols>
  <sheetData>
    <row r="1" spans="1:9">
      <c r="A1" s="20"/>
    </row>
    <row r="2" spans="1:9">
      <c r="I2" s="36" t="s">
        <v>335</v>
      </c>
    </row>
    <row r="3" spans="1:9">
      <c r="B3" s="118" t="s">
        <v>410</v>
      </c>
      <c r="C3" s="116"/>
      <c r="D3" s="116"/>
      <c r="E3" s="116"/>
      <c r="F3" s="116"/>
      <c r="I3">
        <v>1</v>
      </c>
    </row>
    <row r="4" spans="1:9" ht="28.05" customHeight="1">
      <c r="B4" s="104" t="s">
        <v>411</v>
      </c>
      <c r="C4" s="104"/>
      <c r="D4" s="104"/>
      <c r="E4" s="104"/>
      <c r="F4" s="104"/>
    </row>
    <row r="5" spans="1:9">
      <c r="B5" s="29" t="s">
        <v>52</v>
      </c>
      <c r="C5" s="131" t="str">
        <f>IFERROR(IF(INDEX(기초자료입력!$B$44:$B$53,$I$3)=0,"",INDEX(기초자료입력!$B$44:$B$53,$I$3)),"")</f>
        <v/>
      </c>
      <c r="D5" s="131"/>
      <c r="E5" s="131"/>
      <c r="F5" s="113"/>
    </row>
    <row r="6" spans="1:9">
      <c r="B6" s="31"/>
      <c r="C6" s="31"/>
      <c r="D6" s="31"/>
      <c r="E6" s="31"/>
      <c r="F6" s="31"/>
    </row>
    <row r="7" spans="1:9">
      <c r="B7" s="32" t="s">
        <v>326</v>
      </c>
      <c r="C7" s="32" t="s">
        <v>75</v>
      </c>
      <c r="D7" s="32" t="s">
        <v>327</v>
      </c>
      <c r="E7" s="32" t="s">
        <v>76</v>
      </c>
      <c r="F7" s="32" t="s">
        <v>412</v>
      </c>
    </row>
    <row r="8" spans="1:9" ht="22.05" customHeight="1">
      <c r="B8" s="127" t="s">
        <v>340</v>
      </c>
      <c r="C8" s="92" t="s">
        <v>413</v>
      </c>
      <c r="D8" s="33" t="s">
        <v>342</v>
      </c>
      <c r="E8" s="29">
        <v>10</v>
      </c>
      <c r="F8" s="113" t="str">
        <f>IFERROR(IF(INDEX(기초자료입력!$B$44:$B$53,$I$3)=0,"",INDEX(기초자료입력!$N$44:$N$53,$I$3)),"")</f>
        <v/>
      </c>
    </row>
    <row r="9" spans="1:9" ht="22.05" customHeight="1">
      <c r="B9" s="127"/>
      <c r="C9" s="92"/>
      <c r="D9" s="33" t="s">
        <v>343</v>
      </c>
      <c r="E9" s="29">
        <v>8</v>
      </c>
      <c r="F9" s="113"/>
    </row>
    <row r="10" spans="1:9" ht="22.05" customHeight="1">
      <c r="B10" s="127"/>
      <c r="C10" s="92"/>
      <c r="D10" s="33" t="s">
        <v>414</v>
      </c>
      <c r="E10" s="29">
        <v>6</v>
      </c>
      <c r="F10" s="113"/>
    </row>
    <row r="11" spans="1:9" ht="22.05" customHeight="1">
      <c r="B11" s="127"/>
      <c r="C11" s="92"/>
      <c r="D11" s="33" t="s">
        <v>345</v>
      </c>
      <c r="E11" s="29">
        <v>4</v>
      </c>
      <c r="F11" s="113"/>
    </row>
    <row r="12" spans="1:9" ht="22.05" customHeight="1">
      <c r="B12" s="127"/>
      <c r="C12" s="92" t="s">
        <v>415</v>
      </c>
      <c r="D12" s="33" t="s">
        <v>347</v>
      </c>
      <c r="E12" s="29">
        <v>10</v>
      </c>
      <c r="F12" s="113" t="str">
        <f>IFERROR(IF(INDEX(기초자료입력!$B$44:$B$53,$I$3)=0,"",INDEX(기초자료입력!$O$44:$O$53,$I$3)),"")</f>
        <v/>
      </c>
    </row>
    <row r="13" spans="1:9" ht="22.05" customHeight="1">
      <c r="B13" s="127"/>
      <c r="C13" s="92"/>
      <c r="D13" s="33" t="s">
        <v>348</v>
      </c>
      <c r="E13" s="29">
        <v>8</v>
      </c>
      <c r="F13" s="113"/>
    </row>
    <row r="14" spans="1:9" ht="22.05" customHeight="1">
      <c r="B14" s="127"/>
      <c r="C14" s="92"/>
      <c r="D14" s="33" t="s">
        <v>349</v>
      </c>
      <c r="E14" s="29">
        <v>5</v>
      </c>
      <c r="F14" s="113"/>
    </row>
    <row r="15" spans="1:9" ht="22.05" customHeight="1">
      <c r="B15" s="127"/>
      <c r="C15" s="92" t="s">
        <v>416</v>
      </c>
      <c r="D15" s="33" t="s">
        <v>351</v>
      </c>
      <c r="E15" s="29">
        <v>15</v>
      </c>
      <c r="F15" s="113" t="str">
        <f>IFERROR(IF(INDEX(기초자료입력!$B$44:$B$53,$I$3)=0,"",INDEX(기초자료입력!$P$44:$P$53,$I$3)),"")</f>
        <v/>
      </c>
    </row>
    <row r="16" spans="1:9" ht="22.05" customHeight="1">
      <c r="B16" s="127"/>
      <c r="C16" s="92"/>
      <c r="D16" s="33" t="s">
        <v>417</v>
      </c>
      <c r="E16" s="29">
        <v>12</v>
      </c>
      <c r="F16" s="113"/>
    </row>
    <row r="17" spans="2:6" ht="22.05" customHeight="1">
      <c r="B17" s="127"/>
      <c r="C17" s="92"/>
      <c r="D17" s="33" t="s">
        <v>418</v>
      </c>
      <c r="E17" s="29">
        <v>9</v>
      </c>
      <c r="F17" s="113"/>
    </row>
    <row r="18" spans="2:6" ht="22.05" customHeight="1">
      <c r="B18" s="127"/>
      <c r="C18" s="92"/>
      <c r="D18" s="33" t="s">
        <v>419</v>
      </c>
      <c r="E18" s="29">
        <v>5</v>
      </c>
      <c r="F18" s="113"/>
    </row>
    <row r="19" spans="2:6" ht="22.05" customHeight="1">
      <c r="B19" s="127"/>
      <c r="C19" s="92" t="s">
        <v>355</v>
      </c>
      <c r="D19" s="33" t="s">
        <v>356</v>
      </c>
      <c r="E19" s="29">
        <v>15</v>
      </c>
      <c r="F19" s="113" t="str">
        <f>IFERROR(IF(INDEX(기초자료입력!$B$44:$B$53,$I$3)=0,"",INDEX(기초자료입력!$Q$44:$Q$53,$I$3)),"")</f>
        <v/>
      </c>
    </row>
    <row r="20" spans="2:6" ht="22.05" customHeight="1">
      <c r="B20" s="127"/>
      <c r="C20" s="92"/>
      <c r="D20" s="33" t="s">
        <v>357</v>
      </c>
      <c r="E20" s="29">
        <v>0</v>
      </c>
      <c r="F20" s="113"/>
    </row>
    <row r="21" spans="2:6">
      <c r="B21" s="90" t="s">
        <v>296</v>
      </c>
      <c r="C21" s="126"/>
      <c r="D21" s="126" t="s">
        <v>358</v>
      </c>
      <c r="E21" s="90"/>
      <c r="F21" s="32" t="str">
        <f>IF(OR(F8="",F12="",F15="",F19=""),"",F8+F12+F15+F19)</f>
        <v/>
      </c>
    </row>
    <row r="22" spans="2:6">
      <c r="B22" s="31"/>
      <c r="C22" s="31"/>
      <c r="D22" s="31"/>
      <c r="E22" s="31"/>
      <c r="F22" s="31"/>
    </row>
    <row r="23" spans="2:6" ht="28.05" customHeight="1">
      <c r="B23" s="104" t="s">
        <v>420</v>
      </c>
      <c r="C23" s="104"/>
      <c r="D23" s="104"/>
      <c r="E23" s="104"/>
      <c r="F23" s="104"/>
    </row>
    <row r="24" spans="2:6">
      <c r="B24" s="31"/>
      <c r="C24" s="31"/>
      <c r="D24" s="31"/>
      <c r="E24" s="31"/>
      <c r="F24" s="31"/>
    </row>
    <row r="25" spans="2:6">
      <c r="B25" s="125" t="str">
        <f>"업체명: "&amp;IFERROR(IF(INDEX(기초자료입력!$B$44:$B$53,$I$3)=0,"",INDEX(기초자료입력!$B$44:$B$53,$I$3)),"")&amp;"     작성자:                         대표자: "&amp;IFERROR(IF(INDEX(기초자료입력!$S$44:$S$53,$I$3)="","",INDEX(기초자료입력!$S$44:$S$53,$I$3)),"")&amp;"          (인)"</f>
        <v>업체명:      작성자:                         대표자:           (인)</v>
      </c>
      <c r="C25" s="125"/>
      <c r="D25" s="125"/>
      <c r="E25" s="125"/>
      <c r="F25" s="125"/>
    </row>
  </sheetData>
  <mergeCells count="16">
    <mergeCell ref="B25:F25"/>
    <mergeCell ref="B3:F3"/>
    <mergeCell ref="B4:F4"/>
    <mergeCell ref="C5:F5"/>
    <mergeCell ref="B8:B20"/>
    <mergeCell ref="C8:C11"/>
    <mergeCell ref="F8:F11"/>
    <mergeCell ref="C12:C14"/>
    <mergeCell ref="F12:F14"/>
    <mergeCell ref="C15:C18"/>
    <mergeCell ref="F15:F18"/>
    <mergeCell ref="C19:C20"/>
    <mergeCell ref="F19:F20"/>
    <mergeCell ref="B21:C21"/>
    <mergeCell ref="D21:E21"/>
    <mergeCell ref="B23:F23"/>
  </mergeCells>
  <phoneticPr fontId="6" type="noConversion"/>
  <printOptions horizontalCentered="1"/>
  <pageMargins left="0.50000076388888881" right="0.50000076388888881" top="0.50000076388888881" bottom="0.50000076388888881" header="0.31496111111111108" footer="0.31496111111111108"/>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2969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495F87-9C10-46B6-B0D8-DC028715B98A}">
  <sheetPr codeName="Sheet30"/>
  <dimension ref="A1:N25"/>
  <sheetViews>
    <sheetView workbookViewId="0"/>
  </sheetViews>
  <sheetFormatPr defaultRowHeight="17.399999999999999"/>
  <cols>
    <col min="1" max="1" width="2.69921875" customWidth="1"/>
    <col min="2" max="3" width="5.69921875" customWidth="1"/>
    <col min="4" max="5" width="8.69921875" customWidth="1"/>
    <col min="6" max="7" width="10.69921875" customWidth="1"/>
    <col min="8" max="8" width="8.69921875" customWidth="1"/>
    <col min="9" max="9" width="9.69921875" customWidth="1"/>
    <col min="10" max="12" width="8.69921875" customWidth="1"/>
  </cols>
  <sheetData>
    <row r="1" spans="1:14" ht="10.050000000000001" customHeight="1">
      <c r="A1" s="20"/>
    </row>
    <row r="2" spans="1:14" ht="10.050000000000001" customHeight="1">
      <c r="N2" s="36" t="s">
        <v>335</v>
      </c>
    </row>
    <row r="3" spans="1:14" ht="30" customHeight="1">
      <c r="B3" s="132" t="s">
        <v>421</v>
      </c>
      <c r="C3" s="127"/>
      <c r="D3" s="127"/>
      <c r="E3" s="127"/>
      <c r="F3" s="127"/>
      <c r="G3" s="127"/>
      <c r="H3" s="127"/>
      <c r="I3" s="127"/>
      <c r="J3" s="127"/>
      <c r="K3" s="127" t="s">
        <v>422</v>
      </c>
      <c r="L3" s="127"/>
      <c r="N3">
        <v>1</v>
      </c>
    </row>
    <row r="4" spans="1:14" ht="24" customHeight="1">
      <c r="B4" s="127"/>
      <c r="C4" s="127"/>
      <c r="D4" s="127"/>
      <c r="E4" s="127"/>
      <c r="F4" s="127"/>
      <c r="G4" s="127"/>
      <c r="H4" s="127"/>
      <c r="I4" s="127"/>
      <c r="J4" s="127"/>
      <c r="K4" s="127"/>
      <c r="L4" s="127"/>
    </row>
    <row r="5" spans="1:14">
      <c r="B5" s="31"/>
      <c r="C5" s="31"/>
      <c r="D5" s="31"/>
      <c r="E5" s="31"/>
      <c r="F5" s="31"/>
      <c r="G5" s="31"/>
      <c r="H5" s="31"/>
      <c r="I5" s="31"/>
      <c r="J5" s="31"/>
      <c r="K5" s="31"/>
      <c r="L5" s="31"/>
    </row>
    <row r="6" spans="1:14" ht="22.95" customHeight="1">
      <c r="B6" s="127" t="s">
        <v>423</v>
      </c>
      <c r="C6" s="127"/>
      <c r="D6" s="127" t="s">
        <v>424</v>
      </c>
      <c r="E6" s="113"/>
      <c r="F6" s="113" t="str">
        <f>IFERROR(IF(INDEX(기초자료입력!$B$44:$B$53,$N$3)=0,"",INDEX(기초자료입력!$B$44:$B$53,$N$3)),"")</f>
        <v/>
      </c>
      <c r="G6" s="113"/>
      <c r="H6" s="113"/>
      <c r="I6" s="29" t="s">
        <v>425</v>
      </c>
      <c r="J6" s="113"/>
      <c r="K6" s="113"/>
      <c r="L6" s="113"/>
    </row>
    <row r="7" spans="1:14" ht="22.95" customHeight="1">
      <c r="B7" s="127"/>
      <c r="C7" s="127"/>
      <c r="D7" s="113" t="s">
        <v>426</v>
      </c>
      <c r="E7" s="113"/>
      <c r="F7" s="113"/>
      <c r="G7" s="113"/>
      <c r="H7" s="113"/>
      <c r="I7" s="29" t="s">
        <v>427</v>
      </c>
      <c r="J7" s="113"/>
      <c r="K7" s="113"/>
      <c r="L7" s="113"/>
    </row>
    <row r="8" spans="1:14" ht="22.95" customHeight="1">
      <c r="B8" s="127"/>
      <c r="C8" s="127"/>
      <c r="D8" s="113" t="s">
        <v>377</v>
      </c>
      <c r="E8" s="113"/>
      <c r="F8" s="113" t="str">
        <f>IFERROR(IF(INDEX(기초자료입력!$S$44:$S$53,$N$3)="","",INDEX(기초자료입력!$S$44:$S$53,$N$3)),"")</f>
        <v/>
      </c>
      <c r="G8" s="113"/>
      <c r="H8" s="113"/>
      <c r="I8" s="29" t="s">
        <v>428</v>
      </c>
      <c r="J8" s="113"/>
      <c r="K8" s="113"/>
      <c r="L8" s="113"/>
    </row>
    <row r="9" spans="1:14" ht="22.95" customHeight="1">
      <c r="B9" s="47"/>
      <c r="C9" s="47"/>
      <c r="D9" s="47"/>
      <c r="E9" s="47"/>
      <c r="F9" s="47"/>
      <c r="G9" s="47"/>
      <c r="H9" s="47"/>
      <c r="I9" s="47"/>
      <c r="J9" s="47"/>
      <c r="K9" s="47"/>
      <c r="L9" s="47"/>
    </row>
    <row r="10" spans="1:14" ht="22.95" customHeight="1">
      <c r="B10" s="127" t="s">
        <v>429</v>
      </c>
      <c r="C10" s="127"/>
      <c r="D10" s="127" t="s">
        <v>430</v>
      </c>
      <c r="E10" s="113"/>
      <c r="F10" s="113" t="str">
        <f>IF(기초자료입력!$C$4="","",기초자료입력!$C$4&amp;" 공고 제20○○-00호")</f>
        <v/>
      </c>
      <c r="G10" s="113"/>
      <c r="H10" s="113"/>
      <c r="I10" s="29" t="s">
        <v>431</v>
      </c>
      <c r="J10" s="113"/>
      <c r="K10" s="113"/>
      <c r="L10" s="113"/>
    </row>
    <row r="11" spans="1:14" ht="22.95" customHeight="1">
      <c r="B11" s="127"/>
      <c r="C11" s="127"/>
      <c r="D11" s="113" t="s">
        <v>432</v>
      </c>
      <c r="E11" s="113"/>
      <c r="F11" s="113" t="str">
        <f>IF(OR(기초자료입력!$C$4="",기초자료입력!$C$5=""),"",기초자료입력!$C$4&amp;" "&amp;기초자료입력!$C$5&amp;"학년도 교복 학교주관 구매 입찰")</f>
        <v/>
      </c>
      <c r="G11" s="113"/>
      <c r="H11" s="113"/>
      <c r="I11" s="113"/>
      <c r="J11" s="113"/>
      <c r="K11" s="113"/>
      <c r="L11" s="113"/>
    </row>
    <row r="12" spans="1:14">
      <c r="B12" s="47"/>
      <c r="C12" s="47"/>
      <c r="D12" s="47"/>
      <c r="E12" s="47"/>
      <c r="F12" s="47"/>
      <c r="G12" s="47"/>
      <c r="H12" s="47"/>
      <c r="I12" s="47"/>
      <c r="J12" s="47"/>
      <c r="K12" s="47"/>
      <c r="L12" s="47"/>
    </row>
    <row r="13" spans="1:14" ht="40.049999999999997" customHeight="1">
      <c r="B13" s="113" t="s">
        <v>433</v>
      </c>
      <c r="C13" s="113"/>
      <c r="D13" s="127" t="s">
        <v>434</v>
      </c>
      <c r="E13" s="127"/>
      <c r="F13" s="127"/>
      <c r="G13" s="127"/>
      <c r="H13" s="127"/>
      <c r="I13" s="127"/>
      <c r="J13" s="127"/>
      <c r="K13" s="127"/>
      <c r="L13" s="127"/>
    </row>
    <row r="14" spans="1:14">
      <c r="B14" s="47"/>
      <c r="C14" s="47"/>
      <c r="D14" s="47"/>
      <c r="E14" s="47"/>
      <c r="F14" s="47"/>
      <c r="G14" s="47"/>
      <c r="H14" s="47"/>
      <c r="I14" s="47"/>
      <c r="J14" s="47"/>
      <c r="K14" s="47"/>
      <c r="L14" s="47"/>
    </row>
    <row r="15" spans="1:14" ht="22.05" customHeight="1">
      <c r="B15" s="127" t="s">
        <v>435</v>
      </c>
      <c r="C15" s="127"/>
      <c r="D15" s="127" t="s">
        <v>436</v>
      </c>
      <c r="E15" s="127"/>
      <c r="F15" s="127"/>
      <c r="G15" s="127"/>
      <c r="H15" s="127"/>
      <c r="I15" s="127" t="s">
        <v>437</v>
      </c>
      <c r="J15" s="127"/>
      <c r="K15" s="127"/>
      <c r="L15" s="127"/>
    </row>
    <row r="16" spans="1:14" ht="22.05" customHeight="1">
      <c r="B16" s="127"/>
      <c r="C16" s="127"/>
      <c r="D16" s="127"/>
      <c r="E16" s="127"/>
      <c r="F16" s="127"/>
      <c r="G16" s="127"/>
      <c r="H16" s="127"/>
      <c r="I16" s="127"/>
      <c r="J16" s="127"/>
      <c r="K16" s="127"/>
      <c r="L16" s="127"/>
    </row>
    <row r="17" spans="2:12" ht="22.05" customHeight="1">
      <c r="B17" s="127"/>
      <c r="C17" s="127"/>
      <c r="D17" s="127"/>
      <c r="E17" s="127"/>
      <c r="F17" s="127"/>
      <c r="G17" s="127"/>
      <c r="H17" s="127"/>
      <c r="I17" s="127"/>
      <c r="J17" s="127"/>
      <c r="K17" s="127"/>
      <c r="L17" s="127"/>
    </row>
    <row r="18" spans="2:12" ht="22.05" customHeight="1">
      <c r="B18" s="127"/>
      <c r="C18" s="127"/>
      <c r="D18" s="127"/>
      <c r="E18" s="127"/>
      <c r="F18" s="127"/>
      <c r="G18" s="127"/>
      <c r="H18" s="127"/>
      <c r="I18" s="127"/>
      <c r="J18" s="127"/>
      <c r="K18" s="127"/>
      <c r="L18" s="127"/>
    </row>
    <row r="19" spans="2:12">
      <c r="B19" s="31"/>
      <c r="C19" s="31"/>
      <c r="D19" s="31"/>
      <c r="E19" s="31"/>
      <c r="F19" s="31"/>
      <c r="G19" s="31"/>
      <c r="H19" s="31"/>
      <c r="I19" s="31"/>
      <c r="J19" s="31"/>
      <c r="K19" s="31"/>
      <c r="L19" s="31"/>
    </row>
    <row r="20" spans="2:12" ht="42" customHeight="1">
      <c r="B20" s="104" t="str">
        <f>"본인은 위의 번호로 공고한 "&amp;IF(기초자료입력!$C$4="","○○○○학교",기초자료입력!$C$4)&amp;"의 2단계 입찰(규격·가격 동시 입찰)에 참가하고자 지방자치단체 입찰 및 계약집행기준 제8장 입찰유의서, 제9장 계약일반조건 및 입찰공고 사항을 모두 승낙하고 별첨 서류를 첨부하여 입찰 참가 신청을 합니다."</f>
        <v>본인은 위의 번호로 공고한 ○○○○학교의 2단계 입찰(규격·가격 동시 입찰)에 참가하고자 지방자치단체 입찰 및 계약집행기준 제8장 입찰유의서, 제9장 계약일반조건 및 입찰공고 사항을 모두 승낙하고 별첨 서류를 첨부하여 입찰 참가 신청을 합니다.</v>
      </c>
      <c r="C20" s="104"/>
      <c r="D20" s="104"/>
      <c r="E20" s="104"/>
      <c r="F20" s="104"/>
      <c r="G20" s="104"/>
      <c r="H20" s="104"/>
      <c r="I20" s="104"/>
      <c r="J20" s="104"/>
      <c r="K20" s="104"/>
      <c r="L20" s="104"/>
    </row>
    <row r="21" spans="2:12">
      <c r="B21" s="125" t="s">
        <v>438</v>
      </c>
      <c r="C21" s="125"/>
      <c r="D21" s="125"/>
      <c r="E21" s="125"/>
      <c r="F21" s="125"/>
      <c r="G21" s="125"/>
      <c r="H21" s="125"/>
      <c r="I21" s="125"/>
      <c r="J21" s="125"/>
      <c r="K21" s="125"/>
      <c r="L21" s="125"/>
    </row>
    <row r="22" spans="2:12">
      <c r="B22" s="31"/>
      <c r="C22" s="31"/>
      <c r="D22" s="31"/>
      <c r="E22" s="31"/>
      <c r="F22" s="31"/>
      <c r="G22" s="31"/>
      <c r="H22" s="31"/>
      <c r="I22" s="31"/>
      <c r="J22" s="31"/>
      <c r="K22" s="31"/>
      <c r="L22" s="31"/>
    </row>
    <row r="23" spans="2:12">
      <c r="B23" s="125" t="str">
        <f>IF(OR(기초자료입력!$C$4="",기초자료입력!$C$5=""),"","20"&amp;RIGHT(기초자료입력!$C$5,2)&amp;". . .")</f>
        <v/>
      </c>
      <c r="C23" s="125"/>
      <c r="D23" s="125"/>
      <c r="E23" s="125"/>
      <c r="F23" s="125"/>
      <c r="G23" s="125"/>
      <c r="H23" s="125"/>
      <c r="I23" s="125"/>
      <c r="J23" s="125"/>
      <c r="K23" s="125"/>
      <c r="L23" s="125"/>
    </row>
    <row r="24" spans="2:12">
      <c r="B24" s="125" t="str">
        <f>"업체명: "&amp;IFERROR(IF(INDEX(기초자료입력!$B$44:$B$53,$N$3)=0,"",INDEX(기초자료입력!$B$44:$B$53,$N$3)),"")&amp;"                 대표자: "&amp;IFERROR(IF(INDEX(기초자료입력!$S$44:$S$53,$N$3)="","",INDEX(기초자료입력!$S$44:$S$53,$N$3)),"")&amp;"          (인)"</f>
        <v>업체명:                  대표자:           (인)</v>
      </c>
      <c r="C24" s="125"/>
      <c r="D24" s="125"/>
      <c r="E24" s="125"/>
      <c r="F24" s="125"/>
      <c r="G24" s="125"/>
      <c r="H24" s="125"/>
      <c r="I24" s="125"/>
      <c r="J24" s="125"/>
      <c r="K24" s="125"/>
      <c r="L24" s="125"/>
    </row>
    <row r="25" spans="2:12">
      <c r="B25" s="125" t="str">
        <f>IF(기초자료입력!$C$4="","○○○○학교장 귀하",기초자료입력!$C$4&amp;"장 귀하")</f>
        <v>○○○○학교장 귀하</v>
      </c>
      <c r="C25" s="125"/>
      <c r="D25" s="125"/>
      <c r="E25" s="125"/>
      <c r="F25" s="125"/>
      <c r="G25" s="125"/>
      <c r="H25" s="125"/>
      <c r="I25" s="125"/>
      <c r="J25" s="125"/>
      <c r="K25" s="125"/>
      <c r="L25" s="125"/>
    </row>
  </sheetData>
  <mergeCells count="28">
    <mergeCell ref="B3:J4"/>
    <mergeCell ref="K3:L4"/>
    <mergeCell ref="B6:C8"/>
    <mergeCell ref="D6:E6"/>
    <mergeCell ref="F6:H6"/>
    <mergeCell ref="J6:L6"/>
    <mergeCell ref="D7:E7"/>
    <mergeCell ref="F7:H7"/>
    <mergeCell ref="J7:L7"/>
    <mergeCell ref="D8:E8"/>
    <mergeCell ref="F8:H8"/>
    <mergeCell ref="J8:L8"/>
    <mergeCell ref="B10:C11"/>
    <mergeCell ref="D10:E10"/>
    <mergeCell ref="F10:H10"/>
    <mergeCell ref="J10:L10"/>
    <mergeCell ref="D11:E11"/>
    <mergeCell ref="F11:L11"/>
    <mergeCell ref="B21:L21"/>
    <mergeCell ref="B23:L23"/>
    <mergeCell ref="B24:L24"/>
    <mergeCell ref="B25:L25"/>
    <mergeCell ref="B13:C13"/>
    <mergeCell ref="D13:L13"/>
    <mergeCell ref="B15:C18"/>
    <mergeCell ref="D15:H18"/>
    <mergeCell ref="I15:L18"/>
    <mergeCell ref="B20:L20"/>
  </mergeCells>
  <phoneticPr fontId="6" type="noConversion"/>
  <printOptions horizontalCentered="1"/>
  <pageMargins left="0.31496111111111108" right="0.31496111111111108" top="0.31496111111111108" bottom="0.31496111111111108" header="0.19685069444444445" footer="0.19685069444444445"/>
  <pageSetup paperSize="9" fitToWidth="0"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106680</xdr:rowOff>
                  </to>
                </anchor>
              </controlPr>
            </control>
          </mc:Choice>
        </mc:AlternateContent>
        <mc:AlternateContent xmlns:mc="http://schemas.openxmlformats.org/markup-compatibility/2006">
          <mc:Choice Requires="x14">
            <control shapeId="3072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106680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8EBEE-882D-4AC4-8997-AAA783236CE3}">
  <sheetPr codeName="Sheet31"/>
  <dimension ref="A1:G20"/>
  <sheetViews>
    <sheetView workbookViewId="0"/>
  </sheetViews>
  <sheetFormatPr defaultRowHeight="17.399999999999999"/>
  <cols>
    <col min="1" max="1" width="3.19921875" customWidth="1"/>
    <col min="2" max="2" width="24.69921875" customWidth="1"/>
    <col min="3" max="4" width="10.69921875" customWidth="1"/>
    <col min="5" max="5" width="25.69921875" customWidth="1"/>
  </cols>
  <sheetData>
    <row r="1" spans="1:7" ht="10.050000000000001" customHeight="1">
      <c r="A1" s="20"/>
    </row>
    <row r="2" spans="1:7" ht="10.050000000000001" customHeight="1">
      <c r="G2" s="36" t="s">
        <v>335</v>
      </c>
    </row>
    <row r="3" spans="1:7" ht="22.05" customHeight="1">
      <c r="B3" s="108" t="s">
        <v>439</v>
      </c>
      <c r="C3" s="133"/>
      <c r="D3" s="133"/>
      <c r="E3" s="133"/>
      <c r="G3">
        <v>1</v>
      </c>
    </row>
    <row r="4" spans="1:7" ht="22.05" customHeight="1">
      <c r="B4" s="133"/>
      <c r="C4" s="133"/>
      <c r="D4" s="133"/>
      <c r="E4" s="133"/>
    </row>
    <row r="5" spans="1:7" ht="28.05" customHeight="1">
      <c r="B5" s="111" t="s">
        <v>440</v>
      </c>
      <c r="C5" s="111"/>
      <c r="D5" s="111"/>
      <c r="E5" s="111"/>
    </row>
    <row r="6" spans="1:7" ht="7.95" customHeight="1">
      <c r="B6" s="21"/>
      <c r="C6" s="21"/>
      <c r="D6" s="21"/>
      <c r="E6" s="21"/>
    </row>
    <row r="7" spans="1:7" ht="19.95" customHeight="1">
      <c r="B7" s="48" t="s">
        <v>441</v>
      </c>
      <c r="C7" s="134" t="str">
        <f>IFERROR(IF(INDEX(기초자료입력!$B$44:$B$53,$G$3)=0,"",INDEX(기초자료입력!$B$44:$B$53,$G$3)),"")</f>
        <v/>
      </c>
      <c r="D7" s="134"/>
      <c r="E7" s="134"/>
    </row>
    <row r="8" spans="1:7" ht="19.95" customHeight="1">
      <c r="B8" s="48" t="s">
        <v>442</v>
      </c>
      <c r="C8" s="134"/>
      <c r="D8" s="134"/>
      <c r="E8" s="134"/>
    </row>
    <row r="9" spans="1:7" ht="19.95" customHeight="1">
      <c r="B9" s="48" t="s">
        <v>443</v>
      </c>
      <c r="C9" s="134"/>
      <c r="D9" s="134"/>
      <c r="E9" s="134"/>
    </row>
    <row r="10" spans="1:7" ht="7.95" customHeight="1">
      <c r="B10" s="21"/>
      <c r="C10" s="21"/>
      <c r="D10" s="21"/>
      <c r="E10" s="21"/>
    </row>
    <row r="11" spans="1:7" ht="18" customHeight="1">
      <c r="B11" s="111" t="str">
        <f>"위 사업자는 전북특별자치도교육청의 교복 가격 안정화를 위한 교복 ‘학교주관구매’ 실시에 따라, "&amp;IF(기초자료입력!$C$4="","○○○○학교",기초자료입력!$C$4)&amp;"(주소지 전북 )가 시행하는 교복 ‘학교주관구매’가 원만히 추진될 수 있도록 20○○.00.00. 일자로 공고한 입찰에 참가하기에 신고합니다."</f>
        <v>위 사업자는 전북특별자치도교육청의 교복 가격 안정화를 위한 교복 ‘학교주관구매’ 실시에 따라, ○○○○학교(주소지 전북 )가 시행하는 교복 ‘학교주관구매’가 원만히 추진될 수 있도록 20○○.00.00. 일자로 공고한 입찰에 참가하기에 신고합니다.</v>
      </c>
      <c r="C11" s="111"/>
      <c r="D11" s="111"/>
      <c r="E11" s="111"/>
    </row>
    <row r="12" spans="1:7" ht="18" customHeight="1">
      <c r="B12" s="111"/>
      <c r="C12" s="111"/>
      <c r="D12" s="111"/>
      <c r="E12" s="111"/>
    </row>
    <row r="13" spans="1:7" ht="18" customHeight="1">
      <c r="B13" s="111"/>
      <c r="C13" s="111"/>
      <c r="D13" s="111"/>
      <c r="E13" s="111"/>
    </row>
    <row r="14" spans="1:7" ht="7.95" customHeight="1">
      <c r="B14" s="49"/>
      <c r="C14" s="49"/>
      <c r="D14" s="49"/>
      <c r="E14" s="49"/>
    </row>
    <row r="15" spans="1:7" ht="22.05" customHeight="1">
      <c r="B15" s="111" t="s">
        <v>444</v>
      </c>
      <c r="C15" s="111"/>
      <c r="D15" s="111"/>
      <c r="E15" s="111"/>
    </row>
    <row r="16" spans="1:7" ht="22.05" customHeight="1">
      <c r="B16" s="111"/>
      <c r="C16" s="111"/>
      <c r="D16" s="111"/>
      <c r="E16" s="111"/>
    </row>
    <row r="17" spans="2:5" ht="7.95" customHeight="1">
      <c r="B17" s="21"/>
      <c r="C17" s="21"/>
      <c r="D17" s="21"/>
      <c r="E17" s="21"/>
    </row>
    <row r="18" spans="2:5" ht="19.95" customHeight="1">
      <c r="B18" s="133" t="str">
        <f>IF(기초자료입력!$C$5="","20○○. ○○. ○○","20"&amp;RIGHT(기초자료입력!$C$5,2)&amp;". ○○. ○○")</f>
        <v>20○○. ○○. ○○</v>
      </c>
      <c r="C18" s="133"/>
      <c r="D18" s="133"/>
      <c r="E18" s="133"/>
    </row>
    <row r="19" spans="2:5" ht="19.95" customHeight="1">
      <c r="B19" s="133" t="s">
        <v>445</v>
      </c>
      <c r="C19" s="133"/>
      <c r="D19" s="133"/>
      <c r="E19" s="133"/>
    </row>
    <row r="20" spans="2:5" ht="19.95" customHeight="1">
      <c r="B20" s="133" t="str">
        <f>IF(기초자료입력!$C$4="","○○○○학교장 귀하",기초자료입력!$C$4&amp;"장 귀하")</f>
        <v>○○○○학교장 귀하</v>
      </c>
      <c r="C20" s="133"/>
      <c r="D20" s="133"/>
      <c r="E20" s="133"/>
    </row>
  </sheetData>
  <mergeCells count="10">
    <mergeCell ref="B15:E16"/>
    <mergeCell ref="B18:E18"/>
    <mergeCell ref="B19:E19"/>
    <mergeCell ref="B20:E20"/>
    <mergeCell ref="B3:E4"/>
    <mergeCell ref="B5:E5"/>
    <mergeCell ref="C7:E7"/>
    <mergeCell ref="C8:E8"/>
    <mergeCell ref="C9:E9"/>
    <mergeCell ref="B11:E13"/>
  </mergeCells>
  <phoneticPr fontId="6" type="noConversion"/>
  <printOptions horizontalCentered="1"/>
  <pageMargins left="0.39370138888888889" right="0.39370138888888889" top="0.31496111111111108" bottom="0.31496111111111108"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106680</xdr:rowOff>
                  </to>
                </anchor>
              </controlPr>
            </control>
          </mc:Choice>
        </mc:AlternateContent>
        <mc:AlternateContent xmlns:mc="http://schemas.openxmlformats.org/markup-compatibility/2006">
          <mc:Choice Requires="x14">
            <control shapeId="3174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106680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516B2E-CDEE-42C6-BD74-FB2C2DBEF315}">
  <sheetPr codeName="Sheet32"/>
  <dimension ref="B1:G31"/>
  <sheetViews>
    <sheetView workbookViewId="0"/>
  </sheetViews>
  <sheetFormatPr defaultRowHeight="17.399999999999999"/>
  <cols>
    <col min="1" max="1" width="3.19921875" customWidth="1"/>
    <col min="2" max="2" width="19.69921875" customWidth="1"/>
    <col min="3" max="3" width="17.69921875" customWidth="1"/>
    <col min="4" max="4" width="14.69921875" customWidth="1"/>
    <col min="5" max="5" width="18.69921875" customWidth="1"/>
  </cols>
  <sheetData>
    <row r="1" spans="2:7" ht="12" customHeight="1">
      <c r="B1" s="136" t="s">
        <v>446</v>
      </c>
      <c r="C1" s="137"/>
      <c r="D1" s="137"/>
      <c r="E1" s="137"/>
    </row>
    <row r="2" spans="2:7" ht="7.95" customHeight="1">
      <c r="G2" s="36" t="s">
        <v>335</v>
      </c>
    </row>
    <row r="3" spans="2:7" ht="25.05" customHeight="1">
      <c r="B3" s="138" t="str">
        <f>IF(기초자료입력!$C$5="","20○○학년도","20"&amp;RIGHT(기초자료입력!$C$5,2)&amp;"학년도")&amp;" "&amp;IF(기초자료입력!$C$4="","○○○○학교",기초자료입력!$C$4)&amp;" 교복(동·하복) 납품 제안서"</f>
        <v>20○○학년도 ○○○○학교 교복(동·하복) 납품 제안서</v>
      </c>
      <c r="C3" s="139"/>
      <c r="D3" s="139"/>
      <c r="E3" s="139"/>
      <c r="G3">
        <v>1</v>
      </c>
    </row>
    <row r="4" spans="2:7" ht="25.05" customHeight="1">
      <c r="B4" s="139"/>
      <c r="C4" s="139"/>
      <c r="D4" s="139"/>
      <c r="E4" s="139"/>
    </row>
    <row r="5" spans="2:7" ht="28.05" customHeight="1">
      <c r="B5" s="130" t="s">
        <v>447</v>
      </c>
      <c r="C5" s="103"/>
      <c r="D5" s="103"/>
      <c r="E5" s="103"/>
    </row>
    <row r="6" spans="2:7" ht="6" customHeight="1">
      <c r="B6" s="21"/>
      <c r="C6" s="21"/>
      <c r="D6" s="21"/>
      <c r="E6" s="21"/>
    </row>
    <row r="7" spans="2:7" ht="18" customHeight="1">
      <c r="B7" s="135" t="s">
        <v>448</v>
      </c>
      <c r="C7" s="134"/>
      <c r="D7" s="134"/>
      <c r="E7" s="134"/>
    </row>
    <row r="8" spans="2:7" ht="18" customHeight="1">
      <c r="B8" s="48" t="s">
        <v>449</v>
      </c>
      <c r="C8" s="134" t="str">
        <f>IFERROR(IF(INDEX(기초자료입력!$B$44:$B$53,$G$3)=0,"",INDEX(기초자료입력!$B$44:$B$53,$G$3)),"")</f>
        <v/>
      </c>
      <c r="D8" s="134"/>
      <c r="E8" s="134"/>
    </row>
    <row r="9" spans="2:7" ht="18" customHeight="1">
      <c r="B9" s="48" t="s">
        <v>377</v>
      </c>
      <c r="C9" s="134" t="str">
        <f>IFERROR(IF(INDEX(기초자료입력!$S$44:$S$53,$G$3)="","",INDEX(기초자료입력!$S$44:$S$53,$G$3)),"")</f>
        <v/>
      </c>
      <c r="D9" s="134"/>
      <c r="E9" s="134"/>
    </row>
    <row r="10" spans="2:7" ht="18" customHeight="1">
      <c r="B10" s="48" t="s">
        <v>450</v>
      </c>
      <c r="C10" s="134"/>
      <c r="D10" s="134"/>
      <c r="E10" s="134"/>
    </row>
    <row r="11" spans="2:7" ht="18" customHeight="1">
      <c r="B11" s="48" t="s">
        <v>308</v>
      </c>
      <c r="C11" s="134"/>
      <c r="D11" s="134"/>
      <c r="E11" s="134"/>
    </row>
    <row r="12" spans="2:7" ht="18" customHeight="1">
      <c r="B12" s="48" t="s">
        <v>378</v>
      </c>
      <c r="C12" s="134" t="str">
        <f>"전화: "&amp;IFERROR(IF(INDEX(기초자료입력!$X$44:$X$53,$G$3)="","",INDEX(기초자료입력!$X$44:$X$53,$G$3)),"")&amp;"                         FAX:"</f>
        <v>전화:                          FAX:</v>
      </c>
      <c r="D12" s="134"/>
      <c r="E12" s="134"/>
    </row>
    <row r="13" spans="2:7" ht="18" customHeight="1">
      <c r="B13" s="48" t="s">
        <v>451</v>
      </c>
      <c r="C13" s="134"/>
      <c r="D13" s="134"/>
      <c r="E13" s="134"/>
    </row>
    <row r="14" spans="2:7" ht="18" customHeight="1">
      <c r="B14" s="48" t="s">
        <v>452</v>
      </c>
      <c r="C14" s="134"/>
      <c r="D14" s="134"/>
      <c r="E14" s="134"/>
    </row>
    <row r="15" spans="2:7" ht="18" customHeight="1">
      <c r="B15" s="48" t="s">
        <v>453</v>
      </c>
      <c r="C15" s="134"/>
      <c r="D15" s="134"/>
      <c r="E15" s="134"/>
    </row>
    <row r="16" spans="2:7" ht="24" customHeight="1">
      <c r="B16" s="134" t="s">
        <v>454</v>
      </c>
      <c r="C16" s="134"/>
      <c r="D16" s="134"/>
      <c r="E16" s="134"/>
    </row>
    <row r="17" spans="2:5" ht="24" customHeight="1">
      <c r="B17" s="134"/>
      <c r="C17" s="134"/>
      <c r="D17" s="134"/>
      <c r="E17" s="134"/>
    </row>
    <row r="18" spans="2:5" ht="6" customHeight="1">
      <c r="B18" s="49"/>
      <c r="C18" s="49"/>
      <c r="D18" s="49"/>
      <c r="E18" s="49"/>
    </row>
    <row r="19" spans="2:5" ht="18" customHeight="1">
      <c r="B19" s="135" t="s">
        <v>455</v>
      </c>
      <c r="C19" s="134"/>
      <c r="D19" s="134"/>
      <c r="E19" s="134"/>
    </row>
    <row r="20" spans="2:5" ht="16.05" customHeight="1">
      <c r="B20" s="111" t="s">
        <v>456</v>
      </c>
      <c r="C20" s="111"/>
      <c r="D20" s="111"/>
      <c r="E20" s="111"/>
    </row>
    <row r="21" spans="2:5" ht="16.05" customHeight="1">
      <c r="B21" s="111"/>
      <c r="C21" s="111"/>
      <c r="D21" s="111"/>
      <c r="E21" s="111"/>
    </row>
    <row r="22" spans="2:5" ht="16.05" customHeight="1">
      <c r="B22" s="111"/>
      <c r="C22" s="111"/>
      <c r="D22" s="111"/>
      <c r="E22" s="111"/>
    </row>
    <row r="23" spans="2:5" ht="16.05" customHeight="1">
      <c r="B23" s="111"/>
      <c r="C23" s="111"/>
      <c r="D23" s="111"/>
      <c r="E23" s="111"/>
    </row>
    <row r="24" spans="2:5" ht="16.05" customHeight="1">
      <c r="B24" s="111"/>
      <c r="C24" s="111"/>
      <c r="D24" s="111"/>
      <c r="E24" s="111"/>
    </row>
    <row r="25" spans="2:5" ht="16.05" customHeight="1">
      <c r="B25" s="111"/>
      <c r="C25" s="111"/>
      <c r="D25" s="111"/>
      <c r="E25" s="111"/>
    </row>
    <row r="26" spans="2:5" ht="16.05" customHeight="1">
      <c r="B26" s="111"/>
      <c r="C26" s="111"/>
      <c r="D26" s="111"/>
      <c r="E26" s="111"/>
    </row>
    <row r="27" spans="2:5" ht="16.05" customHeight="1">
      <c r="B27" s="111"/>
      <c r="C27" s="111"/>
      <c r="D27" s="111"/>
      <c r="E27" s="111"/>
    </row>
    <row r="28" spans="2:5" ht="6" customHeight="1">
      <c r="B28" s="49"/>
      <c r="C28" s="49"/>
      <c r="D28" s="49"/>
      <c r="E28" s="49"/>
    </row>
    <row r="29" spans="2:5" ht="18" customHeight="1">
      <c r="B29" s="133" t="str">
        <f>IF(기초자료입력!$C$5="","20○○. ○○. ○○","20"&amp;RIGHT(기초자료입력!$C$5,2)&amp;". ○○. ○○")</f>
        <v>20○○. ○○. ○○</v>
      </c>
      <c r="C29" s="133"/>
      <c r="D29" s="133"/>
      <c r="E29" s="133"/>
    </row>
    <row r="30" spans="2:5" ht="18" customHeight="1">
      <c r="B30" s="133" t="s">
        <v>457</v>
      </c>
      <c r="C30" s="133"/>
      <c r="D30" s="133"/>
      <c r="E30" s="133"/>
    </row>
    <row r="31" spans="2:5" ht="18" customHeight="1">
      <c r="B31" s="133" t="str">
        <f>IF(기초자료입력!$C$4="","○○○○학교장 귀하",기초자료입력!$C$4&amp;"장 귀하")</f>
        <v>○○○○학교장 귀하</v>
      </c>
      <c r="C31" s="133"/>
      <c r="D31" s="133"/>
      <c r="E31" s="133"/>
    </row>
  </sheetData>
  <mergeCells count="18">
    <mergeCell ref="C9:E9"/>
    <mergeCell ref="B1:E1"/>
    <mergeCell ref="B3:E4"/>
    <mergeCell ref="B5:E5"/>
    <mergeCell ref="B7:E7"/>
    <mergeCell ref="C8:E8"/>
    <mergeCell ref="B31:E31"/>
    <mergeCell ref="C10:E10"/>
    <mergeCell ref="C11:E11"/>
    <mergeCell ref="C12:E12"/>
    <mergeCell ref="C13:E13"/>
    <mergeCell ref="C14:E14"/>
    <mergeCell ref="C15:E15"/>
    <mergeCell ref="B16:E17"/>
    <mergeCell ref="B19:E19"/>
    <mergeCell ref="B20:E27"/>
    <mergeCell ref="B29:E29"/>
    <mergeCell ref="B30:E30"/>
  </mergeCells>
  <phoneticPr fontId="6" type="noConversion"/>
  <printOptions horizontalCentered="1"/>
  <pageMargins left="0.35433124999999999" right="0.35433124999999999" top="0.27559097222222223" bottom="0.27559097222222223"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3277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BEF59D-165A-414D-8CD7-E93D8BFA66D8}">
  <sheetPr codeName="Sheet33"/>
  <dimension ref="B1:I25"/>
  <sheetViews>
    <sheetView workbookViewId="0"/>
  </sheetViews>
  <sheetFormatPr defaultRowHeight="17.399999999999999"/>
  <cols>
    <col min="1" max="1" width="3.19921875" customWidth="1"/>
    <col min="2" max="2" width="6.69921875" customWidth="1"/>
    <col min="3" max="3" width="20.69921875" customWidth="1"/>
    <col min="4" max="4" width="14.69921875" customWidth="1"/>
    <col min="5" max="5" width="12.69921875" customWidth="1"/>
    <col min="6" max="6" width="15.69921875" customWidth="1"/>
    <col min="7" max="7" width="13.69921875" customWidth="1"/>
  </cols>
  <sheetData>
    <row r="1" spans="2:9" ht="12" customHeight="1">
      <c r="B1" s="136" t="s">
        <v>458</v>
      </c>
      <c r="C1" s="137"/>
      <c r="D1" s="137"/>
      <c r="E1" s="137"/>
      <c r="F1" s="137"/>
      <c r="G1" s="137"/>
    </row>
    <row r="2" spans="2:9" ht="7.95" customHeight="1">
      <c r="I2" s="36" t="s">
        <v>335</v>
      </c>
    </row>
    <row r="3" spans="2:9" ht="24" customHeight="1">
      <c r="B3" s="108" t="s">
        <v>199</v>
      </c>
      <c r="C3" s="133"/>
      <c r="D3" s="133"/>
      <c r="E3" s="133"/>
      <c r="F3" s="133"/>
      <c r="G3" s="133"/>
      <c r="I3">
        <v>1</v>
      </c>
    </row>
    <row r="4" spans="2:9" ht="24" customHeight="1">
      <c r="B4" s="133"/>
      <c r="C4" s="133"/>
      <c r="D4" s="133"/>
      <c r="E4" s="133"/>
      <c r="F4" s="133"/>
      <c r="G4" s="133"/>
    </row>
    <row r="5" spans="2:9" ht="19.95" customHeight="1">
      <c r="B5" s="133" t="str">
        <f>"(제안자: "&amp;IFERROR(IF(INDEX(기초자료입력!$B$44:$B$53,$I$3)=0,"",INDEX(기초자료입력!$B$44:$B$53,$I$3)),"")&amp;")"</f>
        <v>(제안자: )</v>
      </c>
      <c r="C5" s="133"/>
      <c r="D5" s="133"/>
      <c r="E5" s="133"/>
      <c r="F5" s="133"/>
      <c r="G5" s="133"/>
    </row>
    <row r="6" spans="2:9" ht="6" customHeight="1">
      <c r="B6" s="49"/>
      <c r="C6" s="49"/>
      <c r="D6" s="49"/>
      <c r="E6" s="49"/>
      <c r="F6" s="49"/>
      <c r="G6" s="49"/>
    </row>
    <row r="7" spans="2:9" ht="19.95" customHeight="1">
      <c r="B7" s="108" t="s">
        <v>459</v>
      </c>
      <c r="C7" s="133"/>
      <c r="D7" s="133"/>
      <c r="E7" s="133"/>
      <c r="F7" s="133"/>
      <c r="G7" s="133"/>
    </row>
    <row r="8" spans="2:9" ht="6" customHeight="1">
      <c r="B8" s="49"/>
      <c r="C8" s="49"/>
      <c r="D8" s="49"/>
      <c r="E8" s="49"/>
      <c r="F8" s="49"/>
      <c r="G8" s="49"/>
    </row>
    <row r="9" spans="2:9" ht="30" customHeight="1">
      <c r="B9" s="50" t="s">
        <v>85</v>
      </c>
      <c r="C9" s="50" t="s">
        <v>460</v>
      </c>
      <c r="D9" s="50" t="s">
        <v>461</v>
      </c>
      <c r="E9" s="50" t="s">
        <v>462</v>
      </c>
      <c r="F9" s="50" t="s">
        <v>463</v>
      </c>
      <c r="G9" s="50" t="s">
        <v>316</v>
      </c>
    </row>
    <row r="10" spans="2:9" ht="24" customHeight="1">
      <c r="B10" s="51">
        <v>1</v>
      </c>
      <c r="C10" s="52"/>
      <c r="D10" s="52"/>
      <c r="E10" s="52"/>
      <c r="F10" s="52"/>
      <c r="G10" s="52"/>
    </row>
    <row r="11" spans="2:9" ht="24" customHeight="1">
      <c r="B11" s="51">
        <v>2</v>
      </c>
      <c r="C11" s="52"/>
      <c r="D11" s="52"/>
      <c r="E11" s="52"/>
      <c r="F11" s="52"/>
      <c r="G11" s="52"/>
    </row>
    <row r="12" spans="2:9" ht="24" customHeight="1">
      <c r="B12" s="51">
        <v>3</v>
      </c>
      <c r="C12" s="52"/>
      <c r="D12" s="52"/>
      <c r="E12" s="52"/>
      <c r="F12" s="52"/>
      <c r="G12" s="52"/>
    </row>
    <row r="13" spans="2:9" ht="24" customHeight="1">
      <c r="B13" s="51">
        <v>4</v>
      </c>
      <c r="C13" s="52"/>
      <c r="D13" s="52"/>
      <c r="E13" s="52"/>
      <c r="F13" s="52"/>
      <c r="G13" s="52"/>
    </row>
    <row r="14" spans="2:9" ht="24" customHeight="1">
      <c r="B14" s="51">
        <v>5</v>
      </c>
      <c r="C14" s="52"/>
      <c r="D14" s="52"/>
      <c r="E14" s="52"/>
      <c r="F14" s="52"/>
      <c r="G14" s="52"/>
    </row>
    <row r="15" spans="2:9" ht="24" customHeight="1">
      <c r="B15" s="51">
        <v>6</v>
      </c>
      <c r="C15" s="52"/>
      <c r="D15" s="52"/>
      <c r="E15" s="52"/>
      <c r="F15" s="52"/>
      <c r="G15" s="52"/>
    </row>
    <row r="16" spans="2:9" ht="24" customHeight="1">
      <c r="B16" s="51">
        <v>7</v>
      </c>
      <c r="C16" s="52"/>
      <c r="D16" s="52"/>
      <c r="E16" s="52"/>
      <c r="F16" s="52"/>
      <c r="G16" s="52"/>
    </row>
    <row r="17" spans="2:7" ht="24" customHeight="1">
      <c r="B17" s="51">
        <v>8</v>
      </c>
      <c r="C17" s="52"/>
      <c r="D17" s="52"/>
      <c r="E17" s="52"/>
      <c r="F17" s="52"/>
      <c r="G17" s="52"/>
    </row>
    <row r="18" spans="2:7" ht="24" customHeight="1">
      <c r="B18" s="51">
        <v>9</v>
      </c>
      <c r="C18" s="52"/>
      <c r="D18" s="52"/>
      <c r="E18" s="52"/>
      <c r="F18" s="52"/>
      <c r="G18" s="52"/>
    </row>
    <row r="19" spans="2:7" ht="6" customHeight="1">
      <c r="B19" s="49"/>
      <c r="C19" s="49"/>
      <c r="D19" s="49"/>
      <c r="E19" s="49"/>
      <c r="F19" s="49"/>
      <c r="G19" s="49"/>
    </row>
    <row r="20" spans="2:7" ht="18" customHeight="1">
      <c r="B20" s="134" t="s">
        <v>464</v>
      </c>
      <c r="C20" s="134"/>
      <c r="D20" s="134"/>
      <c r="E20" s="134"/>
      <c r="F20" s="134"/>
      <c r="G20" s="134"/>
    </row>
    <row r="21" spans="2:7" ht="18" customHeight="1">
      <c r="B21" s="134" t="s">
        <v>465</v>
      </c>
      <c r="C21" s="134"/>
      <c r="D21" s="134"/>
      <c r="E21" s="134"/>
      <c r="F21" s="134"/>
      <c r="G21" s="134"/>
    </row>
    <row r="22" spans="2:7" ht="7.95" customHeight="1">
      <c r="B22" s="49"/>
      <c r="C22" s="49"/>
      <c r="D22" s="49"/>
      <c r="E22" s="49"/>
      <c r="F22" s="49"/>
      <c r="G22" s="49"/>
    </row>
    <row r="23" spans="2:7" ht="18" customHeight="1">
      <c r="B23" s="133" t="str">
        <f>IF(기초자료입력!$C$5="","20○○.  .  .","20"&amp;RIGHT(기초자료입력!$C$5,2)&amp;".  .  .")</f>
        <v>20○○.  .  .</v>
      </c>
      <c r="C23" s="133"/>
      <c r="D23" s="133"/>
      <c r="E23" s="133"/>
      <c r="F23" s="133"/>
      <c r="G23" s="133"/>
    </row>
    <row r="24" spans="2:7" ht="18" customHeight="1">
      <c r="B24" s="133" t="s">
        <v>466</v>
      </c>
      <c r="C24" s="133"/>
      <c r="D24" s="133"/>
      <c r="E24" s="133"/>
      <c r="F24" s="133"/>
      <c r="G24" s="133"/>
    </row>
    <row r="25" spans="2:7" ht="18" customHeight="1">
      <c r="B25" s="133" t="str">
        <f>IF(기초자료입력!$C$4="","○○○○학교장 귀하",기초자료입력!$C$4&amp;"장 귀하")</f>
        <v>○○○○학교장 귀하</v>
      </c>
      <c r="C25" s="133"/>
      <c r="D25" s="133"/>
      <c r="E25" s="133"/>
      <c r="F25" s="133"/>
      <c r="G25" s="133"/>
    </row>
  </sheetData>
  <mergeCells count="9">
    <mergeCell ref="B23:G23"/>
    <mergeCell ref="B24:G24"/>
    <mergeCell ref="B25:G25"/>
    <mergeCell ref="B1:G1"/>
    <mergeCell ref="B3:G4"/>
    <mergeCell ref="B5:G5"/>
    <mergeCell ref="B7:G7"/>
    <mergeCell ref="B20:G20"/>
    <mergeCell ref="B21:G21"/>
  </mergeCells>
  <phoneticPr fontId="6" type="noConversion"/>
  <printOptions horizontalCentered="1"/>
  <pageMargins left="0.23622083333333332" right="0.23622083333333332" top="0.31496111111111108" bottom="0.31496111111111108"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3379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A9520-EA13-4035-BA8A-93CB6B68BADF}">
  <sheetPr codeName="Sheet34"/>
  <dimension ref="B1:G21"/>
  <sheetViews>
    <sheetView workbookViewId="0"/>
  </sheetViews>
  <sheetFormatPr defaultRowHeight="17.399999999999999"/>
  <cols>
    <col min="1" max="1" width="3.19921875" customWidth="1"/>
    <col min="2" max="2" width="10.69921875" customWidth="1"/>
    <col min="3" max="4" width="16.69921875" customWidth="1"/>
    <col min="5" max="5" width="24.69921875" customWidth="1"/>
  </cols>
  <sheetData>
    <row r="1" spans="2:7" ht="12" customHeight="1">
      <c r="B1" s="136" t="s">
        <v>467</v>
      </c>
      <c r="C1" s="137"/>
      <c r="D1" s="137"/>
      <c r="E1" s="137"/>
    </row>
    <row r="2" spans="2:7" ht="7.95" customHeight="1">
      <c r="G2" s="36" t="s">
        <v>335</v>
      </c>
    </row>
    <row r="3" spans="2:7" ht="24" customHeight="1">
      <c r="B3" s="108" t="s">
        <v>468</v>
      </c>
      <c r="C3" s="133"/>
      <c r="D3" s="133"/>
      <c r="E3" s="133"/>
      <c r="G3">
        <v>1</v>
      </c>
    </row>
    <row r="4" spans="2:7" ht="24" customHeight="1">
      <c r="B4" s="133"/>
      <c r="C4" s="133"/>
      <c r="D4" s="133"/>
      <c r="E4" s="133"/>
    </row>
    <row r="5" spans="2:7" ht="19.95" customHeight="1">
      <c r="B5" s="133" t="str">
        <f>"(제안자: "&amp;IFERROR(IF(INDEX(기초자료입력!$B$44:$B$53,$G$3)=0,"",INDEX(기초자료입력!$B$44:$B$53,$G$3)),"")&amp;")"</f>
        <v>(제안자: )</v>
      </c>
      <c r="C5" s="133"/>
      <c r="D5" s="133"/>
      <c r="E5" s="133"/>
    </row>
    <row r="6" spans="2:7" ht="16.05" customHeight="1">
      <c r="B6" s="133" t="s">
        <v>469</v>
      </c>
      <c r="C6" s="133"/>
      <c r="D6" s="133"/>
      <c r="E6" s="133"/>
    </row>
    <row r="7" spans="2:7" ht="18" customHeight="1">
      <c r="B7" s="135" t="s">
        <v>470</v>
      </c>
      <c r="C7" s="134"/>
      <c r="D7" s="134"/>
      <c r="E7" s="134"/>
    </row>
    <row r="8" spans="2:7" ht="6" customHeight="1">
      <c r="B8" s="49"/>
      <c r="C8" s="49"/>
      <c r="D8" s="49"/>
      <c r="E8" s="49"/>
    </row>
    <row r="9" spans="2:7" ht="22.05" customHeight="1">
      <c r="B9" s="50" t="s">
        <v>326</v>
      </c>
      <c r="C9" s="50" t="s">
        <v>471</v>
      </c>
      <c r="D9" s="50" t="s">
        <v>472</v>
      </c>
      <c r="E9" s="50" t="s">
        <v>473</v>
      </c>
    </row>
    <row r="10" spans="2:7" ht="22.05" customHeight="1">
      <c r="B10" s="133" t="s">
        <v>317</v>
      </c>
      <c r="C10" s="51" t="s">
        <v>474</v>
      </c>
      <c r="D10" s="51"/>
      <c r="E10" s="51"/>
    </row>
    <row r="11" spans="2:7" ht="22.05" customHeight="1">
      <c r="B11" s="133"/>
      <c r="C11" s="51" t="s">
        <v>475</v>
      </c>
      <c r="D11" s="51"/>
      <c r="E11" s="51"/>
    </row>
    <row r="12" spans="2:7" ht="22.05" customHeight="1">
      <c r="B12" s="133"/>
      <c r="C12" s="51" t="s">
        <v>476</v>
      </c>
      <c r="D12" s="51"/>
      <c r="E12" s="51"/>
    </row>
    <row r="13" spans="2:7" ht="22.05" customHeight="1">
      <c r="B13" s="133"/>
      <c r="C13" s="51" t="s">
        <v>477</v>
      </c>
      <c r="D13" s="51"/>
      <c r="E13" s="51"/>
    </row>
    <row r="14" spans="2:7" ht="22.05" customHeight="1">
      <c r="B14" s="133" t="s">
        <v>318</v>
      </c>
      <c r="C14" s="51" t="s">
        <v>478</v>
      </c>
      <c r="D14" s="51"/>
      <c r="E14" s="51"/>
    </row>
    <row r="15" spans="2:7" ht="22.05" customHeight="1">
      <c r="B15" s="133"/>
      <c r="C15" s="51" t="s">
        <v>479</v>
      </c>
      <c r="D15" s="51"/>
      <c r="E15" s="51"/>
    </row>
    <row r="16" spans="2:7" ht="6" customHeight="1">
      <c r="B16" s="49"/>
      <c r="C16" s="49"/>
      <c r="D16" s="49"/>
      <c r="E16" s="49"/>
    </row>
    <row r="17" spans="2:5" ht="19.95" customHeight="1">
      <c r="B17" s="111" t="s">
        <v>480</v>
      </c>
      <c r="C17" s="111"/>
      <c r="D17" s="111"/>
      <c r="E17" s="111"/>
    </row>
    <row r="18" spans="2:5" ht="7.95" customHeight="1">
      <c r="B18" s="49"/>
      <c r="C18" s="49"/>
      <c r="D18" s="49"/>
      <c r="E18" s="49"/>
    </row>
    <row r="19" spans="2:5" ht="18" customHeight="1">
      <c r="B19" s="133" t="str">
        <f>IF(기초자료입력!$C$5="","20○○.  .  .","20"&amp;RIGHT(기초자료입력!$C$5,2)&amp;".  .  .")</f>
        <v>20○○.  .  .</v>
      </c>
      <c r="C19" s="133"/>
      <c r="D19" s="133"/>
      <c r="E19" s="133"/>
    </row>
    <row r="20" spans="2:5" ht="18" customHeight="1">
      <c r="B20" s="133" t="s">
        <v>466</v>
      </c>
      <c r="C20" s="133"/>
      <c r="D20" s="133"/>
      <c r="E20" s="133"/>
    </row>
    <row r="21" spans="2:5" ht="18" customHeight="1">
      <c r="B21" s="133" t="str">
        <f>IF(기초자료입력!$C$4="","○○○○학교장 귀하",기초자료입력!$C$4&amp;"장 귀하")</f>
        <v>○○○○학교장 귀하</v>
      </c>
      <c r="C21" s="133"/>
      <c r="D21" s="133"/>
      <c r="E21" s="133"/>
    </row>
  </sheetData>
  <mergeCells count="11">
    <mergeCell ref="B10:B13"/>
    <mergeCell ref="B1:E1"/>
    <mergeCell ref="B3:E4"/>
    <mergeCell ref="B5:E5"/>
    <mergeCell ref="B6:E6"/>
    <mergeCell ref="B7:E7"/>
    <mergeCell ref="B14:B15"/>
    <mergeCell ref="B17:E17"/>
    <mergeCell ref="B19:E19"/>
    <mergeCell ref="B20:E20"/>
    <mergeCell ref="B21:E21"/>
  </mergeCells>
  <phoneticPr fontId="6" type="noConversion"/>
  <printOptions horizontalCentered="1"/>
  <pageMargins left="0.39370138888888889" right="0.39370138888888889" top="0.31496111111111108" bottom="0.31496111111111108"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3481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A7A73B-AC87-4056-81FC-B2401BB1AB75}">
  <sheetPr codeName="Sheet35"/>
  <dimension ref="A1:G19"/>
  <sheetViews>
    <sheetView workbookViewId="0"/>
  </sheetViews>
  <sheetFormatPr defaultRowHeight="17.399999999999999"/>
  <cols>
    <col min="1" max="1" width="3.19921875" customWidth="1"/>
    <col min="2" max="2" width="9.69921875" customWidth="1"/>
    <col min="3" max="3" width="16.69921875" customWidth="1"/>
    <col min="4" max="4" width="9.69921875" customWidth="1"/>
    <col min="5" max="5" width="14.69921875" customWidth="1"/>
    <col min="6" max="6" width="17.69921875" customWidth="1"/>
    <col min="7" max="7" width="10.69921875" customWidth="1"/>
  </cols>
  <sheetData>
    <row r="1" spans="1:7">
      <c r="A1" s="20"/>
    </row>
    <row r="3" spans="1:7" ht="30" customHeight="1">
      <c r="B3" s="109" t="s">
        <v>312</v>
      </c>
      <c r="C3" s="110"/>
      <c r="D3" s="110"/>
      <c r="E3" s="110"/>
      <c r="F3" s="110"/>
      <c r="G3" s="110"/>
    </row>
    <row r="4" spans="1:7">
      <c r="B4" s="110" t="s">
        <v>313</v>
      </c>
      <c r="C4" s="110"/>
      <c r="D4" s="110"/>
      <c r="E4" s="110"/>
      <c r="F4" s="110"/>
      <c r="G4" s="110"/>
    </row>
    <row r="5" spans="1:7">
      <c r="B5" s="21"/>
      <c r="C5" s="21"/>
      <c r="D5" s="21"/>
      <c r="E5" s="21"/>
      <c r="F5" s="21"/>
      <c r="G5" s="21"/>
    </row>
    <row r="6" spans="1:7">
      <c r="B6" s="22" t="s">
        <v>86</v>
      </c>
      <c r="C6" s="22" t="str">
        <f>IF(기초자료입력!C4&lt;&gt;"",기초자료입력!C4,"")</f>
        <v/>
      </c>
      <c r="D6" s="22" t="s">
        <v>87</v>
      </c>
      <c r="E6" s="22" t="str">
        <f>IF(기초자료입력!C5&lt;&gt;"",기초자료입력!C5,"")</f>
        <v/>
      </c>
      <c r="F6" s="22" t="s">
        <v>90</v>
      </c>
      <c r="G6" s="22" t="str">
        <f>IF(기초자료입력!C12&lt;&gt;"",기초자료입력!C12,"")</f>
        <v/>
      </c>
    </row>
    <row r="7" spans="1:7">
      <c r="B7" s="21"/>
      <c r="C7" s="21"/>
      <c r="D7" s="21"/>
      <c r="E7" s="21"/>
      <c r="F7" s="21"/>
      <c r="G7" s="21"/>
    </row>
    <row r="8" spans="1:7">
      <c r="B8" s="108" t="s">
        <v>314</v>
      </c>
      <c r="C8" s="108"/>
      <c r="D8" s="27" t="s">
        <v>47</v>
      </c>
      <c r="E8" s="27" t="s">
        <v>315</v>
      </c>
      <c r="F8" s="108" t="s">
        <v>316</v>
      </c>
      <c r="G8" s="108"/>
    </row>
    <row r="9" spans="1:7">
      <c r="B9" s="101" t="s">
        <v>317</v>
      </c>
      <c r="C9" s="22" t="str">
        <f>IF(기초자료입력!B29&lt;&gt;"",기초자료입력!B29,"후드 점퍼")</f>
        <v>후드 점퍼</v>
      </c>
      <c r="D9" s="22">
        <f>IF(기초자료입력!C29&lt;&gt;"",기초자료입력!C29,1)</f>
        <v>1</v>
      </c>
      <c r="E9" s="22" t="str">
        <f>IF(SUM(기초자료입력!$D$29:$D$34)=0,"",TEXT(기초자료입력!D29/SUM(기초자료입력!$D$29:$D$34)*100,"0.0")&amp;"%")</f>
        <v/>
      </c>
      <c r="F9" s="111" t="s">
        <v>319</v>
      </c>
      <c r="G9" s="111"/>
    </row>
    <row r="10" spans="1:7">
      <c r="B10" s="101"/>
      <c r="C10" s="22" t="str">
        <f>IF(기초자료입력!B30&lt;&gt;"",기초자료입력!B30,"집업티")</f>
        <v>집업티</v>
      </c>
      <c r="D10" s="22">
        <f>IF(기초자료입력!C30&lt;&gt;"",기초자료입력!C30,1)</f>
        <v>1</v>
      </c>
      <c r="E10" s="22" t="str">
        <f>IF(SUM(기초자료입력!$D$29:$D$34)=0,"",TEXT(기초자료입력!D30/SUM(기초자료입력!$D$29:$D$34)*100,"0.0")&amp;"%")</f>
        <v/>
      </c>
      <c r="F10" s="111"/>
      <c r="G10" s="111"/>
    </row>
    <row r="11" spans="1:7">
      <c r="B11" s="101"/>
      <c r="C11" s="22" t="str">
        <f>IF(기초자료입력!B31&lt;&gt;"",기초자료입력!B31,"맨투맨티")</f>
        <v>맨투맨티</v>
      </c>
      <c r="D11" s="22">
        <f>IF(기초자료입력!C31&lt;&gt;"",기초자료입력!C31,1)</f>
        <v>1</v>
      </c>
      <c r="E11" s="22" t="str">
        <f>IF(SUM(기초자료입력!$D$29:$D$34)=0,"",TEXT(기초자료입력!D31/SUM(기초자료입력!$D$29:$D$34)*100,"0.0")&amp;"%")</f>
        <v/>
      </c>
      <c r="F11" s="111"/>
      <c r="G11" s="111"/>
    </row>
    <row r="12" spans="1:7">
      <c r="B12" s="101"/>
      <c r="C12" s="22" t="str">
        <f>IF(기초자료입력!B32&lt;&gt;"",기초자료입력!B32,"긴바지(치마)")</f>
        <v>긴바지(치마)</v>
      </c>
      <c r="D12" s="22">
        <f>IF(기초자료입력!C32&lt;&gt;"",기초자료입력!C32,1)</f>
        <v>1</v>
      </c>
      <c r="E12" s="22" t="str">
        <f>IF(SUM(기초자료입력!$D$29:$D$34)=0,"",TEXT(기초자료입력!D32/SUM(기초자료입력!$D$29:$D$34)*100,"0.0")&amp;"%")</f>
        <v/>
      </c>
      <c r="F12" s="111"/>
      <c r="G12" s="111"/>
    </row>
    <row r="13" spans="1:7">
      <c r="B13" s="101" t="s">
        <v>318</v>
      </c>
      <c r="C13" s="22" t="str">
        <f>IF(기초자료입력!B33&lt;&gt;"",기초자료입력!B33,"반팔티")</f>
        <v>반팔티</v>
      </c>
      <c r="D13" s="22">
        <f>IF(기초자료입력!C33&lt;&gt;"",기초자료입력!C33,1)</f>
        <v>1</v>
      </c>
      <c r="E13" s="22" t="str">
        <f>IF(SUM(기초자료입력!$D$29:$D$34)=0,"",TEXT(기초자료입력!D33/SUM(기초자료입력!$D$29:$D$34)*100,"0.0")&amp;"%")</f>
        <v/>
      </c>
      <c r="F13" s="111"/>
      <c r="G13" s="111"/>
    </row>
    <row r="14" spans="1:7">
      <c r="B14" s="101"/>
      <c r="C14" s="22" t="str">
        <f>IF(기초자료입력!B34&lt;&gt;"",기초자료입력!B34,"반바지")</f>
        <v>반바지</v>
      </c>
      <c r="D14" s="22">
        <f>IF(기초자료입력!C34&lt;&gt;"",기초자료입력!C34,1)</f>
        <v>1</v>
      </c>
      <c r="E14" s="22" t="str">
        <f>IF(SUM(기초자료입력!$D$29:$D$34)=0,"",TEXT(기초자료입력!D34/SUM(기초자료입력!$D$29:$D$34)*100,"0.0")&amp;"%")</f>
        <v/>
      </c>
      <c r="F14" s="111"/>
      <c r="G14" s="111"/>
    </row>
    <row r="15" spans="1:7">
      <c r="B15" s="102" t="s">
        <v>296</v>
      </c>
      <c r="C15" s="102"/>
      <c r="D15" s="25">
        <f>SUM(D9:D14)</f>
        <v>6</v>
      </c>
      <c r="E15" s="25" t="str">
        <f>"100%"</f>
        <v>100%</v>
      </c>
      <c r="F15" s="102"/>
      <c r="G15" s="102"/>
    </row>
    <row r="16" spans="1:7">
      <c r="B16" s="21"/>
      <c r="C16" s="21"/>
      <c r="D16" s="21"/>
      <c r="E16" s="21"/>
      <c r="F16" s="21"/>
      <c r="G16" s="21"/>
    </row>
    <row r="17" spans="2:7">
      <c r="B17" s="100" t="s">
        <v>320</v>
      </c>
      <c r="C17" s="100"/>
      <c r="D17" s="100"/>
      <c r="E17" s="100"/>
      <c r="F17" s="100"/>
      <c r="G17" s="100"/>
    </row>
    <row r="18" spans="2:7">
      <c r="B18" s="100" t="s">
        <v>321</v>
      </c>
      <c r="C18" s="100"/>
      <c r="D18" s="100"/>
      <c r="E18" s="100"/>
      <c r="F18" s="100"/>
      <c r="G18" s="100"/>
    </row>
    <row r="19" spans="2:7">
      <c r="B19" s="100" t="str">
        <f>IF(기초자료입력!C4&lt;&gt;"",기초자료입력!C4,"○○○○학교")&amp;"장 귀하"</f>
        <v>○○○○학교장 귀하</v>
      </c>
      <c r="C19" s="100"/>
      <c r="D19" s="100"/>
      <c r="E19" s="100"/>
      <c r="F19" s="100"/>
      <c r="G19" s="100"/>
    </row>
  </sheetData>
  <mergeCells count="12">
    <mergeCell ref="B13:B14"/>
    <mergeCell ref="F9:G14"/>
    <mergeCell ref="B3:G3"/>
    <mergeCell ref="B4:G4"/>
    <mergeCell ref="B8:C8"/>
    <mergeCell ref="F8:G8"/>
    <mergeCell ref="B9:B12"/>
    <mergeCell ref="B15:C15"/>
    <mergeCell ref="F15:G15"/>
    <mergeCell ref="B17:G17"/>
    <mergeCell ref="B18:G18"/>
    <mergeCell ref="B19:G19"/>
  </mergeCells>
  <phoneticPr fontId="6" type="noConversion"/>
  <printOptions horizontalCentered="1"/>
  <pageMargins left="0.50000076388888881" right="0.50000076388888881" top="0.50000076388888881" bottom="0.50000076388888881" header="0.31496111111111108" footer="0.31496111111111108"/>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3584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1ABD6A-DF8A-4C68-B7BD-795051E9B7A5}">
  <sheetPr codeName="Sheet36"/>
  <dimension ref="B1:G31"/>
  <sheetViews>
    <sheetView workbookViewId="0"/>
  </sheetViews>
  <sheetFormatPr defaultRowHeight="17.399999999999999"/>
  <cols>
    <col min="1" max="1" width="3.19921875" customWidth="1"/>
    <col min="2" max="5" width="20.69921875" customWidth="1"/>
  </cols>
  <sheetData>
    <row r="1" spans="2:7" ht="12" customHeight="1">
      <c r="B1" s="136" t="s">
        <v>481</v>
      </c>
      <c r="C1" s="137"/>
      <c r="D1" s="137"/>
      <c r="E1" s="137"/>
    </row>
    <row r="2" spans="2:7" ht="7.95" customHeight="1">
      <c r="G2" s="36" t="s">
        <v>335</v>
      </c>
    </row>
    <row r="3" spans="2:7" ht="25.95" customHeight="1">
      <c r="B3" s="108" t="s">
        <v>208</v>
      </c>
      <c r="C3" s="133"/>
      <c r="D3" s="133"/>
      <c r="E3" s="133"/>
      <c r="G3">
        <v>1</v>
      </c>
    </row>
    <row r="4" spans="2:7" ht="25.95" customHeight="1">
      <c r="B4" s="133"/>
      <c r="C4" s="133"/>
      <c r="D4" s="133"/>
      <c r="E4" s="133"/>
    </row>
    <row r="5" spans="2:7" ht="6" customHeight="1">
      <c r="B5" s="49"/>
      <c r="C5" s="49"/>
      <c r="D5" s="49"/>
      <c r="E5" s="49"/>
    </row>
    <row r="6" spans="2:7" ht="18" customHeight="1">
      <c r="B6" s="135" t="s">
        <v>482</v>
      </c>
      <c r="C6" s="134"/>
      <c r="D6" s="134"/>
      <c r="E6" s="134"/>
    </row>
    <row r="7" spans="2:7" ht="19.95" customHeight="1">
      <c r="B7" s="111" t="s">
        <v>483</v>
      </c>
      <c r="C7" s="111"/>
      <c r="D7" s="111"/>
      <c r="E7" s="111"/>
    </row>
    <row r="8" spans="2:7" ht="6" customHeight="1">
      <c r="B8" s="49"/>
      <c r="C8" s="49"/>
      <c r="D8" s="49"/>
      <c r="E8" s="49"/>
    </row>
    <row r="9" spans="2:7" ht="18" customHeight="1">
      <c r="B9" s="135" t="s">
        <v>484</v>
      </c>
      <c r="C9" s="134"/>
      <c r="D9" s="134"/>
      <c r="E9" s="134"/>
    </row>
    <row r="10" spans="2:7" ht="19.95" customHeight="1">
      <c r="B10" s="111" t="s">
        <v>485</v>
      </c>
      <c r="C10" s="111"/>
      <c r="D10" s="111"/>
      <c r="E10" s="111"/>
    </row>
    <row r="11" spans="2:7" ht="19.95" customHeight="1">
      <c r="B11" s="111" t="s">
        <v>486</v>
      </c>
      <c r="C11" s="111"/>
      <c r="D11" s="111"/>
      <c r="E11" s="111"/>
    </row>
    <row r="12" spans="2:7" ht="19.95" customHeight="1">
      <c r="B12" s="111" t="s">
        <v>487</v>
      </c>
      <c r="C12" s="111"/>
      <c r="D12" s="111"/>
      <c r="E12" s="111"/>
    </row>
    <row r="13" spans="2:7" ht="19.95" customHeight="1">
      <c r="B13" s="111" t="s">
        <v>488</v>
      </c>
      <c r="C13" s="111"/>
      <c r="D13" s="111"/>
      <c r="E13" s="111"/>
    </row>
    <row r="14" spans="2:7" ht="6" customHeight="1">
      <c r="B14" s="49"/>
      <c r="C14" s="49"/>
      <c r="D14" s="49"/>
      <c r="E14" s="49"/>
    </row>
    <row r="15" spans="2:7" ht="25.95" customHeight="1">
      <c r="B15" s="140" t="s">
        <v>489</v>
      </c>
      <c r="C15" s="111"/>
      <c r="D15" s="111"/>
      <c r="E15" s="111"/>
    </row>
    <row r="16" spans="2:7" ht="18" customHeight="1">
      <c r="B16" s="111" t="s">
        <v>490</v>
      </c>
      <c r="C16" s="111"/>
      <c r="D16" s="111"/>
      <c r="E16" s="111"/>
    </row>
    <row r="17" spans="2:5" ht="18" customHeight="1">
      <c r="B17" s="111" t="s">
        <v>491</v>
      </c>
      <c r="C17" s="111"/>
      <c r="D17" s="111"/>
      <c r="E17" s="111"/>
    </row>
    <row r="18" spans="2:5" ht="19.95" customHeight="1">
      <c r="B18" s="111" t="s">
        <v>492</v>
      </c>
      <c r="C18" s="111"/>
      <c r="D18" s="111"/>
      <c r="E18" s="111"/>
    </row>
    <row r="19" spans="2:5" ht="6" customHeight="1">
      <c r="B19" s="49"/>
      <c r="C19" s="49"/>
      <c r="D19" s="49"/>
      <c r="E19" s="49"/>
    </row>
    <row r="20" spans="2:5" ht="18" customHeight="1">
      <c r="B20" s="135" t="s">
        <v>493</v>
      </c>
      <c r="C20" s="134"/>
      <c r="D20" s="134"/>
      <c r="E20" s="134"/>
    </row>
    <row r="21" spans="2:5" ht="19.95" customHeight="1">
      <c r="B21" s="111" t="s">
        <v>494</v>
      </c>
      <c r="C21" s="111"/>
      <c r="D21" s="111"/>
      <c r="E21" s="111"/>
    </row>
    <row r="22" spans="2:5" ht="18" customHeight="1">
      <c r="B22" s="111" t="s">
        <v>495</v>
      </c>
      <c r="C22" s="111"/>
      <c r="D22" s="111"/>
      <c r="E22" s="111"/>
    </row>
    <row r="23" spans="2:5" ht="22.05" customHeight="1">
      <c r="B23" s="111" t="s">
        <v>496</v>
      </c>
      <c r="C23" s="111"/>
      <c r="D23" s="111"/>
      <c r="E23" s="111"/>
    </row>
    <row r="24" spans="2:5" ht="22.05" customHeight="1">
      <c r="B24" s="111"/>
      <c r="C24" s="111"/>
      <c r="D24" s="111"/>
      <c r="E24" s="111"/>
    </row>
    <row r="25" spans="2:5" ht="18" customHeight="1">
      <c r="B25" s="111" t="s">
        <v>497</v>
      </c>
      <c r="C25" s="111"/>
      <c r="D25" s="111"/>
      <c r="E25" s="111"/>
    </row>
    <row r="26" spans="2:5" ht="18" customHeight="1">
      <c r="B26" s="134" t="s">
        <v>498</v>
      </c>
      <c r="C26" s="134"/>
      <c r="D26" s="134"/>
      <c r="E26" s="134"/>
    </row>
    <row r="27" spans="2:5" ht="18" customHeight="1">
      <c r="B27" s="134" t="s">
        <v>498</v>
      </c>
      <c r="C27" s="134"/>
      <c r="D27" s="134"/>
      <c r="E27" s="134"/>
    </row>
    <row r="28" spans="2:5" ht="7.95" customHeight="1">
      <c r="B28" s="49"/>
      <c r="C28" s="49"/>
      <c r="D28" s="49"/>
      <c r="E28" s="49"/>
    </row>
    <row r="29" spans="2:5" ht="18" customHeight="1">
      <c r="B29" s="133" t="str">
        <f>IF(기초자료입력!$C$5="","20○○년   월   일","20"&amp;RIGHT(기초자료입력!$C$5,2)&amp;"년   월   일")</f>
        <v>20○○년   월   일</v>
      </c>
      <c r="C29" s="133"/>
      <c r="D29" s="133"/>
      <c r="E29" s="133"/>
    </row>
    <row r="30" spans="2:5" ht="18" customHeight="1">
      <c r="B30" s="133" t="s">
        <v>466</v>
      </c>
      <c r="C30" s="133"/>
      <c r="D30" s="133"/>
      <c r="E30" s="133"/>
    </row>
    <row r="31" spans="2:5" ht="18" customHeight="1">
      <c r="B31" s="133" t="str">
        <f>IF(기초자료입력!$C$4="","○○○○학교장 귀하",기초자료입력!$C$4&amp;"장 귀하")</f>
        <v>○○○○학교장 귀하</v>
      </c>
      <c r="C31" s="133"/>
      <c r="D31" s="133"/>
      <c r="E31" s="133"/>
    </row>
  </sheetData>
  <mergeCells count="23">
    <mergeCell ref="B10:E10"/>
    <mergeCell ref="B1:E1"/>
    <mergeCell ref="B3:E4"/>
    <mergeCell ref="B6:E6"/>
    <mergeCell ref="B7:E7"/>
    <mergeCell ref="B9:E9"/>
    <mergeCell ref="B25:E25"/>
    <mergeCell ref="B11:E11"/>
    <mergeCell ref="B12:E12"/>
    <mergeCell ref="B13:E13"/>
    <mergeCell ref="B15:E15"/>
    <mergeCell ref="B16:E16"/>
    <mergeCell ref="B17:E17"/>
    <mergeCell ref="B18:E18"/>
    <mergeCell ref="B20:E20"/>
    <mergeCell ref="B21:E21"/>
    <mergeCell ref="B22:E22"/>
    <mergeCell ref="B23:E24"/>
    <mergeCell ref="B26:E26"/>
    <mergeCell ref="B27:E27"/>
    <mergeCell ref="B29:E29"/>
    <mergeCell ref="B30:E30"/>
    <mergeCell ref="B31:E31"/>
  </mergeCells>
  <phoneticPr fontId="6" type="noConversion"/>
  <printOptions horizontalCentered="1"/>
  <pageMargins left="0.39370138888888889" right="0.39370138888888889" top="0.31496111111111108" bottom="0.31496111111111108"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3686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90688-D5C1-4ED4-B471-0423263D8E62}">
  <sheetPr codeName="Sheet37"/>
  <dimension ref="A1:F24"/>
  <sheetViews>
    <sheetView workbookViewId="0"/>
  </sheetViews>
  <sheetFormatPr defaultRowHeight="17.399999999999999"/>
  <cols>
    <col min="1" max="1" width="3.19921875" customWidth="1"/>
    <col min="2" max="3" width="16.69921875" customWidth="1"/>
    <col min="4" max="6" width="14.69921875" customWidth="1"/>
  </cols>
  <sheetData>
    <row r="1" spans="1:6" ht="12" customHeight="1">
      <c r="A1" s="20"/>
    </row>
    <row r="3" spans="1:6" ht="24" customHeight="1">
      <c r="B3" s="144" t="s">
        <v>813</v>
      </c>
      <c r="C3" s="142"/>
      <c r="D3" s="142"/>
      <c r="E3" s="142"/>
      <c r="F3" s="142"/>
    </row>
    <row r="4" spans="1:6" ht="24" customHeight="1">
      <c r="B4" s="142"/>
      <c r="C4" s="142"/>
      <c r="D4" s="142"/>
      <c r="E4" s="142"/>
      <c r="F4" s="142"/>
    </row>
    <row r="5" spans="1:6" ht="10.050000000000001" customHeight="1">
      <c r="B5" s="57"/>
      <c r="C5" s="57"/>
      <c r="D5" s="57"/>
      <c r="E5" s="57"/>
      <c r="F5" s="57"/>
    </row>
    <row r="6" spans="1:6" ht="19.95" customHeight="1">
      <c r="B6" s="141" t="s">
        <v>814</v>
      </c>
      <c r="C6" s="141"/>
      <c r="D6" s="141"/>
      <c r="E6" s="141"/>
      <c r="F6" s="141"/>
    </row>
    <row r="7" spans="1:6" ht="19.95" customHeight="1">
      <c r="B7" s="141" t="s">
        <v>815</v>
      </c>
      <c r="C7" s="141"/>
      <c r="D7" s="141"/>
      <c r="E7" s="141"/>
      <c r="F7" s="141"/>
    </row>
    <row r="8" spans="1:6" ht="19.95" customHeight="1">
      <c r="B8" s="141" t="s">
        <v>816</v>
      </c>
      <c r="C8" s="141"/>
      <c r="D8" s="141"/>
      <c r="E8" s="141"/>
      <c r="F8" s="141"/>
    </row>
    <row r="9" spans="1:6" ht="19.95" customHeight="1">
      <c r="B9" s="141" t="s">
        <v>817</v>
      </c>
      <c r="C9" s="141"/>
      <c r="D9" s="141"/>
      <c r="E9" s="141"/>
      <c r="F9" s="141"/>
    </row>
    <row r="10" spans="1:6" ht="19.95" customHeight="1">
      <c r="B10" s="141" t="s">
        <v>818</v>
      </c>
      <c r="C10" s="141"/>
      <c r="D10" s="141"/>
      <c r="E10" s="141"/>
      <c r="F10" s="141"/>
    </row>
    <row r="11" spans="1:6" ht="10.050000000000001" customHeight="1">
      <c r="B11" s="57"/>
      <c r="C11" s="57"/>
      <c r="D11" s="57"/>
      <c r="E11" s="57"/>
      <c r="F11" s="57"/>
    </row>
    <row r="12" spans="1:6" ht="78" customHeight="1">
      <c r="B12" s="143" t="str">
        <f>"상기 본인은 「"&amp;IF(기초자료입력!C5&lt;&gt;"",기초자료입력!C5,"20○○")&amp;"학년도 "&amp;IF(기초자료입력!C4&lt;&gt;"",기초자료입력!C4,"◯◯◯◯학교")&amp;" 교복(동·하복) 학교주관구매」제안서를 제출함에 있어 일체의 권한을 다음의 사람에게 위임합니다."</f>
        <v>상기 본인은 「20○○학년도 ◯◯◯◯학교 교복(동·하복) 학교주관구매」제안서를 제출함에 있어 일체의 권한을 다음의 사람에게 위임합니다.</v>
      </c>
      <c r="C12" s="143"/>
      <c r="D12" s="143"/>
      <c r="E12" s="143"/>
      <c r="F12" s="143"/>
    </row>
    <row r="13" spans="1:6" ht="10.050000000000001" customHeight="1">
      <c r="B13" s="57"/>
      <c r="C13" s="57"/>
      <c r="D13" s="57"/>
      <c r="E13" s="57"/>
      <c r="F13" s="57"/>
    </row>
    <row r="14" spans="1:6" ht="10.050000000000001" customHeight="1">
      <c r="B14" s="57"/>
      <c r="C14" s="57"/>
      <c r="D14" s="57"/>
      <c r="E14" s="57"/>
      <c r="F14" s="57"/>
    </row>
    <row r="15" spans="1:6" ht="19.95" customHeight="1">
      <c r="B15" s="28" t="s">
        <v>819</v>
      </c>
      <c r="C15" s="95"/>
      <c r="D15" s="95"/>
      <c r="E15" s="95"/>
      <c r="F15" s="95"/>
    </row>
    <row r="16" spans="1:6" ht="19.95" customHeight="1">
      <c r="B16" s="28" t="s">
        <v>428</v>
      </c>
      <c r="C16" s="58"/>
      <c r="D16" s="28" t="s">
        <v>427</v>
      </c>
      <c r="E16" s="95"/>
      <c r="F16" s="95"/>
    </row>
    <row r="17" spans="2:6" ht="19.95" customHeight="1">
      <c r="B17" s="28" t="s">
        <v>820</v>
      </c>
      <c r="C17" s="95"/>
      <c r="D17" s="95"/>
      <c r="E17" s="95"/>
      <c r="F17" s="95"/>
    </row>
    <row r="18" spans="2:6" ht="10.050000000000001" customHeight="1">
      <c r="B18" s="57"/>
      <c r="C18" s="57"/>
      <c r="D18" s="57"/>
      <c r="E18" s="57"/>
      <c r="F18" s="57"/>
    </row>
    <row r="19" spans="2:6" ht="16.05" customHeight="1">
      <c r="B19" s="141" t="s">
        <v>821</v>
      </c>
      <c r="C19" s="141"/>
      <c r="D19" s="141"/>
      <c r="E19" s="141"/>
      <c r="F19" s="141"/>
    </row>
    <row r="20" spans="2:6" ht="16.05" customHeight="1">
      <c r="B20" s="141" t="s">
        <v>822</v>
      </c>
      <c r="C20" s="141"/>
      <c r="D20" s="141"/>
      <c r="E20" s="141"/>
      <c r="F20" s="141"/>
    </row>
    <row r="21" spans="2:6" ht="10.050000000000001" customHeight="1">
      <c r="B21" s="57"/>
      <c r="C21" s="57"/>
      <c r="D21" s="57"/>
      <c r="E21" s="57"/>
      <c r="F21" s="57"/>
    </row>
    <row r="22" spans="2:6" ht="22.05" customHeight="1">
      <c r="B22" s="141" t="s">
        <v>823</v>
      </c>
      <c r="C22" s="141"/>
      <c r="D22" s="141"/>
      <c r="E22" s="141"/>
      <c r="F22" s="141"/>
    </row>
    <row r="23" spans="2:6" ht="10.050000000000001" customHeight="1">
      <c r="B23" s="57"/>
      <c r="C23" s="57"/>
      <c r="D23" s="57"/>
      <c r="E23" s="57"/>
      <c r="F23" s="57"/>
    </row>
    <row r="24" spans="2:6" ht="19.95" customHeight="1">
      <c r="B24" s="142" t="str">
        <f>IF(기초자료입력!$C$4="","◯◯◯◯학교장 귀하",기초자료입력!$C$4&amp;"장 귀하")</f>
        <v>◯◯◯◯학교장 귀하</v>
      </c>
      <c r="C24" s="142"/>
      <c r="D24" s="142"/>
      <c r="E24" s="142"/>
      <c r="F24" s="142"/>
    </row>
  </sheetData>
  <mergeCells count="14">
    <mergeCell ref="B10:F10"/>
    <mergeCell ref="B3:F4"/>
    <mergeCell ref="B6:F6"/>
    <mergeCell ref="B7:F7"/>
    <mergeCell ref="B8:F8"/>
    <mergeCell ref="B9:F9"/>
    <mergeCell ref="B22:F22"/>
    <mergeCell ref="B24:F24"/>
    <mergeCell ref="B12:F12"/>
    <mergeCell ref="C15:F15"/>
    <mergeCell ref="E16:F16"/>
    <mergeCell ref="C17:F17"/>
    <mergeCell ref="B19:F19"/>
    <mergeCell ref="B20:F20"/>
  </mergeCells>
  <phoneticPr fontId="6" type="noConversion"/>
  <printOptions horizontalCentered="1"/>
  <pageMargins left="0.59055208333333331" right="0.59055208333333331" top="0.59055208333333331" bottom="0.59055208333333331"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3789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6FD36-89D1-4D56-83DD-69B0324FFD73}">
  <sheetPr codeName="Sheet38"/>
  <dimension ref="A1:F25"/>
  <sheetViews>
    <sheetView workbookViewId="0"/>
  </sheetViews>
  <sheetFormatPr defaultRowHeight="17.399999999999999"/>
  <cols>
    <col min="1" max="1" width="3.19921875" customWidth="1"/>
    <col min="2" max="2" width="16.69921875" customWidth="1"/>
    <col min="3" max="6" width="14.69921875" customWidth="1"/>
  </cols>
  <sheetData>
    <row r="1" spans="1:6" ht="12" customHeight="1">
      <c r="A1" s="20"/>
    </row>
    <row r="3" spans="1:6" ht="24" customHeight="1">
      <c r="B3" s="144" t="s">
        <v>219</v>
      </c>
      <c r="C3" s="142"/>
      <c r="D3" s="142"/>
      <c r="E3" s="142"/>
      <c r="F3" s="142"/>
    </row>
    <row r="4" spans="1:6" ht="24" customHeight="1">
      <c r="B4" s="142"/>
      <c r="C4" s="142"/>
      <c r="D4" s="142"/>
      <c r="E4" s="142"/>
      <c r="F4" s="142"/>
    </row>
    <row r="5" spans="1:6" ht="10.050000000000001" customHeight="1">
      <c r="B5" s="57"/>
      <c r="C5" s="57"/>
      <c r="D5" s="57"/>
      <c r="E5" s="57"/>
      <c r="F5" s="57"/>
    </row>
    <row r="6" spans="1:6" ht="100.05" customHeight="1">
      <c r="B6" s="143" t="str">
        <f>"상기 본인은 「"&amp;IF(기초자료입력!C5&lt;&gt;"",기초자료입력!C5,"20○○")&amp;"학년도 "&amp;IF(기초자료입력!C4&lt;&gt;"",기초자료입력!C4,"○○학교")&amp;" 교복(동복·하복) 학교주관구매 입찰」제안서를 제출함에 있어, 「개인정보보호법」제15조 및 같은 법 제17조에 의거하여 아래와 같이 정보수집·제공에 동의합니다."</f>
        <v>상기 본인은 「20○○학년도 ○○학교 교복(동복·하복) 학교주관구매 입찰」제안서를 제출함에 있어, 「개인정보보호법」제15조 및 같은 법 제17조에 의거하여 아래와 같이 정보수집·제공에 동의합니다.</v>
      </c>
      <c r="C6" s="143"/>
      <c r="D6" s="143"/>
      <c r="E6" s="143"/>
      <c r="F6" s="143"/>
    </row>
    <row r="7" spans="1:6">
      <c r="B7" s="57"/>
      <c r="C7" s="57"/>
      <c r="D7" s="57"/>
      <c r="E7" s="57"/>
      <c r="F7" s="57"/>
    </row>
    <row r="8" spans="1:6">
      <c r="B8" s="57"/>
      <c r="C8" s="57"/>
      <c r="D8" s="57"/>
      <c r="E8" s="57"/>
      <c r="F8" s="57"/>
    </row>
    <row r="9" spans="1:6" ht="18" customHeight="1">
      <c r="B9" s="143" t="s">
        <v>824</v>
      </c>
      <c r="C9" s="141"/>
      <c r="D9" s="141"/>
      <c r="E9" s="141"/>
      <c r="F9" s="141"/>
    </row>
    <row r="10" spans="1:6" ht="18" customHeight="1">
      <c r="B10" s="143" t="s">
        <v>825</v>
      </c>
      <c r="C10" s="141"/>
      <c r="D10" s="141"/>
      <c r="E10" s="141"/>
      <c r="F10" s="141"/>
    </row>
    <row r="11" spans="1:6" ht="18" customHeight="1">
      <c r="B11" s="143" t="s">
        <v>826</v>
      </c>
      <c r="C11" s="141"/>
      <c r="D11" s="141"/>
      <c r="E11" s="141"/>
      <c r="F11" s="141"/>
    </row>
    <row r="12" spans="1:6" ht="78" customHeight="1">
      <c r="B12" s="143" t="s">
        <v>827</v>
      </c>
      <c r="C12" s="143"/>
      <c r="D12" s="143"/>
      <c r="E12" s="143"/>
      <c r="F12" s="143"/>
    </row>
    <row r="13" spans="1:6" ht="10.050000000000001" customHeight="1">
      <c r="B13" s="57"/>
      <c r="C13" s="57"/>
      <c r="D13" s="57"/>
      <c r="E13" s="57"/>
      <c r="F13" s="57"/>
    </row>
    <row r="14" spans="1:6" ht="10.050000000000001" customHeight="1">
      <c r="B14" s="57"/>
      <c r="C14" s="57"/>
      <c r="D14" s="57"/>
      <c r="E14" s="57"/>
      <c r="F14" s="57"/>
    </row>
    <row r="15" spans="1:6" ht="10.050000000000001" customHeight="1">
      <c r="B15" s="57"/>
      <c r="C15" s="57"/>
      <c r="D15" s="57"/>
      <c r="E15" s="57"/>
      <c r="F15" s="57"/>
    </row>
    <row r="16" spans="1:6" ht="24" customHeight="1">
      <c r="B16" s="144" t="s">
        <v>828</v>
      </c>
      <c r="C16" s="142"/>
      <c r="D16" s="142"/>
      <c r="E16" s="142"/>
      <c r="F16" s="142"/>
    </row>
    <row r="17" spans="2:6" ht="13.95" customHeight="1">
      <c r="B17" s="145" t="s">
        <v>829</v>
      </c>
      <c r="C17" s="141"/>
      <c r="D17" s="141"/>
      <c r="E17" s="141"/>
      <c r="F17" s="141"/>
    </row>
    <row r="18" spans="2:6" ht="10.050000000000001" customHeight="1">
      <c r="B18" s="57"/>
      <c r="C18" s="57"/>
      <c r="D18" s="57"/>
      <c r="E18" s="57"/>
      <c r="F18" s="57"/>
    </row>
    <row r="19" spans="2:6" ht="19.95" customHeight="1">
      <c r="B19" s="142" t="str">
        <f>IF(기초자료입력!C8&lt;&gt;"",TEXT(기초자료입력!C8,"yyyy. mm. dd."),"20○○.    .    .")</f>
        <v>20○○.    .    .</v>
      </c>
      <c r="C19" s="142"/>
      <c r="D19" s="142"/>
      <c r="E19" s="142"/>
      <c r="F19" s="142"/>
    </row>
    <row r="20" spans="2:6" ht="13.95" customHeight="1">
      <c r="B20" s="57"/>
      <c r="C20" s="57"/>
      <c r="D20" s="57"/>
      <c r="E20" s="57"/>
      <c r="F20" s="57"/>
    </row>
    <row r="21" spans="2:6" ht="18" customHeight="1">
      <c r="B21" s="141" t="s">
        <v>830</v>
      </c>
      <c r="C21" s="141"/>
      <c r="D21" s="141"/>
      <c r="E21" s="141"/>
      <c r="F21" s="141"/>
    </row>
    <row r="22" spans="2:6" ht="18" customHeight="1">
      <c r="B22" s="141" t="s">
        <v>831</v>
      </c>
      <c r="C22" s="141"/>
      <c r="D22" s="141"/>
      <c r="E22" s="141"/>
      <c r="F22" s="141"/>
    </row>
    <row r="23" spans="2:6" ht="22.05" customHeight="1">
      <c r="B23" s="141" t="s">
        <v>832</v>
      </c>
      <c r="C23" s="141"/>
      <c r="D23" s="141"/>
      <c r="E23" s="141"/>
      <c r="F23" s="141"/>
    </row>
    <row r="24" spans="2:6" ht="10.050000000000001" customHeight="1">
      <c r="B24" s="57"/>
      <c r="C24" s="57"/>
      <c r="D24" s="57"/>
      <c r="E24" s="57"/>
      <c r="F24" s="57"/>
    </row>
    <row r="25" spans="2:6" ht="19.95" customHeight="1">
      <c r="B25" s="142" t="str">
        <f>IF(기초자료입력!$C$4="","○○학교장 귀하",기초자료입력!$C$4&amp;"장 귀하")</f>
        <v>○○학교장 귀하</v>
      </c>
      <c r="C25" s="142"/>
      <c r="D25" s="142"/>
      <c r="E25" s="142"/>
      <c r="F25" s="142"/>
    </row>
  </sheetData>
  <mergeCells count="13">
    <mergeCell ref="B12:F12"/>
    <mergeCell ref="B3:F4"/>
    <mergeCell ref="B6:F6"/>
    <mergeCell ref="B9:F9"/>
    <mergeCell ref="B10:F10"/>
    <mergeCell ref="B11:F11"/>
    <mergeCell ref="B25:F25"/>
    <mergeCell ref="B16:F16"/>
    <mergeCell ref="B17:F17"/>
    <mergeCell ref="B19:F19"/>
    <mergeCell ref="B21:F21"/>
    <mergeCell ref="B22:F22"/>
    <mergeCell ref="B23:F23"/>
  </mergeCells>
  <phoneticPr fontId="6" type="noConversion"/>
  <printOptions horizontalCentered="1"/>
  <pageMargins left="0.59055208333333331" right="0.59055208333333331" top="0.59055208333333331" bottom="0.59055208333333331"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3891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6E2A20-6FAB-4879-8568-BD82A5077209}">
  <sheetPr codeName="Sheet39"/>
  <dimension ref="A1:F19"/>
  <sheetViews>
    <sheetView workbookViewId="0"/>
  </sheetViews>
  <sheetFormatPr defaultRowHeight="17.399999999999999"/>
  <cols>
    <col min="1" max="1" width="3.19921875" customWidth="1"/>
    <col min="2" max="2" width="16.69921875" customWidth="1"/>
    <col min="3" max="6" width="14.69921875" customWidth="1"/>
  </cols>
  <sheetData>
    <row r="1" spans="1:6" ht="10.050000000000001" customHeight="1">
      <c r="A1" s="20"/>
    </row>
    <row r="3" spans="1:6" ht="19.95" customHeight="1">
      <c r="B3" s="144" t="s">
        <v>222</v>
      </c>
      <c r="C3" s="142"/>
      <c r="D3" s="142"/>
      <c r="E3" s="142"/>
      <c r="F3" s="142"/>
    </row>
    <row r="4" spans="1:6" ht="19.95" customHeight="1">
      <c r="B4" s="142"/>
      <c r="C4" s="142"/>
      <c r="D4" s="142"/>
      <c r="E4" s="142"/>
      <c r="F4" s="142"/>
    </row>
    <row r="5" spans="1:6" ht="6" customHeight="1">
      <c r="B5" s="57"/>
      <c r="C5" s="57"/>
      <c r="D5" s="57"/>
      <c r="E5" s="57"/>
      <c r="F5" s="57"/>
    </row>
    <row r="6" spans="1:6" ht="166.05" customHeight="1">
      <c r="B6" s="143" t="s">
        <v>833</v>
      </c>
      <c r="C6" s="143"/>
      <c r="D6" s="143"/>
      <c r="E6" s="143"/>
      <c r="F6" s="143"/>
    </row>
    <row r="7" spans="1:6" ht="6" customHeight="1">
      <c r="B7" s="57"/>
      <c r="C7" s="57"/>
      <c r="D7" s="57"/>
      <c r="E7" s="57"/>
      <c r="F7" s="57"/>
    </row>
    <row r="8" spans="1:6" ht="6" customHeight="1">
      <c r="B8" s="57"/>
      <c r="C8" s="57"/>
      <c r="D8" s="57"/>
      <c r="E8" s="57"/>
      <c r="F8" s="57"/>
    </row>
    <row r="9" spans="1:6" ht="121.95" customHeight="1">
      <c r="B9" s="143" t="s">
        <v>834</v>
      </c>
      <c r="C9" s="143"/>
      <c r="D9" s="143"/>
      <c r="E9" s="143"/>
      <c r="F9" s="143"/>
    </row>
    <row r="10" spans="1:6" ht="78" customHeight="1">
      <c r="B10" s="143" t="s">
        <v>835</v>
      </c>
      <c r="C10" s="143"/>
      <c r="D10" s="143"/>
      <c r="E10" s="143"/>
      <c r="F10" s="143"/>
    </row>
    <row r="11" spans="1:6" ht="78" customHeight="1">
      <c r="B11" s="143" t="s">
        <v>836</v>
      </c>
      <c r="C11" s="143"/>
      <c r="D11" s="143"/>
      <c r="E11" s="143"/>
      <c r="F11" s="143"/>
    </row>
    <row r="12" spans="1:6" ht="144" customHeight="1">
      <c r="B12" s="143" t="s">
        <v>837</v>
      </c>
      <c r="C12" s="143"/>
      <c r="D12" s="143"/>
      <c r="E12" s="143"/>
      <c r="F12" s="143"/>
    </row>
    <row r="13" spans="1:6" ht="6" customHeight="1">
      <c r="B13" s="57"/>
      <c r="C13" s="57"/>
      <c r="D13" s="57"/>
      <c r="E13" s="57"/>
      <c r="F13" s="57"/>
    </row>
    <row r="14" spans="1:6" ht="6" customHeight="1">
      <c r="B14" s="57"/>
      <c r="C14" s="57"/>
      <c r="D14" s="57"/>
      <c r="E14" s="57"/>
      <c r="F14" s="57"/>
    </row>
    <row r="15" spans="1:6" ht="16.05" customHeight="1">
      <c r="B15" s="142" t="s">
        <v>838</v>
      </c>
      <c r="C15" s="142"/>
      <c r="D15" s="142"/>
      <c r="E15" s="142"/>
      <c r="F15" s="142"/>
    </row>
    <row r="16" spans="1:6" ht="6" customHeight="1">
      <c r="B16" s="57"/>
      <c r="C16" s="57"/>
      <c r="D16" s="57"/>
      <c r="E16" s="57"/>
      <c r="F16" s="57"/>
    </row>
    <row r="17" spans="2:6" ht="18" customHeight="1">
      <c r="B17" s="141" t="s">
        <v>839</v>
      </c>
      <c r="C17" s="141"/>
      <c r="D17" s="141"/>
      <c r="E17" s="141"/>
      <c r="F17" s="141"/>
    </row>
    <row r="18" spans="2:6" ht="6" customHeight="1">
      <c r="B18" s="57"/>
      <c r="C18" s="57"/>
      <c r="D18" s="57"/>
      <c r="E18" s="57"/>
      <c r="F18" s="57"/>
    </row>
    <row r="19" spans="2:6" ht="16.05" customHeight="1">
      <c r="B19" s="142" t="str">
        <f>IF(기초자료입력!$C$4="","○○○학교장 귀하",기초자료입력!$C$4&amp;"장 귀하")</f>
        <v>○○○학교장 귀하</v>
      </c>
      <c r="C19" s="142"/>
      <c r="D19" s="142"/>
      <c r="E19" s="142"/>
      <c r="F19" s="142"/>
    </row>
  </sheetData>
  <mergeCells count="9">
    <mergeCell ref="B15:F15"/>
    <mergeCell ref="B17:F17"/>
    <mergeCell ref="B19:F19"/>
    <mergeCell ref="B3:F4"/>
    <mergeCell ref="B6:F6"/>
    <mergeCell ref="B9:F9"/>
    <mergeCell ref="B10:F10"/>
    <mergeCell ref="B11:F11"/>
    <mergeCell ref="B12:F12"/>
  </mergeCells>
  <phoneticPr fontId="6" type="noConversion"/>
  <printOptions horizontalCentered="1"/>
  <pageMargins left="0.39370138888888889" right="0.39370138888888889" top="0.39370138888888889" bottom="0.39370138888888889"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93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106680</xdr:rowOff>
                  </to>
                </anchor>
              </controlPr>
            </control>
          </mc:Choice>
        </mc:AlternateContent>
        <mc:AlternateContent xmlns:mc="http://schemas.openxmlformats.org/markup-compatibility/2006">
          <mc:Choice Requires="x14">
            <control shapeId="3993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106680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9DA264-19CB-42B3-B556-B0FA1AB7310C}">
  <sheetPr codeName="Sheet40"/>
  <dimension ref="A1:G29"/>
  <sheetViews>
    <sheetView workbookViewId="0"/>
  </sheetViews>
  <sheetFormatPr defaultRowHeight="17.399999999999999"/>
  <cols>
    <col min="1" max="1" width="3.19921875" customWidth="1"/>
    <col min="2" max="2" width="11.69921875" customWidth="1"/>
    <col min="3" max="3" width="8.69921875" customWidth="1"/>
    <col min="4" max="4" width="12.69921875" customWidth="1"/>
    <col min="5" max="6" width="10.69921875" customWidth="1"/>
    <col min="7" max="7" width="8.69921875" customWidth="1"/>
  </cols>
  <sheetData>
    <row r="1" spans="1:7" ht="12" customHeight="1">
      <c r="A1" s="20"/>
    </row>
    <row r="3" spans="1:7">
      <c r="B3" s="109" t="s">
        <v>840</v>
      </c>
      <c r="C3" s="110"/>
      <c r="D3" s="110"/>
      <c r="E3" s="110"/>
      <c r="F3" s="110"/>
      <c r="G3" s="110"/>
    </row>
    <row r="4" spans="1:7" ht="10.050000000000001" customHeight="1">
      <c r="B4" s="49"/>
      <c r="C4" s="49"/>
      <c r="D4" s="49"/>
      <c r="E4" s="49"/>
      <c r="F4" s="49"/>
      <c r="G4" s="49"/>
    </row>
    <row r="5" spans="1:7">
      <c r="B5" s="147" t="str">
        <f>"1. 건  명 : "&amp;IF(기초자료입력!C12&lt;&gt;"",기초자료입력!C12,IF(기초자료입력!C5&lt;&gt;"",기초자료입력!C5,"20○○")&amp;"학년도 "&amp;IF(기초자료입력!C4&lt;&gt;"",기초자료입력!C4,"◯◯◯◯학교")&amp;" 교복(동·하복) 학교주관 구매")</f>
        <v>1. 건  명 : 20○○학년도 ◯◯◯◯학교 교복(동·하복) 학교주관 구매</v>
      </c>
      <c r="C5" s="147"/>
      <c r="D5" s="147"/>
      <c r="E5" s="147"/>
      <c r="F5" s="147"/>
      <c r="G5" s="147"/>
    </row>
    <row r="6" spans="1:7">
      <c r="B6" s="103" t="s">
        <v>841</v>
      </c>
      <c r="C6" s="103"/>
      <c r="D6" s="103"/>
      <c r="E6" s="103"/>
      <c r="F6" s="103"/>
      <c r="G6" s="103"/>
    </row>
    <row r="7" spans="1:7">
      <c r="B7" s="148" t="str">
        <f>"3. 낙찰금액(동/하복 한 벌 기준) : "&amp;IF(ISNUMBER('F-043_계약체결'!$C$16),TEXT('F-043_계약체결'!$C$16,"#,##0")&amp;"원","000,000원(F-043 계약체결 낙찰단가 미입력)")</f>
        <v>3. 낙찰금액(동/하복 한 벌 기준) : 000,000원(F-043 계약체결 낙찰단가 미입력)</v>
      </c>
      <c r="C7" s="147"/>
      <c r="D7" s="147"/>
      <c r="E7" s="147"/>
      <c r="F7" s="147"/>
      <c r="G7" s="147"/>
    </row>
    <row r="8" spans="1:7" ht="10.050000000000001" customHeight="1">
      <c r="B8" s="49"/>
      <c r="C8" s="49"/>
      <c r="D8" s="49"/>
      <c r="E8" s="49"/>
      <c r="F8" s="49"/>
      <c r="G8" s="49"/>
    </row>
    <row r="9" spans="1:7">
      <c r="B9" s="148" t="s">
        <v>842</v>
      </c>
      <c r="C9" s="147"/>
      <c r="D9" s="147"/>
      <c r="E9" s="147"/>
      <c r="F9" s="147"/>
      <c r="G9" s="147"/>
    </row>
    <row r="10" spans="1:7" ht="10.050000000000001" customHeight="1">
      <c r="B10" s="49"/>
      <c r="C10" s="49"/>
      <c r="D10" s="49"/>
      <c r="E10" s="49"/>
      <c r="F10" s="49"/>
      <c r="G10" s="49"/>
    </row>
    <row r="11" spans="1:7">
      <c r="B11" s="27" t="s">
        <v>314</v>
      </c>
      <c r="C11" s="27" t="s">
        <v>47</v>
      </c>
      <c r="D11" s="27" t="s">
        <v>843</v>
      </c>
      <c r="E11" s="108" t="s">
        <v>844</v>
      </c>
      <c r="F11" s="108"/>
      <c r="G11" s="27" t="s">
        <v>316</v>
      </c>
    </row>
    <row r="12" spans="1:7" ht="18" customHeight="1">
      <c r="B12" s="51" t="str">
        <f>IF(기초자료입력!B29&lt;&gt;"",기초자료입력!B29,"후드 점퍼")</f>
        <v>후드 점퍼</v>
      </c>
      <c r="C12" s="51">
        <v>1</v>
      </c>
      <c r="D12" s="51" t="str">
        <f>IF(SUM(기초자료입력!$D$29:$D$34)=0,"",TEXT(기초자료입력!D29/SUM(기초자료입력!$D$29:$D$34)*100,"0.0")&amp;"%")</f>
        <v/>
      </c>
      <c r="E12" s="68">
        <f>IF(OR(SUM(기초자료입력!$D$29:$D$34)=0,NOT(ISNUMBER('F-043_계약체결'!$C$16))),0,ROUNDDOWN('F-043_계약체결'!$C$16*(기초자료입력!D29/SUM(기초자료입력!$D$29:$D$34)),0))</f>
        <v>0</v>
      </c>
      <c r="F12" s="52"/>
      <c r="G12" s="52"/>
    </row>
    <row r="13" spans="1:7" ht="18" customHeight="1">
      <c r="B13" s="51" t="str">
        <f>IF(기초자료입력!B30&lt;&gt;"",기초자료입력!B30,"집업티")</f>
        <v>집업티</v>
      </c>
      <c r="C13" s="51">
        <v>1</v>
      </c>
      <c r="D13" s="51" t="str">
        <f>IF(SUM(기초자료입력!$D$29:$D$34)=0,"",TEXT(기초자료입력!D30/SUM(기초자료입력!$D$29:$D$34)*100,"0.0")&amp;"%")</f>
        <v/>
      </c>
      <c r="E13" s="68">
        <f>IF(OR(SUM(기초자료입력!$D$29:$D$34)=0,NOT(ISNUMBER('F-043_계약체결'!$C$16))),0,ROUNDDOWN('F-043_계약체결'!$C$16*(기초자료입력!D30/SUM(기초자료입력!$D$29:$D$34)),0))</f>
        <v>0</v>
      </c>
      <c r="F13" s="52"/>
      <c r="G13" s="52"/>
    </row>
    <row r="14" spans="1:7" ht="18" customHeight="1">
      <c r="B14" s="51" t="str">
        <f>IF(기초자료입력!B31&lt;&gt;"",기초자료입력!B31,"맨투맨티")</f>
        <v>맨투맨티</v>
      </c>
      <c r="C14" s="51">
        <v>1</v>
      </c>
      <c r="D14" s="51" t="str">
        <f>IF(SUM(기초자료입력!$D$29:$D$34)=0,"",TEXT(기초자료입력!D31/SUM(기초자료입력!$D$29:$D$34)*100,"0.0")&amp;"%")</f>
        <v/>
      </c>
      <c r="E14" s="68">
        <f>IF(OR(SUM(기초자료입력!$D$29:$D$34)=0,NOT(ISNUMBER('F-043_계약체결'!$C$16))),0,ROUNDDOWN('F-043_계약체결'!$C$16*(기초자료입력!D31/SUM(기초자료입력!$D$29:$D$34)),0))</f>
        <v>0</v>
      </c>
      <c r="F14" s="52"/>
      <c r="G14" s="52"/>
    </row>
    <row r="15" spans="1:7" ht="18" customHeight="1">
      <c r="B15" s="51" t="str">
        <f>IF(기초자료입력!B32&lt;&gt;"",기초자료입력!B32,"긴바지")</f>
        <v>긴바지</v>
      </c>
      <c r="C15" s="51">
        <v>1</v>
      </c>
      <c r="D15" s="51" t="str">
        <f>IF(SUM(기초자료입력!$D$29:$D$34)=0,"",TEXT(기초자료입력!D32/SUM(기초자료입력!$D$29:$D$34)*100,"0.0")&amp;"%")</f>
        <v/>
      </c>
      <c r="E15" s="68">
        <f>IF(OR(SUM(기초자료입력!$D$29:$D$34)=0,NOT(ISNUMBER('F-043_계약체결'!$C$16))),0,ROUNDDOWN('F-043_계약체결'!$C$16*(기초자료입력!D32/SUM(기초자료입력!$D$29:$D$34)),0))</f>
        <v>0</v>
      </c>
      <c r="F15" s="52"/>
      <c r="G15" s="52"/>
    </row>
    <row r="16" spans="1:7" ht="18" customHeight="1">
      <c r="B16" s="51" t="str">
        <f>IF(기초자료입력!B33&lt;&gt;"",기초자료입력!B33,"반팔티")</f>
        <v>반팔티</v>
      </c>
      <c r="C16" s="51">
        <v>1</v>
      </c>
      <c r="D16" s="51" t="str">
        <f>IF(SUM(기초자료입력!$D$29:$D$34)=0,"",TEXT(기초자료입력!D33/SUM(기초자료입력!$D$29:$D$34)*100,"0.0")&amp;"%")</f>
        <v/>
      </c>
      <c r="E16" s="68">
        <f>IF(OR(SUM(기초자료입력!$D$29:$D$34)=0,NOT(ISNUMBER('F-043_계약체결'!$C$16))),0,ROUNDDOWN('F-043_계약체결'!$C$16*(기초자료입력!D33/SUM(기초자료입력!$D$29:$D$34)),0))</f>
        <v>0</v>
      </c>
      <c r="F16" s="52"/>
      <c r="G16" s="52"/>
    </row>
    <row r="17" spans="2:7" ht="18" customHeight="1">
      <c r="B17" s="51" t="str">
        <f>IF(기초자료입력!B34&lt;&gt;"",기초자료입력!B34,"반바지")</f>
        <v>반바지</v>
      </c>
      <c r="C17" s="51">
        <v>1</v>
      </c>
      <c r="D17" s="51" t="str">
        <f>IF(SUM(기초자료입력!$D$29:$D$34)=0,"",TEXT(기초자료입력!D34/SUM(기초자료입력!$D$29:$D$34)*100,"0.0")&amp;"%")</f>
        <v/>
      </c>
      <c r="E17" s="68">
        <f>IF(OR(SUM(기초자료입력!$D$29:$D$34)=0,NOT(ISNUMBER('F-043_계약체결'!$C$16))),0,ROUNDDOWN('F-043_계약체결'!$C$16*(기초자료입력!D34/SUM(기초자료입력!$D$29:$D$34)),0))</f>
        <v>0</v>
      </c>
      <c r="F17" s="52"/>
      <c r="G17" s="52"/>
    </row>
    <row r="18" spans="2:7" ht="18" customHeight="1">
      <c r="B18" s="27" t="s">
        <v>296</v>
      </c>
      <c r="C18" s="51">
        <f>SUM(C12:C17)</f>
        <v>6</v>
      </c>
      <c r="D18" s="27" t="str">
        <f>"100%"</f>
        <v>100%</v>
      </c>
      <c r="E18" s="146">
        <f>SUM(E12:E17)</f>
        <v>0</v>
      </c>
      <c r="F18" s="134"/>
      <c r="G18" s="52"/>
    </row>
    <row r="19" spans="2:7" ht="10.050000000000001" customHeight="1">
      <c r="B19" s="49"/>
      <c r="C19" s="49"/>
      <c r="D19" s="49"/>
      <c r="E19" s="49"/>
      <c r="F19" s="49"/>
      <c r="G19" s="49"/>
    </row>
    <row r="20" spans="2:7" ht="30" customHeight="1">
      <c r="B20" s="103" t="s">
        <v>845</v>
      </c>
      <c r="C20" s="103"/>
      <c r="D20" s="103"/>
      <c r="E20" s="103"/>
      <c r="F20" s="103"/>
      <c r="G20" s="103"/>
    </row>
    <row r="21" spans="2:7" ht="1.05" customHeight="1">
      <c r="B21" s="103"/>
      <c r="C21" s="103"/>
      <c r="D21" s="103"/>
      <c r="E21" s="103"/>
      <c r="F21" s="103"/>
      <c r="G21" s="103"/>
    </row>
    <row r="22" spans="2:7" ht="10.050000000000001" customHeight="1">
      <c r="B22" s="49"/>
      <c r="C22" s="49"/>
      <c r="D22" s="49"/>
      <c r="E22" s="49"/>
      <c r="F22" s="49"/>
      <c r="G22" s="49"/>
    </row>
    <row r="23" spans="2:7">
      <c r="B23" s="110" t="s">
        <v>846</v>
      </c>
      <c r="C23" s="110"/>
      <c r="D23" s="110"/>
      <c r="E23" s="110"/>
      <c r="F23" s="110"/>
      <c r="G23" s="110"/>
    </row>
    <row r="24" spans="2:7" ht="10.050000000000001" customHeight="1">
      <c r="B24" s="49"/>
      <c r="C24" s="49"/>
      <c r="D24" s="49"/>
      <c r="E24" s="49"/>
      <c r="F24" s="49"/>
      <c r="G24" s="49"/>
    </row>
    <row r="25" spans="2:7">
      <c r="B25" s="147" t="s">
        <v>847</v>
      </c>
      <c r="C25" s="147"/>
      <c r="D25" s="147"/>
      <c r="E25" s="147"/>
      <c r="F25" s="147"/>
      <c r="G25" s="147"/>
    </row>
    <row r="26" spans="2:7" ht="10.050000000000001" customHeight="1">
      <c r="B26" s="49"/>
      <c r="C26" s="49"/>
      <c r="D26" s="49"/>
      <c r="E26" s="49"/>
      <c r="F26" s="49"/>
      <c r="G26" s="49"/>
    </row>
    <row r="27" spans="2:7">
      <c r="B27" s="110" t="str">
        <f>IF(기초자료입력!$C$4="","◯◯◯◯학교장 귀하",기초자료입력!$C$4&amp;"장 귀하")</f>
        <v>◯◯◯◯학교장 귀하</v>
      </c>
      <c r="C27" s="110"/>
      <c r="D27" s="110"/>
      <c r="E27" s="110"/>
      <c r="F27" s="110"/>
      <c r="G27" s="110"/>
    </row>
    <row r="28" spans="2:7" ht="10.050000000000001" customHeight="1">
      <c r="B28" s="49"/>
      <c r="C28" s="49"/>
      <c r="D28" s="49"/>
      <c r="E28" s="49"/>
      <c r="F28" s="49"/>
      <c r="G28" s="49"/>
    </row>
    <row r="29" spans="2:7">
      <c r="B29" s="147" t="s">
        <v>848</v>
      </c>
      <c r="C29" s="147"/>
      <c r="D29" s="147"/>
      <c r="E29" s="147"/>
      <c r="F29" s="147"/>
      <c r="G29" s="147"/>
    </row>
  </sheetData>
  <mergeCells count="12">
    <mergeCell ref="B29:G29"/>
    <mergeCell ref="B3:G3"/>
    <mergeCell ref="B5:G5"/>
    <mergeCell ref="B6:G6"/>
    <mergeCell ref="B7:G7"/>
    <mergeCell ref="B9:G9"/>
    <mergeCell ref="E11:F11"/>
    <mergeCell ref="E18:F18"/>
    <mergeCell ref="B20:G21"/>
    <mergeCell ref="B23:G23"/>
    <mergeCell ref="B25:G25"/>
    <mergeCell ref="B27:G27"/>
  </mergeCells>
  <phoneticPr fontId="6" type="noConversion"/>
  <printOptions horizontalCentered="1"/>
  <pageMargins left="0.50000076388888881" right="0.50000076388888881" top="0.50000076388888881" bottom="0.50000076388888881"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76200</xdr:rowOff>
                  </to>
                </anchor>
              </controlPr>
            </control>
          </mc:Choice>
        </mc:AlternateContent>
        <mc:AlternateContent xmlns:mc="http://schemas.openxmlformats.org/markup-compatibility/2006">
          <mc:Choice Requires="x14">
            <control shapeId="4096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C08D1E-B88C-4A38-9DC2-2D79B18F9E17}">
  <sheetPr codeName="Sheet41"/>
  <dimension ref="A1:H36"/>
  <sheetViews>
    <sheetView workbookViewId="0"/>
  </sheetViews>
  <sheetFormatPr defaultRowHeight="17.399999999999999"/>
  <cols>
    <col min="1" max="1" width="3.19921875" customWidth="1"/>
    <col min="2" max="2" width="11.69921875" customWidth="1"/>
    <col min="3" max="3" width="14.69921875" customWidth="1"/>
    <col min="4" max="4" width="13.69921875" customWidth="1"/>
    <col min="5" max="5" width="10.69921875" customWidth="1"/>
    <col min="6" max="8" width="8.69921875" customWidth="1"/>
  </cols>
  <sheetData>
    <row r="1" spans="1:8">
      <c r="A1" s="20"/>
    </row>
    <row r="3" spans="1:8">
      <c r="B3" s="93" t="str">
        <f>IF(기초자료입력!C4&lt;&gt;"",기초자료입력!C4,"○○학교")&amp;" 교복구매 제안서 접수 결과"</f>
        <v>○○학교 교복구매 제안서 접수 결과</v>
      </c>
      <c r="C3" s="94"/>
      <c r="D3" s="94"/>
      <c r="E3" s="94"/>
      <c r="F3" s="94"/>
      <c r="G3" s="94"/>
      <c r="H3" s="94"/>
    </row>
    <row r="4" spans="1:8">
      <c r="B4" s="94"/>
      <c r="C4" s="94"/>
      <c r="D4" s="94"/>
      <c r="E4" s="94"/>
      <c r="F4" s="94"/>
      <c r="G4" s="94"/>
      <c r="H4" s="94"/>
    </row>
    <row r="5" spans="1:8">
      <c r="B5" s="55" t="s">
        <v>13</v>
      </c>
      <c r="C5" s="37" t="str">
        <f>IF(기초자료입력!C9&lt;&gt;"",기초자료입력!C9,"")</f>
        <v/>
      </c>
      <c r="D5" s="37"/>
      <c r="E5" s="55" t="s">
        <v>291</v>
      </c>
      <c r="F5" s="37" t="str">
        <f>IF(기초자료입력!C8&lt;&gt;"",TEXT(기초자료입력!C8,"yyyy-mm-dd"),"")</f>
        <v/>
      </c>
      <c r="G5" s="37"/>
      <c r="H5" s="37"/>
    </row>
    <row r="6" spans="1:8">
      <c r="B6" s="37"/>
      <c r="C6" s="37"/>
      <c r="D6" s="37"/>
      <c r="E6" s="37"/>
      <c r="F6" s="37"/>
      <c r="G6" s="37"/>
      <c r="H6" s="37"/>
    </row>
    <row r="7" spans="1:8">
      <c r="B7" s="55" t="s">
        <v>292</v>
      </c>
      <c r="C7" s="87" t="s">
        <v>500</v>
      </c>
      <c r="D7" s="87"/>
      <c r="E7" s="87"/>
      <c r="F7" s="87"/>
      <c r="G7" s="87"/>
      <c r="H7" s="87"/>
    </row>
    <row r="8" spans="1:8">
      <c r="B8" s="55" t="s">
        <v>297</v>
      </c>
      <c r="C8" s="87"/>
      <c r="D8" s="87"/>
      <c r="E8" s="87"/>
      <c r="F8" s="87"/>
      <c r="G8" s="87"/>
      <c r="H8" s="87"/>
    </row>
    <row r="9" spans="1:8">
      <c r="B9" s="55" t="s">
        <v>293</v>
      </c>
      <c r="C9" s="89" t="str">
        <f>IF(기초자료입력!C22&lt;&gt;"",기초자료입력!C22,IF(기초자료입력!C5&lt;&gt;"",기초자료입력!C5,"20○○")&amp;"학년도 교복 학교주관구매 제안서 접수 결과 보고")</f>
        <v>20○○학년도 교복 학교주관구매 제안서 접수 결과 보고</v>
      </c>
      <c r="D9" s="87"/>
      <c r="E9" s="87"/>
      <c r="F9" s="87"/>
      <c r="G9" s="87"/>
      <c r="H9" s="87"/>
    </row>
    <row r="10" spans="1:8">
      <c r="B10" s="38"/>
      <c r="C10" s="38"/>
      <c r="D10" s="38"/>
      <c r="E10" s="38"/>
      <c r="F10" s="38"/>
      <c r="G10" s="38"/>
      <c r="H10" s="38"/>
    </row>
    <row r="11" spans="1:8">
      <c r="B11" s="88" t="str">
        <f>"1. "&amp;IF(기초자료입력!C23&lt;&gt;"",기초자료입력!C23,"관련 문서를 확인하십시오.")</f>
        <v>1. 관련 문서를 확인하십시오.</v>
      </c>
      <c r="C11" s="86"/>
      <c r="D11" s="86"/>
      <c r="E11" s="86"/>
      <c r="F11" s="86"/>
      <c r="G11" s="86"/>
      <c r="H11" s="86"/>
    </row>
    <row r="12" spans="1:8">
      <c r="B12" s="38"/>
      <c r="C12" s="38"/>
      <c r="D12" s="38"/>
      <c r="E12" s="38"/>
      <c r="F12" s="38"/>
      <c r="G12" s="38"/>
      <c r="H12" s="38"/>
    </row>
    <row r="13" spans="1:8" ht="31.95" customHeight="1">
      <c r="B13" s="104" t="str">
        <f>"2. "&amp;IF(기초자료입력!C5&lt;&gt;"",기초자료입력!C5,"20○○")&amp;"학년도 "&amp;IF(기초자료입력!C12&lt;&gt;"",기초자료입력!C12,"교복 학교주관구매")&amp;" 2단계 입찰(규격·가격 동시) 공고와 관련하여 제안서 접수 결과를 아래와 같이 보고합니다."</f>
        <v>2. 20○○학년도 교복 학교주관구매 2단계 입찰(규격·가격 동시) 공고와 관련하여 제안서 접수 결과를 아래와 같이 보고합니다.</v>
      </c>
      <c r="C13" s="104"/>
      <c r="D13" s="104"/>
      <c r="E13" s="104"/>
      <c r="F13" s="104"/>
      <c r="G13" s="104"/>
      <c r="H13" s="104"/>
    </row>
    <row r="14" spans="1:8">
      <c r="B14" s="104"/>
      <c r="C14" s="104"/>
      <c r="D14" s="104"/>
      <c r="E14" s="104"/>
      <c r="F14" s="104"/>
      <c r="G14" s="104"/>
      <c r="H14" s="104"/>
    </row>
    <row r="15" spans="1:8">
      <c r="B15" s="38"/>
      <c r="C15" s="38"/>
      <c r="D15" s="38"/>
      <c r="E15" s="38"/>
      <c r="F15" s="38"/>
      <c r="G15" s="38"/>
      <c r="H15" s="38"/>
    </row>
    <row r="16" spans="1:8">
      <c r="B16" s="88" t="s">
        <v>849</v>
      </c>
      <c r="C16" s="86"/>
      <c r="D16" s="86"/>
      <c r="E16" s="86"/>
      <c r="F16" s="86"/>
      <c r="G16" s="86"/>
      <c r="H16" s="86"/>
    </row>
    <row r="17" spans="2:8">
      <c r="B17" s="114" t="s">
        <v>850</v>
      </c>
      <c r="C17" s="114" t="s">
        <v>851</v>
      </c>
      <c r="D17" s="114" t="s">
        <v>852</v>
      </c>
      <c r="E17" s="114"/>
      <c r="F17" s="38"/>
      <c r="G17" s="38"/>
      <c r="H17" s="38"/>
    </row>
    <row r="18" spans="2:8">
      <c r="B18" s="114"/>
      <c r="C18" s="114"/>
      <c r="D18" s="63" t="s">
        <v>52</v>
      </c>
      <c r="E18" s="63" t="s">
        <v>377</v>
      </c>
      <c r="F18" s="38"/>
      <c r="G18" s="38"/>
      <c r="H18" s="38"/>
    </row>
    <row r="19" spans="2:8">
      <c r="B19" s="29" t="str">
        <f>IF(기초자료입력!B44&lt;&gt;"",1,"")</f>
        <v/>
      </c>
      <c r="C19" s="69"/>
      <c r="D19" s="29" t="str">
        <f>IF(기초자료입력!B44&lt;&gt;"",기초자료입력!B44,"")</f>
        <v/>
      </c>
      <c r="E19" s="69" t="str">
        <f>IF(기초자료입력!S44&lt;&gt;"",기초자료입력!S44,"")</f>
        <v/>
      </c>
      <c r="F19" s="38"/>
      <c r="G19" s="38"/>
      <c r="H19" s="38"/>
    </row>
    <row r="20" spans="2:8">
      <c r="B20" s="29" t="str">
        <f>IF(기초자료입력!B45&lt;&gt;"",2,"")</f>
        <v/>
      </c>
      <c r="C20" s="69"/>
      <c r="D20" s="29" t="str">
        <f>IF(기초자료입력!B45&lt;&gt;"",기초자료입력!B45,"")</f>
        <v/>
      </c>
      <c r="E20" s="69" t="str">
        <f>IF(기초자료입력!S45&lt;&gt;"",기초자료입력!S45,"")</f>
        <v/>
      </c>
      <c r="F20" s="38"/>
      <c r="G20" s="38"/>
      <c r="H20" s="38"/>
    </row>
    <row r="21" spans="2:8">
      <c r="B21" s="29" t="str">
        <f>IF(기초자료입력!B46&lt;&gt;"",3,"")</f>
        <v/>
      </c>
      <c r="C21" s="69"/>
      <c r="D21" s="29" t="str">
        <f>IF(기초자료입력!B46&lt;&gt;"",기초자료입력!B46,"")</f>
        <v/>
      </c>
      <c r="E21" s="69" t="str">
        <f>IF(기초자료입력!S46&lt;&gt;"",기초자료입력!S46,"")</f>
        <v/>
      </c>
      <c r="F21" s="38"/>
      <c r="G21" s="38"/>
      <c r="H21" s="38"/>
    </row>
    <row r="22" spans="2:8">
      <c r="B22" s="29" t="str">
        <f>IF(기초자료입력!B47&lt;&gt;"",4,"")</f>
        <v/>
      </c>
      <c r="C22" s="69"/>
      <c r="D22" s="29" t="str">
        <f>IF(기초자료입력!B47&lt;&gt;"",기초자료입력!B47,"")</f>
        <v/>
      </c>
      <c r="E22" s="69" t="str">
        <f>IF(기초자료입력!S47&lt;&gt;"",기초자료입력!S47,"")</f>
        <v/>
      </c>
      <c r="F22" s="38"/>
      <c r="G22" s="38"/>
      <c r="H22" s="38"/>
    </row>
    <row r="23" spans="2:8">
      <c r="B23" s="29" t="str">
        <f>IF(기초자료입력!B48&lt;&gt;"",5,"")</f>
        <v/>
      </c>
      <c r="C23" s="69"/>
      <c r="D23" s="29" t="str">
        <f>IF(기초자료입력!B48&lt;&gt;"",기초자료입력!B48,"")</f>
        <v/>
      </c>
      <c r="E23" s="69" t="str">
        <f>IF(기초자료입력!S48&lt;&gt;"",기초자료입력!S48,"")</f>
        <v/>
      </c>
      <c r="F23" s="38"/>
      <c r="G23" s="38"/>
      <c r="H23" s="38"/>
    </row>
    <row r="24" spans="2:8">
      <c r="B24" s="29" t="str">
        <f>IF(기초자료입력!B49&lt;&gt;"",6,"")</f>
        <v/>
      </c>
      <c r="C24" s="69"/>
      <c r="D24" s="29" t="str">
        <f>IF(기초자료입력!B49&lt;&gt;"",기초자료입력!B49,"")</f>
        <v/>
      </c>
      <c r="E24" s="69" t="str">
        <f>IF(기초자료입력!S49&lt;&gt;"",기초자료입력!S49,"")</f>
        <v/>
      </c>
      <c r="F24" s="38"/>
      <c r="G24" s="38"/>
      <c r="H24" s="38"/>
    </row>
    <row r="25" spans="2:8">
      <c r="B25" s="29" t="str">
        <f>IF(기초자료입력!B50&lt;&gt;"",7,"")</f>
        <v/>
      </c>
      <c r="C25" s="69"/>
      <c r="D25" s="29" t="str">
        <f>IF(기초자료입력!B50&lt;&gt;"",기초자료입력!B50,"")</f>
        <v/>
      </c>
      <c r="E25" s="69" t="str">
        <f>IF(기초자료입력!S50&lt;&gt;"",기초자료입력!S50,"")</f>
        <v/>
      </c>
      <c r="F25" s="38"/>
      <c r="G25" s="38"/>
      <c r="H25" s="38"/>
    </row>
    <row r="26" spans="2:8">
      <c r="B26" s="29" t="str">
        <f>IF(기초자료입력!B51&lt;&gt;"",8,"")</f>
        <v/>
      </c>
      <c r="C26" s="69"/>
      <c r="D26" s="29" t="str">
        <f>IF(기초자료입력!B51&lt;&gt;"",기초자료입력!B51,"")</f>
        <v/>
      </c>
      <c r="E26" s="69" t="str">
        <f>IF(기초자료입력!S51&lt;&gt;"",기초자료입력!S51,"")</f>
        <v/>
      </c>
      <c r="F26" s="38"/>
      <c r="G26" s="38"/>
      <c r="H26" s="38"/>
    </row>
    <row r="27" spans="2:8">
      <c r="B27" s="29" t="str">
        <f>IF(기초자료입력!B52&lt;&gt;"",9,"")</f>
        <v/>
      </c>
      <c r="C27" s="69"/>
      <c r="D27" s="29" t="str">
        <f>IF(기초자료입력!B52&lt;&gt;"",기초자료입력!B52,"")</f>
        <v/>
      </c>
      <c r="E27" s="69" t="str">
        <f>IF(기초자료입력!S52&lt;&gt;"",기초자료입력!S52,"")</f>
        <v/>
      </c>
      <c r="F27" s="38"/>
      <c r="G27" s="38"/>
      <c r="H27" s="38"/>
    </row>
    <row r="28" spans="2:8">
      <c r="B28" s="29" t="str">
        <f>IF(기초자료입력!B53&lt;&gt;"",10,"")</f>
        <v/>
      </c>
      <c r="C28" s="69"/>
      <c r="D28" s="29" t="str">
        <f>IF(기초자료입력!B53&lt;&gt;"",기초자료입력!B53,"")</f>
        <v/>
      </c>
      <c r="E28" s="69" t="str">
        <f>IF(기초자료입력!S53&lt;&gt;"",기초자료입력!S53,"")</f>
        <v/>
      </c>
      <c r="F28" s="38"/>
      <c r="G28" s="38"/>
      <c r="H28" s="38"/>
    </row>
    <row r="29" spans="2:8">
      <c r="B29" s="38"/>
      <c r="C29" s="38"/>
      <c r="D29" s="38"/>
      <c r="E29" s="38"/>
      <c r="F29" s="38"/>
      <c r="G29" s="38"/>
      <c r="H29" s="38"/>
    </row>
    <row r="30" spans="2:8">
      <c r="B30" s="86" t="str">
        <f>"붙임  "&amp;IF(기초자료입력!C5&lt;&gt;"",기초자료입력!C5,"20○○")&amp;"학년도 교복 학교주관구매 제안서 접수대장 1부.  끝."</f>
        <v>붙임  20○○학년도 교복 학교주관구매 제안서 접수대장 1부.  끝.</v>
      </c>
      <c r="C30" s="86"/>
      <c r="D30" s="86"/>
      <c r="E30" s="86"/>
      <c r="F30" s="86"/>
      <c r="G30" s="86"/>
      <c r="H30" s="86"/>
    </row>
    <row r="31" spans="2:8">
      <c r="B31" s="38"/>
      <c r="C31" s="38"/>
      <c r="D31" s="38"/>
      <c r="E31" s="38"/>
      <c r="F31" s="38"/>
      <c r="G31" s="38"/>
      <c r="H31" s="38"/>
    </row>
    <row r="32" spans="2:8">
      <c r="B32" s="38"/>
      <c r="C32" s="38"/>
      <c r="D32" s="38"/>
      <c r="E32" s="38"/>
      <c r="F32" s="38"/>
      <c r="G32" s="38"/>
      <c r="H32" s="38"/>
    </row>
    <row r="33" spans="2:8" ht="28.05" customHeight="1">
      <c r="B33" s="38"/>
      <c r="C33" s="38"/>
      <c r="D33" s="38"/>
      <c r="E33" s="38"/>
      <c r="F33" s="56" t="str">
        <f>"담당"&amp;CHAR(10)&amp;IF(기초자료입력!$C$10&lt;&gt;"",기초자료입력!$C$10,"")</f>
        <v xml:space="preserve">담당
</v>
      </c>
      <c r="G33" s="56" t="s">
        <v>304</v>
      </c>
      <c r="H33" s="56" t="str">
        <f>"교장"&amp;CHAR(10)&amp;IF(기초자료입력!$F$10&lt;&gt;"",기초자료입력!$F$10,"")</f>
        <v xml:space="preserve">교장
</v>
      </c>
    </row>
    <row r="34" spans="2:8">
      <c r="B34" s="53" t="s">
        <v>305</v>
      </c>
      <c r="C34" s="86" t="str">
        <f>IF(기초자료입력!C9&lt;&gt;"",기초자료입력!C9&amp;IF(기초자료입력!C8&lt;&gt;"","("&amp;TEXT(기초자료입력!C8,"yyyy.m.d.")&amp;")",""),"")</f>
        <v/>
      </c>
      <c r="D34" s="86"/>
      <c r="E34" s="86"/>
      <c r="F34" s="55" t="s">
        <v>306</v>
      </c>
      <c r="G34" s="87"/>
      <c r="H34" s="87"/>
    </row>
    <row r="35" spans="2:8">
      <c r="B35" s="53" t="s">
        <v>307</v>
      </c>
      <c r="C35" s="38"/>
      <c r="D35" s="53" t="s">
        <v>308</v>
      </c>
      <c r="E35" s="86" t="str">
        <f>IFERROR(INDEX(학교정보!$F$2:$F$791,MATCH(기초자료입력!$C$4,학교정보!$E$2:$E$791,0)),"")</f>
        <v/>
      </c>
      <c r="F35" s="87"/>
      <c r="G35" s="87"/>
      <c r="H35" s="87"/>
    </row>
    <row r="36" spans="2:8">
      <c r="B36" s="53" t="s">
        <v>309</v>
      </c>
      <c r="C36" s="38" t="str">
        <f>IFERROR(INDEX(학교정보!$G$2:$G$791,MATCH(기초자료입력!$C$4,학교정보!$E$2:$E$791,0)),"")</f>
        <v/>
      </c>
      <c r="D36" s="53" t="s">
        <v>310</v>
      </c>
      <c r="E36" s="38"/>
      <c r="F36" s="55" t="s">
        <v>311</v>
      </c>
      <c r="G36" s="87"/>
      <c r="H36" s="87"/>
    </row>
  </sheetData>
  <mergeCells count="15">
    <mergeCell ref="B13:H14"/>
    <mergeCell ref="B3:H4"/>
    <mergeCell ref="C7:H7"/>
    <mergeCell ref="C8:H8"/>
    <mergeCell ref="C9:H9"/>
    <mergeCell ref="B11:H11"/>
    <mergeCell ref="E35:H35"/>
    <mergeCell ref="G36:H36"/>
    <mergeCell ref="B16:H16"/>
    <mergeCell ref="D17:E17"/>
    <mergeCell ref="B17:B18"/>
    <mergeCell ref="C17:C18"/>
    <mergeCell ref="B30:H30"/>
    <mergeCell ref="C34:E34"/>
    <mergeCell ref="G34:H34"/>
  </mergeCells>
  <phoneticPr fontId="6" type="noConversion"/>
  <printOptions horizontalCentered="1"/>
  <pageMargins left="0.29527604166666666" right="0.29527604166666666"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198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B21564-4D48-4678-B7D9-8CD17524C9BC}">
  <sheetPr codeName="Sheet42"/>
  <dimension ref="A1:Q21"/>
  <sheetViews>
    <sheetView workbookViewId="0"/>
  </sheetViews>
  <sheetFormatPr defaultRowHeight="17.399999999999999"/>
  <cols>
    <col min="1" max="1" width="3.19921875" customWidth="1"/>
    <col min="2" max="3" width="8.69921875" customWidth="1"/>
    <col min="4" max="4" width="16.69921875" customWidth="1"/>
    <col min="5" max="12" width="8.69921875" customWidth="1"/>
  </cols>
  <sheetData>
    <row r="1" spans="1:17">
      <c r="A1" s="20"/>
    </row>
    <row r="3" spans="1:17">
      <c r="B3" s="118" t="str">
        <f>IF(기초자료입력!C5&lt;&gt;"",기초자료입력!C5,"20○○")&amp;"학년도 교복 학교주관구매 제안서 접수대장"</f>
        <v>20○○학년도 교복 학교주관구매 제안서 접수대장</v>
      </c>
      <c r="C3" s="116"/>
      <c r="D3" s="116"/>
      <c r="E3" s="116"/>
      <c r="F3" s="116"/>
      <c r="G3" s="116"/>
      <c r="H3" s="116"/>
      <c r="I3" s="116"/>
      <c r="J3" s="116"/>
      <c r="K3" s="116"/>
      <c r="L3" s="116"/>
    </row>
    <row r="4" spans="1:17">
      <c r="B4" s="116" t="str">
        <f>IF(기초자료입력!C4&lt;&gt;"",기초자료입력!C4,"○○학교")</f>
        <v>○○학교</v>
      </c>
      <c r="C4" s="116"/>
      <c r="D4" s="116"/>
      <c r="E4" s="116"/>
      <c r="F4" s="116"/>
      <c r="G4" s="116"/>
      <c r="H4" s="116"/>
      <c r="I4" s="116"/>
      <c r="J4" s="116"/>
      <c r="K4" s="116"/>
      <c r="L4" s="116"/>
    </row>
    <row r="5" spans="1:17">
      <c r="B5" s="38"/>
      <c r="C5" s="38"/>
      <c r="D5" s="38"/>
      <c r="E5" s="38"/>
      <c r="F5" s="38"/>
      <c r="G5" s="38"/>
      <c r="H5" s="38"/>
      <c r="I5" s="38"/>
      <c r="J5" s="38"/>
      <c r="K5" s="38"/>
      <c r="L5" s="38"/>
    </row>
    <row r="6" spans="1:17" ht="30" customHeight="1">
      <c r="B6" s="149" t="s">
        <v>853</v>
      </c>
      <c r="C6" s="149" t="s">
        <v>854</v>
      </c>
      <c r="D6" s="149" t="s">
        <v>855</v>
      </c>
      <c r="E6" s="149"/>
      <c r="F6" s="149"/>
      <c r="G6" s="149" t="s">
        <v>856</v>
      </c>
      <c r="H6" s="149"/>
      <c r="I6" s="149"/>
      <c r="J6" s="149" t="s">
        <v>857</v>
      </c>
      <c r="K6" s="149"/>
      <c r="L6" s="149" t="s">
        <v>316</v>
      </c>
    </row>
    <row r="7" spans="1:17" ht="30" customHeight="1">
      <c r="B7" s="149"/>
      <c r="C7" s="149"/>
      <c r="D7" s="70" t="s">
        <v>52</v>
      </c>
      <c r="E7" s="70" t="s">
        <v>377</v>
      </c>
      <c r="F7" s="70" t="s">
        <v>309</v>
      </c>
      <c r="G7" s="70" t="s">
        <v>858</v>
      </c>
      <c r="H7" s="70" t="s">
        <v>859</v>
      </c>
      <c r="I7" s="70" t="s">
        <v>605</v>
      </c>
      <c r="J7" s="70" t="s">
        <v>860</v>
      </c>
      <c r="K7" s="70" t="s">
        <v>858</v>
      </c>
      <c r="L7" s="149"/>
      <c r="M7" t="s">
        <v>309</v>
      </c>
      <c r="N7" s="2" t="s">
        <v>858</v>
      </c>
      <c r="O7" t="s">
        <v>859</v>
      </c>
      <c r="P7" t="s">
        <v>861</v>
      </c>
      <c r="Q7" t="s">
        <v>862</v>
      </c>
    </row>
    <row r="8" spans="1:17" ht="25.95" customHeight="1">
      <c r="B8" s="71"/>
      <c r="C8" s="72" t="str">
        <f>IF(기초자료입력!B44&lt;&gt;"",1,"")</f>
        <v/>
      </c>
      <c r="D8" s="72" t="str">
        <f>IF(기초자료입력!B44&lt;&gt;"",기초자료입력!B44,"")</f>
        <v/>
      </c>
      <c r="E8" s="72" t="str">
        <f>IF(기초자료입력!S44&lt;&gt;"",기초자료입력!S44,"")</f>
        <v/>
      </c>
      <c r="F8" s="72" t="str">
        <f>IF(기초자료입력!X44&lt;&gt;"",기초자료입력!X44,"")</f>
        <v/>
      </c>
      <c r="G8" s="71"/>
      <c r="H8" s="71"/>
      <c r="I8" s="71"/>
      <c r="J8" s="71"/>
      <c r="K8" s="71"/>
      <c r="L8" s="71"/>
    </row>
    <row r="9" spans="1:17" ht="25.95" customHeight="1">
      <c r="B9" s="71"/>
      <c r="C9" s="72" t="str">
        <f>IF(기초자료입력!B45&lt;&gt;"",2,"")</f>
        <v/>
      </c>
      <c r="D9" s="72" t="str">
        <f>IF(기초자료입력!B45&lt;&gt;"",기초자료입력!B45,"")</f>
        <v/>
      </c>
      <c r="E9" s="72" t="str">
        <f>IF(기초자료입력!S45&lt;&gt;"",기초자료입력!S45,"")</f>
        <v/>
      </c>
      <c r="F9" s="72" t="str">
        <f>IF(기초자료입력!X45&lt;&gt;"",기초자료입력!X45,"")</f>
        <v/>
      </c>
      <c r="G9" s="71"/>
      <c r="H9" s="71"/>
      <c r="I9" s="71"/>
      <c r="J9" s="71"/>
      <c r="K9" s="71"/>
      <c r="L9" s="71"/>
    </row>
    <row r="10" spans="1:17" ht="25.95" customHeight="1">
      <c r="B10" s="71"/>
      <c r="C10" s="72" t="str">
        <f>IF(기초자료입력!B46&lt;&gt;"",3,"")</f>
        <v/>
      </c>
      <c r="D10" s="72" t="str">
        <f>IF(기초자료입력!B46&lt;&gt;"",기초자료입력!B46,"")</f>
        <v/>
      </c>
      <c r="E10" s="72" t="str">
        <f>IF(기초자료입력!S46&lt;&gt;"",기초자료입력!S46,"")</f>
        <v/>
      </c>
      <c r="F10" s="72" t="str">
        <f>IF(기초자료입력!X46&lt;&gt;"",기초자료입력!X46,"")</f>
        <v/>
      </c>
      <c r="G10" s="71"/>
      <c r="H10" s="71"/>
      <c r="I10" s="71"/>
      <c r="J10" s="71"/>
      <c r="K10" s="71"/>
      <c r="L10" s="71"/>
    </row>
    <row r="11" spans="1:17" ht="25.95" customHeight="1">
      <c r="B11" s="71"/>
      <c r="C11" s="72" t="str">
        <f>IF(기초자료입력!B47&lt;&gt;"",4,"")</f>
        <v/>
      </c>
      <c r="D11" s="72" t="str">
        <f>IF(기초자료입력!B47&lt;&gt;"",기초자료입력!B47,"")</f>
        <v/>
      </c>
      <c r="E11" s="72" t="str">
        <f>IF(기초자료입력!S47&lt;&gt;"",기초자료입력!S47,"")</f>
        <v/>
      </c>
      <c r="F11" s="72" t="str">
        <f>IF(기초자료입력!X47&lt;&gt;"",기초자료입력!X47,"")</f>
        <v/>
      </c>
      <c r="G11" s="71"/>
      <c r="H11" s="71"/>
      <c r="I11" s="71"/>
      <c r="J11" s="71"/>
      <c r="K11" s="71"/>
      <c r="L11" s="71"/>
    </row>
    <row r="12" spans="1:17" ht="25.95" customHeight="1">
      <c r="B12" s="71"/>
      <c r="C12" s="72" t="str">
        <f>IF(기초자료입력!B48&lt;&gt;"",5,"")</f>
        <v/>
      </c>
      <c r="D12" s="72" t="str">
        <f>IF(기초자료입력!B48&lt;&gt;"",기초자료입력!B48,"")</f>
        <v/>
      </c>
      <c r="E12" s="72" t="str">
        <f>IF(기초자료입력!S48&lt;&gt;"",기초자료입력!S48,"")</f>
        <v/>
      </c>
      <c r="F12" s="72" t="str">
        <f>IF(기초자료입력!X48&lt;&gt;"",기초자료입력!X48,"")</f>
        <v/>
      </c>
      <c r="G12" s="71"/>
      <c r="H12" s="71"/>
      <c r="I12" s="71"/>
      <c r="J12" s="71"/>
      <c r="K12" s="71"/>
      <c r="L12" s="71"/>
    </row>
    <row r="13" spans="1:17" ht="25.95" customHeight="1">
      <c r="B13" s="71"/>
      <c r="C13" s="72" t="str">
        <f>IF(기초자료입력!B49&lt;&gt;"",6,"")</f>
        <v/>
      </c>
      <c r="D13" s="72" t="str">
        <f>IF(기초자료입력!B49&lt;&gt;"",기초자료입력!B49,"")</f>
        <v/>
      </c>
      <c r="E13" s="72" t="str">
        <f>IF(기초자료입력!S49&lt;&gt;"",기초자료입력!S49,"")</f>
        <v/>
      </c>
      <c r="F13" s="72" t="str">
        <f>IF(기초자료입력!X49&lt;&gt;"",기초자료입력!X49,"")</f>
        <v/>
      </c>
      <c r="G13" s="71"/>
      <c r="H13" s="71"/>
      <c r="I13" s="71"/>
      <c r="J13" s="71"/>
      <c r="K13" s="71"/>
      <c r="L13" s="71"/>
    </row>
    <row r="14" spans="1:17" ht="25.95" customHeight="1">
      <c r="B14" s="71"/>
      <c r="C14" s="72" t="str">
        <f>IF(기초자료입력!B50&lt;&gt;"",7,"")</f>
        <v/>
      </c>
      <c r="D14" s="72" t="str">
        <f>IF(기초자료입력!B50&lt;&gt;"",기초자료입력!B50,"")</f>
        <v/>
      </c>
      <c r="E14" s="72" t="str">
        <f>IF(기초자료입력!S50&lt;&gt;"",기초자료입력!S50,"")</f>
        <v/>
      </c>
      <c r="F14" s="72" t="str">
        <f>IF(기초자료입력!X50&lt;&gt;"",기초자료입력!X50,"")</f>
        <v/>
      </c>
      <c r="G14" s="71"/>
      <c r="H14" s="71"/>
      <c r="I14" s="71"/>
      <c r="J14" s="71"/>
      <c r="K14" s="71"/>
      <c r="L14" s="71"/>
    </row>
    <row r="15" spans="1:17" ht="25.95" customHeight="1">
      <c r="B15" s="71"/>
      <c r="C15" s="72" t="str">
        <f>IF(기초자료입력!B51&lt;&gt;"",8,"")</f>
        <v/>
      </c>
      <c r="D15" s="72" t="str">
        <f>IF(기초자료입력!B51&lt;&gt;"",기초자료입력!B51,"")</f>
        <v/>
      </c>
      <c r="E15" s="72" t="str">
        <f>IF(기초자료입력!S51&lt;&gt;"",기초자료입력!S51,"")</f>
        <v/>
      </c>
      <c r="F15" s="72" t="str">
        <f>IF(기초자료입력!X51&lt;&gt;"",기초자료입력!X51,"")</f>
        <v/>
      </c>
      <c r="G15" s="71"/>
      <c r="H15" s="71"/>
      <c r="I15" s="71"/>
      <c r="J15" s="71"/>
      <c r="K15" s="71"/>
      <c r="L15" s="71"/>
    </row>
    <row r="16" spans="1:17" ht="25.95" customHeight="1">
      <c r="B16" s="71"/>
      <c r="C16" s="72" t="str">
        <f>IF(기초자료입력!B52&lt;&gt;"",9,"")</f>
        <v/>
      </c>
      <c r="D16" s="72" t="str">
        <f>IF(기초자료입력!B52&lt;&gt;"",기초자료입력!B52,"")</f>
        <v/>
      </c>
      <c r="E16" s="72" t="str">
        <f>IF(기초자료입력!S52&lt;&gt;"",기초자료입력!S52,"")</f>
        <v/>
      </c>
      <c r="F16" s="72" t="str">
        <f>IF(기초자료입력!X52&lt;&gt;"",기초자료입력!X52,"")</f>
        <v/>
      </c>
      <c r="G16" s="71"/>
      <c r="H16" s="71"/>
      <c r="I16" s="71"/>
      <c r="J16" s="71"/>
      <c r="K16" s="71"/>
      <c r="L16" s="71"/>
    </row>
    <row r="17" spans="2:12" ht="25.95" customHeight="1">
      <c r="B17" s="71"/>
      <c r="C17" s="72" t="str">
        <f>IF(기초자료입력!B53&lt;&gt;"",10,"")</f>
        <v/>
      </c>
      <c r="D17" s="72" t="str">
        <f>IF(기초자료입력!B53&lt;&gt;"",기초자료입력!B53,"")</f>
        <v/>
      </c>
      <c r="E17" s="72" t="str">
        <f>IF(기초자료입력!S53&lt;&gt;"",기초자료입력!S53,"")</f>
        <v/>
      </c>
      <c r="F17" s="72" t="str">
        <f>IF(기초자료입력!X53&lt;&gt;"",기초자료입력!X53,"")</f>
        <v/>
      </c>
      <c r="G17" s="71"/>
      <c r="H17" s="71"/>
      <c r="I17" s="71"/>
      <c r="J17" s="71"/>
      <c r="K17" s="71"/>
      <c r="L17" s="71"/>
    </row>
    <row r="18" spans="2:12">
      <c r="B18" s="38"/>
      <c r="C18" s="38"/>
      <c r="D18" s="38"/>
      <c r="E18" s="38"/>
      <c r="F18" s="38"/>
      <c r="G18" s="38"/>
      <c r="H18" s="38"/>
      <c r="I18" s="38"/>
      <c r="J18" s="38"/>
      <c r="K18" s="38"/>
      <c r="L18" s="38"/>
    </row>
    <row r="19" spans="2:12">
      <c r="B19" s="38"/>
      <c r="C19" s="38"/>
      <c r="D19" s="38"/>
      <c r="E19" s="38"/>
      <c r="F19" s="38"/>
      <c r="G19" s="38"/>
      <c r="H19" s="38"/>
      <c r="I19" s="38"/>
      <c r="J19" s="38"/>
      <c r="K19" s="38"/>
      <c r="L19" s="38"/>
    </row>
    <row r="20" spans="2:12">
      <c r="B20" s="86" t="s">
        <v>863</v>
      </c>
      <c r="C20" s="86"/>
      <c r="D20" s="86"/>
      <c r="E20" s="86"/>
      <c r="F20" s="86"/>
      <c r="G20" s="86"/>
      <c r="H20" s="86"/>
      <c r="I20" s="86"/>
      <c r="J20" s="86"/>
      <c r="K20" s="86"/>
      <c r="L20" s="86"/>
    </row>
    <row r="21" spans="2:12">
      <c r="B21" s="86" t="s">
        <v>864</v>
      </c>
      <c r="C21" s="86"/>
      <c r="D21" s="86"/>
      <c r="E21" s="86"/>
      <c r="F21" s="86"/>
      <c r="G21" s="86"/>
      <c r="H21" s="86"/>
      <c r="I21" s="86"/>
      <c r="J21" s="86"/>
      <c r="K21" s="86"/>
      <c r="L21" s="86"/>
    </row>
  </sheetData>
  <mergeCells count="10">
    <mergeCell ref="B20:L20"/>
    <mergeCell ref="B21:L21"/>
    <mergeCell ref="B3:L3"/>
    <mergeCell ref="B4:L4"/>
    <mergeCell ref="D6:F6"/>
    <mergeCell ref="G6:I6"/>
    <mergeCell ref="J6:K6"/>
    <mergeCell ref="L6:L7"/>
    <mergeCell ref="B6:B7"/>
    <mergeCell ref="C6:C7"/>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301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99E557-2624-49F1-990C-44FBEADE2EC8}">
  <sheetPr codeName="Sheet43"/>
  <dimension ref="A1:H38"/>
  <sheetViews>
    <sheetView workbookViewId="0"/>
  </sheetViews>
  <sheetFormatPr defaultRowHeight="17.399999999999999"/>
  <cols>
    <col min="1" max="1" width="3.19921875" customWidth="1"/>
    <col min="2" max="2" width="9.69921875" customWidth="1"/>
    <col min="3" max="3" width="14.69921875" customWidth="1"/>
    <col min="4" max="4" width="16.69921875" customWidth="1"/>
    <col min="5" max="5" width="12.69921875" customWidth="1"/>
    <col min="6" max="8" width="8.69921875" customWidth="1"/>
  </cols>
  <sheetData>
    <row r="1" spans="1:8">
      <c r="A1" s="20"/>
    </row>
    <row r="3" spans="1:8">
      <c r="B3" s="93" t="str">
        <f>IF(기초자료입력!C4&lt;&gt;"",기초자료입력!C4,"○○학교")&amp;" 교복 제안서 평가위원회 개최"</f>
        <v>○○학교 교복 제안서 평가위원회 개최</v>
      </c>
      <c r="C3" s="94"/>
      <c r="D3" s="94"/>
      <c r="E3" s="94"/>
      <c r="F3" s="94"/>
      <c r="G3" s="94"/>
      <c r="H3" s="94"/>
    </row>
    <row r="4" spans="1:8">
      <c r="B4" s="94"/>
      <c r="C4" s="94"/>
      <c r="D4" s="94"/>
      <c r="E4" s="94"/>
      <c r="F4" s="94"/>
      <c r="G4" s="94"/>
      <c r="H4" s="94"/>
    </row>
    <row r="5" spans="1:8">
      <c r="B5" s="55" t="s">
        <v>13</v>
      </c>
      <c r="C5" s="37" t="str">
        <f>IF(기초자료입력!C9&lt;&gt;"",기초자료입력!C9,"")</f>
        <v/>
      </c>
      <c r="D5" s="37"/>
      <c r="E5" s="55" t="s">
        <v>291</v>
      </c>
      <c r="F5" s="37" t="str">
        <f>IF(기초자료입력!C8&lt;&gt;"",TEXT(기초자료입력!C8,"yyyy-mm-dd"),"")</f>
        <v/>
      </c>
      <c r="G5" s="37"/>
      <c r="H5" s="37"/>
    </row>
    <row r="6" spans="1:8">
      <c r="B6" s="37"/>
      <c r="C6" s="37"/>
      <c r="D6" s="37"/>
      <c r="E6" s="37"/>
      <c r="F6" s="37"/>
      <c r="G6" s="37"/>
      <c r="H6" s="37"/>
    </row>
    <row r="7" spans="1:8">
      <c r="B7" s="55" t="s">
        <v>292</v>
      </c>
      <c r="C7" s="87" t="s">
        <v>500</v>
      </c>
      <c r="D7" s="87"/>
      <c r="E7" s="87"/>
      <c r="F7" s="87"/>
      <c r="G7" s="87"/>
      <c r="H7" s="87"/>
    </row>
    <row r="8" spans="1:8">
      <c r="B8" s="55" t="s">
        <v>297</v>
      </c>
      <c r="C8" s="87"/>
      <c r="D8" s="87"/>
      <c r="E8" s="87"/>
      <c r="F8" s="87"/>
      <c r="G8" s="87"/>
      <c r="H8" s="87"/>
    </row>
    <row r="9" spans="1:8">
      <c r="B9" s="55" t="s">
        <v>293</v>
      </c>
      <c r="C9" s="89" t="str">
        <f>IF(기초자료입력!C22&lt;&gt;"",기초자료입력!C22,IF(기초자료입력!C5&lt;&gt;"",기초자료입력!C5,"20○○")&amp;"학년도 교복 학교주관구매 제안서 평가위원회 개최")</f>
        <v>20○○학년도 교복 학교주관구매 제안서 평가위원회 개최</v>
      </c>
      <c r="D9" s="87"/>
      <c r="E9" s="87"/>
      <c r="F9" s="87"/>
      <c r="G9" s="87"/>
      <c r="H9" s="87"/>
    </row>
    <row r="10" spans="1:8">
      <c r="B10" s="38"/>
      <c r="C10" s="38"/>
      <c r="D10" s="38"/>
      <c r="E10" s="38"/>
      <c r="F10" s="38"/>
      <c r="G10" s="38"/>
      <c r="H10" s="38"/>
    </row>
    <row r="11" spans="1:8">
      <c r="B11" s="88" t="str">
        <f>"1. "&amp;IF(기초자료입력!C23&lt;&gt;"",기초자료입력!C23,"관련 문서를 확인하십시오.")</f>
        <v>1. 관련 문서를 확인하십시오.</v>
      </c>
      <c r="C11" s="86"/>
      <c r="D11" s="86"/>
      <c r="E11" s="86"/>
      <c r="F11" s="86"/>
      <c r="G11" s="86"/>
      <c r="H11" s="86"/>
    </row>
    <row r="12" spans="1:8">
      <c r="B12" s="38"/>
      <c r="C12" s="38"/>
      <c r="D12" s="38"/>
      <c r="E12" s="38"/>
      <c r="F12" s="38"/>
      <c r="G12" s="38"/>
      <c r="H12" s="38"/>
    </row>
    <row r="13" spans="1:8" ht="28.05" customHeight="1">
      <c r="B13" s="104" t="str">
        <f>"2. "&amp;IF(기초자료입력!C5&lt;&gt;"",기초자료입력!C5,"20○○")&amp;"학년도 교복 학교주관구매 제안서 평가위원회를 아래와 같이 개최하고자 합니다."</f>
        <v>2. 20○○학년도 교복 학교주관구매 제안서 평가위원회를 아래와 같이 개최하고자 합니다.</v>
      </c>
      <c r="C13" s="104"/>
      <c r="D13" s="104"/>
      <c r="E13" s="104"/>
      <c r="F13" s="104"/>
      <c r="G13" s="104"/>
      <c r="H13" s="104"/>
    </row>
    <row r="14" spans="1:8">
      <c r="B14" s="104"/>
      <c r="C14" s="104"/>
      <c r="D14" s="104"/>
      <c r="E14" s="104"/>
      <c r="F14" s="104"/>
      <c r="G14" s="104"/>
      <c r="H14" s="104"/>
    </row>
    <row r="15" spans="1:8">
      <c r="B15" s="38"/>
      <c r="C15" s="38"/>
      <c r="D15" s="38"/>
      <c r="E15" s="38"/>
      <c r="F15" s="38"/>
      <c r="G15" s="38"/>
      <c r="H15" s="38"/>
    </row>
    <row r="16" spans="1:8">
      <c r="B16" s="53" t="s">
        <v>865</v>
      </c>
      <c r="C16" s="150"/>
      <c r="D16" s="86"/>
      <c r="E16" s="86"/>
      <c r="F16" s="86"/>
      <c r="G16" s="86"/>
      <c r="H16" s="86"/>
    </row>
    <row r="17" spans="2:8">
      <c r="B17" s="53" t="s">
        <v>866</v>
      </c>
      <c r="C17" s="150"/>
      <c r="D17" s="86"/>
      <c r="E17" s="86"/>
      <c r="F17" s="86"/>
      <c r="G17" s="86"/>
      <c r="H17" s="86"/>
    </row>
    <row r="18" spans="2:8">
      <c r="B18" s="53" t="s">
        <v>867</v>
      </c>
      <c r="C18" s="86" t="str">
        <f>IF(COUNTA(기초자료입력!B58:B67)&gt;0,"평가위원 "&amp;COUNTA(기초자료입력!B58:B67)&amp;"명","")</f>
        <v/>
      </c>
      <c r="D18" s="86"/>
      <c r="E18" s="86"/>
      <c r="F18" s="86"/>
      <c r="G18" s="86"/>
      <c r="H18" s="86"/>
    </row>
    <row r="19" spans="2:8">
      <c r="B19" s="38"/>
      <c r="C19" s="38"/>
      <c r="D19" s="38"/>
      <c r="E19" s="38"/>
      <c r="F19" s="38"/>
      <c r="G19" s="38"/>
      <c r="H19" s="38"/>
    </row>
    <row r="20" spans="2:8">
      <c r="B20" s="63" t="s">
        <v>510</v>
      </c>
      <c r="C20" s="63" t="s">
        <v>326</v>
      </c>
      <c r="D20" s="63" t="s">
        <v>512</v>
      </c>
      <c r="E20" s="63" t="s">
        <v>316</v>
      </c>
      <c r="F20" s="38"/>
      <c r="G20" s="38"/>
      <c r="H20" s="38"/>
    </row>
    <row r="21" spans="2:8">
      <c r="B21" s="29" t="str">
        <f>IF(기초자료입력!B58&lt;&gt;"",1,"")</f>
        <v/>
      </c>
      <c r="C21" s="29" t="str">
        <f>IF(기초자료입력!B58&lt;&gt;"","위원장","")</f>
        <v/>
      </c>
      <c r="D21" s="29" t="str">
        <f>IF(기초자료입력!C58&lt;&gt;"",기초자료입력!C58,"")</f>
        <v/>
      </c>
      <c r="E21" s="29"/>
      <c r="F21" s="38"/>
      <c r="G21" s="38"/>
      <c r="H21" s="38"/>
    </row>
    <row r="22" spans="2:8">
      <c r="B22" s="29" t="str">
        <f>IF(기초자료입력!B59&lt;&gt;"",2,"")</f>
        <v/>
      </c>
      <c r="C22" s="29" t="str">
        <f>IF(기초자료입력!B59&lt;&gt;"","부위원장","")</f>
        <v/>
      </c>
      <c r="D22" s="29" t="str">
        <f>IF(기초자료입력!C59&lt;&gt;"",기초자료입력!C59,"")</f>
        <v/>
      </c>
      <c r="E22" s="29"/>
      <c r="F22" s="38"/>
      <c r="G22" s="38"/>
      <c r="H22" s="38"/>
    </row>
    <row r="23" spans="2:8">
      <c r="B23" s="29" t="str">
        <f>IF(기초자료입력!B60&lt;&gt;"",3,"")</f>
        <v/>
      </c>
      <c r="C23" s="29" t="str">
        <f>IF(기초자료입력!B60&lt;&gt;"","위원","")</f>
        <v/>
      </c>
      <c r="D23" s="29" t="str">
        <f>IF(기초자료입력!C60&lt;&gt;"",기초자료입력!C60,"")</f>
        <v/>
      </c>
      <c r="E23" s="29"/>
      <c r="F23" s="38"/>
      <c r="G23" s="38"/>
      <c r="H23" s="38"/>
    </row>
    <row r="24" spans="2:8">
      <c r="B24" s="29" t="str">
        <f>IF(기초자료입력!B61&lt;&gt;"",4,"")</f>
        <v/>
      </c>
      <c r="C24" s="29" t="str">
        <f>IF(기초자료입력!B61&lt;&gt;"","위원","")</f>
        <v/>
      </c>
      <c r="D24" s="29" t="str">
        <f>IF(기초자료입력!C61&lt;&gt;"",기초자료입력!C61,"")</f>
        <v/>
      </c>
      <c r="E24" s="29"/>
      <c r="F24" s="38"/>
      <c r="G24" s="38"/>
      <c r="H24" s="38"/>
    </row>
    <row r="25" spans="2:8">
      <c r="B25" s="29" t="str">
        <f>IF(기초자료입력!B62&lt;&gt;"",5,"")</f>
        <v/>
      </c>
      <c r="C25" s="29" t="str">
        <f>IF(기초자료입력!B62&lt;&gt;"","위원","")</f>
        <v/>
      </c>
      <c r="D25" s="29" t="str">
        <f>IF(기초자료입력!C62&lt;&gt;"",기초자료입력!C62,"")</f>
        <v/>
      </c>
      <c r="E25" s="29"/>
      <c r="F25" s="38"/>
      <c r="G25" s="38"/>
      <c r="H25" s="38"/>
    </row>
    <row r="26" spans="2:8">
      <c r="B26" s="29" t="str">
        <f>IF(기초자료입력!B63&lt;&gt;"",6,"")</f>
        <v/>
      </c>
      <c r="C26" s="29" t="str">
        <f>IF(기초자료입력!B63&lt;&gt;"","위원","")</f>
        <v/>
      </c>
      <c r="D26" s="29" t="str">
        <f>IF(기초자료입력!C63&lt;&gt;"",기초자료입력!C63,"")</f>
        <v/>
      </c>
      <c r="E26" s="29"/>
      <c r="F26" s="38"/>
      <c r="G26" s="38"/>
      <c r="H26" s="38"/>
    </row>
    <row r="27" spans="2:8">
      <c r="B27" s="29" t="str">
        <f>IF(기초자료입력!B64&lt;&gt;"",7,"")</f>
        <v/>
      </c>
      <c r="C27" s="29" t="str">
        <f>IF(기초자료입력!B64&lt;&gt;"","위원","")</f>
        <v/>
      </c>
      <c r="D27" s="29" t="str">
        <f>IF(기초자료입력!C64&lt;&gt;"",기초자료입력!C64,"")</f>
        <v/>
      </c>
      <c r="E27" s="29"/>
      <c r="F27" s="38"/>
      <c r="G27" s="38"/>
      <c r="H27" s="38"/>
    </row>
    <row r="28" spans="2:8">
      <c r="B28" s="29" t="str">
        <f>IF(기초자료입력!B65&lt;&gt;"",8,"")</f>
        <v/>
      </c>
      <c r="C28" s="29" t="str">
        <f>IF(기초자료입력!B65&lt;&gt;"","위원","")</f>
        <v/>
      </c>
      <c r="D28" s="29" t="str">
        <f>IF(기초자료입력!C65&lt;&gt;"",기초자료입력!C65,"")</f>
        <v/>
      </c>
      <c r="E28" s="29"/>
      <c r="F28" s="38"/>
      <c r="G28" s="38"/>
      <c r="H28" s="38"/>
    </row>
    <row r="29" spans="2:8">
      <c r="B29" s="29" t="str">
        <f>IF(기초자료입력!B66&lt;&gt;"",9,"")</f>
        <v/>
      </c>
      <c r="C29" s="29" t="str">
        <f>IF(기초자료입력!B66&lt;&gt;"","위원","")</f>
        <v/>
      </c>
      <c r="D29" s="29" t="str">
        <f>IF(기초자료입력!C66&lt;&gt;"",기초자료입력!C66,"")</f>
        <v/>
      </c>
      <c r="E29" s="29"/>
      <c r="F29" s="38"/>
      <c r="G29" s="38"/>
      <c r="H29" s="38"/>
    </row>
    <row r="30" spans="2:8">
      <c r="B30" s="29" t="str">
        <f>IF(기초자료입력!B67&lt;&gt;"",10,"")</f>
        <v/>
      </c>
      <c r="C30" s="29" t="str">
        <f>IF(기초자료입력!B67&lt;&gt;"","위원","")</f>
        <v/>
      </c>
      <c r="D30" s="29" t="str">
        <f>IF(기초자료입력!C67&lt;&gt;"",기초자료입력!C67,"")</f>
        <v/>
      </c>
      <c r="E30" s="29"/>
      <c r="F30" s="38"/>
      <c r="G30" s="38"/>
      <c r="H30" s="38"/>
    </row>
    <row r="31" spans="2:8">
      <c r="B31" s="38"/>
      <c r="C31" s="38"/>
      <c r="D31" s="38"/>
      <c r="E31" s="38"/>
      <c r="F31" s="38"/>
      <c r="G31" s="38"/>
      <c r="H31" s="38"/>
    </row>
    <row r="32" spans="2:8">
      <c r="B32" s="86" t="s">
        <v>868</v>
      </c>
      <c r="C32" s="86"/>
      <c r="D32" s="86"/>
      <c r="E32" s="86"/>
      <c r="F32" s="86"/>
      <c r="G32" s="86"/>
      <c r="H32" s="86"/>
    </row>
    <row r="33" spans="2:8">
      <c r="B33" s="38"/>
      <c r="C33" s="38"/>
      <c r="D33" s="38"/>
      <c r="E33" s="38"/>
      <c r="F33" s="38"/>
      <c r="G33" s="38"/>
      <c r="H33" s="38"/>
    </row>
    <row r="34" spans="2:8">
      <c r="B34" s="38"/>
      <c r="C34" s="38"/>
      <c r="D34" s="38"/>
      <c r="E34" s="38"/>
      <c r="F34" s="38"/>
      <c r="G34" s="38"/>
      <c r="H34" s="38"/>
    </row>
    <row r="35" spans="2:8" ht="28.05" customHeight="1">
      <c r="B35" s="38"/>
      <c r="C35" s="38"/>
      <c r="D35" s="38"/>
      <c r="E35" s="38"/>
      <c r="F35" s="56" t="str">
        <f>"담당"&amp;CHAR(10)&amp;IF(기초자료입력!$C$10&lt;&gt;"",기초자료입력!$C$10,"")</f>
        <v xml:space="preserve">담당
</v>
      </c>
      <c r="G35" s="56" t="s">
        <v>304</v>
      </c>
      <c r="H35" s="56" t="str">
        <f>"교장"&amp;CHAR(10)&amp;IF(기초자료입력!$F$10&lt;&gt;"",기초자료입력!$F$10,"")</f>
        <v xml:space="preserve">교장
</v>
      </c>
    </row>
    <row r="36" spans="2:8">
      <c r="B36" s="53" t="s">
        <v>305</v>
      </c>
      <c r="C36" s="86" t="str">
        <f>IF(기초자료입력!C9&lt;&gt;"",기초자료입력!C9&amp;IF(기초자료입력!C8&lt;&gt;"","("&amp;TEXT(기초자료입력!C8,"yyyy.m.d.")&amp;")",""),"")</f>
        <v/>
      </c>
      <c r="D36" s="86"/>
      <c r="E36" s="86"/>
      <c r="F36" s="55" t="s">
        <v>306</v>
      </c>
      <c r="G36" s="87"/>
      <c r="H36" s="87"/>
    </row>
    <row r="37" spans="2:8">
      <c r="B37" s="53" t="s">
        <v>307</v>
      </c>
      <c r="C37" s="38"/>
      <c r="D37" s="53" t="s">
        <v>308</v>
      </c>
      <c r="E37" s="86" t="str">
        <f>IFERROR(INDEX(학교정보!$F$2:$F$791,MATCH(기초자료입력!$C$4,학교정보!$E$2:$E$791,0)),"")</f>
        <v/>
      </c>
      <c r="F37" s="87"/>
      <c r="G37" s="87"/>
      <c r="H37" s="87"/>
    </row>
    <row r="38" spans="2:8">
      <c r="B38" s="53" t="s">
        <v>309</v>
      </c>
      <c r="C38" s="38" t="str">
        <f>IFERROR(INDEX(학교정보!$G$2:$G$791,MATCH(기초자료입력!$C$4,학교정보!$E$2:$E$791,0)),"")</f>
        <v/>
      </c>
      <c r="D38" s="53" t="s">
        <v>310</v>
      </c>
      <c r="E38" s="38"/>
      <c r="F38" s="55" t="s">
        <v>311</v>
      </c>
      <c r="G38" s="87"/>
      <c r="H38" s="87"/>
    </row>
  </sheetData>
  <mergeCells count="14">
    <mergeCell ref="B13:H14"/>
    <mergeCell ref="B3:H4"/>
    <mergeCell ref="C7:H7"/>
    <mergeCell ref="C8:H8"/>
    <mergeCell ref="C9:H9"/>
    <mergeCell ref="B11:H11"/>
    <mergeCell ref="E37:H37"/>
    <mergeCell ref="G38:H38"/>
    <mergeCell ref="C16:H16"/>
    <mergeCell ref="C17:H17"/>
    <mergeCell ref="C18:H18"/>
    <mergeCell ref="B32:H32"/>
    <mergeCell ref="C36:E36"/>
    <mergeCell ref="G36:H36"/>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403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403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DE6A9C-A4E6-41D5-AA76-E8DA0A02556D}">
  <sheetPr codeName="Sheet44"/>
  <dimension ref="A1:H36"/>
  <sheetViews>
    <sheetView workbookViewId="0"/>
  </sheetViews>
  <sheetFormatPr defaultRowHeight="17.399999999999999"/>
  <cols>
    <col min="1" max="1" width="3.19921875" customWidth="1"/>
    <col min="2" max="2" width="6.69921875" customWidth="1"/>
    <col min="3" max="3" width="16.69921875" customWidth="1"/>
    <col min="4" max="8" width="10.69921875" customWidth="1"/>
  </cols>
  <sheetData>
    <row r="1" spans="1:8">
      <c r="A1" s="20"/>
    </row>
    <row r="3" spans="1:8">
      <c r="B3" s="93" t="str">
        <f>IF(기초자료입력!C4&lt;&gt;"",기초자료입력!C4,"○○학교")&amp;" 교복 구매 제안서 정량평가 결과"</f>
        <v>○○학교 교복 구매 제안서 정량평가 결과</v>
      </c>
      <c r="C3" s="94"/>
      <c r="D3" s="94"/>
      <c r="E3" s="94"/>
      <c r="F3" s="94"/>
      <c r="G3" s="94"/>
      <c r="H3" s="94"/>
    </row>
    <row r="4" spans="1:8">
      <c r="B4" s="94"/>
      <c r="C4" s="94"/>
      <c r="D4" s="94"/>
      <c r="E4" s="94"/>
      <c r="F4" s="94"/>
      <c r="G4" s="94"/>
      <c r="H4" s="94"/>
    </row>
    <row r="5" spans="1:8">
      <c r="B5" s="55" t="s">
        <v>13</v>
      </c>
      <c r="C5" s="37" t="str">
        <f>IF(기초자료입력!C9&lt;&gt;"",기초자료입력!C9,"")</f>
        <v/>
      </c>
      <c r="D5" s="37"/>
      <c r="E5" s="55" t="s">
        <v>291</v>
      </c>
      <c r="F5" s="37" t="str">
        <f>IF(기초자료입력!C8&lt;&gt;"",TEXT(기초자료입력!C8,"yyyy-mm-dd"),"")</f>
        <v/>
      </c>
      <c r="G5" s="37"/>
      <c r="H5" s="37"/>
    </row>
    <row r="6" spans="1:8">
      <c r="B6" s="37"/>
      <c r="C6" s="37"/>
      <c r="D6" s="37"/>
      <c r="E6" s="37"/>
      <c r="F6" s="37"/>
      <c r="G6" s="37"/>
      <c r="H6" s="37"/>
    </row>
    <row r="7" spans="1:8">
      <c r="B7" s="55" t="s">
        <v>292</v>
      </c>
      <c r="C7" s="87" t="s">
        <v>500</v>
      </c>
      <c r="D7" s="87"/>
      <c r="E7" s="87"/>
      <c r="F7" s="87"/>
      <c r="G7" s="87"/>
      <c r="H7" s="87"/>
    </row>
    <row r="8" spans="1:8">
      <c r="B8" s="55" t="s">
        <v>297</v>
      </c>
      <c r="C8" s="87"/>
      <c r="D8" s="87"/>
      <c r="E8" s="87"/>
      <c r="F8" s="87"/>
      <c r="G8" s="87"/>
      <c r="H8" s="87"/>
    </row>
    <row r="9" spans="1:8">
      <c r="B9" s="55" t="s">
        <v>293</v>
      </c>
      <c r="C9" s="89" t="str">
        <f>IF(기초자료입력!C22&lt;&gt;"",기초자료입력!C22,IF(기초자료입력!C5&lt;&gt;"",기초자료입력!C5,"20○○")&amp;"학년도 교복 학교주관구매 제안서 정량평가 결과 보고")</f>
        <v>20○○학년도 교복 학교주관구매 제안서 정량평가 결과 보고</v>
      </c>
      <c r="D9" s="87"/>
      <c r="E9" s="87"/>
      <c r="F9" s="87"/>
      <c r="G9" s="87"/>
      <c r="H9" s="87"/>
    </row>
    <row r="10" spans="1:8">
      <c r="B10" s="38"/>
      <c r="C10" s="38"/>
      <c r="D10" s="38"/>
      <c r="E10" s="38"/>
      <c r="F10" s="38"/>
      <c r="G10" s="38"/>
      <c r="H10" s="38"/>
    </row>
    <row r="11" spans="1:8">
      <c r="B11" s="88" t="str">
        <f>"1. "&amp;IF(기초자료입력!C23&lt;&gt;"",기초자료입력!C23,"관련 문서를 확인하십시오.")</f>
        <v>1. 관련 문서를 확인하십시오.</v>
      </c>
      <c r="C11" s="86"/>
      <c r="D11" s="86"/>
      <c r="E11" s="86"/>
      <c r="F11" s="86"/>
      <c r="G11" s="86"/>
      <c r="H11" s="86"/>
    </row>
    <row r="12" spans="1:8">
      <c r="B12" s="38"/>
      <c r="C12" s="38"/>
      <c r="D12" s="38"/>
      <c r="E12" s="38"/>
      <c r="F12" s="38"/>
      <c r="G12" s="38"/>
      <c r="H12" s="38"/>
    </row>
    <row r="13" spans="1:8" ht="31.95" customHeight="1">
      <c r="B13" s="104" t="str">
        <f>"2. "&amp;IF(기초자료입력!C5&lt;&gt;"",기초자료입력!C5,"20○○")&amp;"학년도 "&amp;IF(기초자료입력!C12&lt;&gt;"",기초자료입력!C12,"교복 학교주관구매")&amp;" 2단계 입찰(규격가격동시) 공고와 관련하여 접수된 제안서에 대한 정량평가를 실시하고, 그 결과를 아래와 같이 보고합니다."</f>
        <v>2. 20○○학년도 교복 학교주관구매 2단계 입찰(규격가격동시) 공고와 관련하여 접수된 제안서에 대한 정량평가를 실시하고, 그 결과를 아래와 같이 보고합니다.</v>
      </c>
      <c r="C13" s="104"/>
      <c r="D13" s="104"/>
      <c r="E13" s="104"/>
      <c r="F13" s="104"/>
      <c r="G13" s="104"/>
      <c r="H13" s="104"/>
    </row>
    <row r="14" spans="1:8">
      <c r="B14" s="104"/>
      <c r="C14" s="104"/>
      <c r="D14" s="104"/>
      <c r="E14" s="104"/>
      <c r="F14" s="104"/>
      <c r="G14" s="104"/>
      <c r="H14" s="104"/>
    </row>
    <row r="15" spans="1:8">
      <c r="B15" s="38"/>
      <c r="C15" s="38"/>
      <c r="D15" s="38"/>
      <c r="E15" s="38"/>
      <c r="F15" s="38"/>
      <c r="G15" s="38"/>
      <c r="H15" s="38"/>
    </row>
    <row r="16" spans="1:8">
      <c r="B16" s="88" t="s">
        <v>869</v>
      </c>
      <c r="C16" s="86"/>
      <c r="D16" s="86"/>
      <c r="E16" s="86"/>
      <c r="F16" s="86"/>
      <c r="G16" s="86"/>
      <c r="H16" s="86"/>
    </row>
    <row r="17" spans="2:8">
      <c r="B17" s="114" t="s">
        <v>510</v>
      </c>
      <c r="C17" s="114" t="s">
        <v>52</v>
      </c>
      <c r="D17" s="114" t="s">
        <v>328</v>
      </c>
      <c r="E17" s="114"/>
      <c r="F17" s="114"/>
      <c r="G17" s="114"/>
      <c r="H17" s="114"/>
    </row>
    <row r="18" spans="2:8">
      <c r="B18" s="114"/>
      <c r="C18" s="114"/>
      <c r="D18" s="63" t="s">
        <v>870</v>
      </c>
      <c r="E18" s="63" t="s">
        <v>871</v>
      </c>
      <c r="F18" s="63" t="s">
        <v>872</v>
      </c>
      <c r="G18" s="63" t="s">
        <v>873</v>
      </c>
      <c r="H18" s="63" t="s">
        <v>296</v>
      </c>
    </row>
    <row r="19" spans="2:8">
      <c r="B19" s="29" t="str">
        <f>IF(기초자료입력!B44&lt;&gt;"",1,"")</f>
        <v/>
      </c>
      <c r="C19" s="29" t="str">
        <f>IF(기초자료입력!B44&lt;&gt;"",기초자료입력!B44,"")</f>
        <v/>
      </c>
      <c r="D19" s="29" t="str">
        <f>IF(OR(기초자료입력!B44="",기초자료입력!C44=""),"",기초자료입력!C44)</f>
        <v/>
      </c>
      <c r="E19" s="29" t="str">
        <f>IF(OR(기초자료입력!B44="",기초자료입력!D44=""),"",기초자료입력!D44)</f>
        <v/>
      </c>
      <c r="F19" s="29" t="str">
        <f>IF(OR(기초자료입력!B44="",기초자료입력!E44=""),"",기초자료입력!E44)</f>
        <v/>
      </c>
      <c r="G19" s="29" t="str">
        <f>IF(OR(기초자료입력!B44="",기초자료입력!F44=""),"",기초자료입력!F44)</f>
        <v/>
      </c>
      <c r="H19" s="29" t="str">
        <f>IF(기초자료입력!B44="","",IF(OR(D19="",E19="",F19="",G19=""),"",D19+E19+F19+G19))</f>
        <v/>
      </c>
    </row>
    <row r="20" spans="2:8">
      <c r="B20" s="29" t="str">
        <f>IF(기초자료입력!B45&lt;&gt;"",2,"")</f>
        <v/>
      </c>
      <c r="C20" s="29" t="str">
        <f>IF(기초자료입력!B45&lt;&gt;"",기초자료입력!B45,"")</f>
        <v/>
      </c>
      <c r="D20" s="29" t="str">
        <f>IF(OR(기초자료입력!B45="",기초자료입력!C45=""),"",기초자료입력!C45)</f>
        <v/>
      </c>
      <c r="E20" s="29" t="str">
        <f>IF(OR(기초자료입력!B45="",기초자료입력!D45=""),"",기초자료입력!D45)</f>
        <v/>
      </c>
      <c r="F20" s="29" t="str">
        <f>IF(OR(기초자료입력!B45="",기초자료입력!E45=""),"",기초자료입력!E45)</f>
        <v/>
      </c>
      <c r="G20" s="29" t="str">
        <f>IF(OR(기초자료입력!B45="",기초자료입력!F45=""),"",기초자료입력!F45)</f>
        <v/>
      </c>
      <c r="H20" s="29" t="str">
        <f>IF(기초자료입력!B45="","",IF(OR(D20="",E20="",F20="",G20=""),"",D20+E20+F20+G20))</f>
        <v/>
      </c>
    </row>
    <row r="21" spans="2:8">
      <c r="B21" s="29" t="str">
        <f>IF(기초자료입력!B46&lt;&gt;"",3,"")</f>
        <v/>
      </c>
      <c r="C21" s="29" t="str">
        <f>IF(기초자료입력!B46&lt;&gt;"",기초자료입력!B46,"")</f>
        <v/>
      </c>
      <c r="D21" s="29" t="str">
        <f>IF(OR(기초자료입력!B46="",기초자료입력!C46=""),"",기초자료입력!C46)</f>
        <v/>
      </c>
      <c r="E21" s="29" t="str">
        <f>IF(OR(기초자료입력!B46="",기초자료입력!D46=""),"",기초자료입력!D46)</f>
        <v/>
      </c>
      <c r="F21" s="29" t="str">
        <f>IF(OR(기초자료입력!B46="",기초자료입력!E46=""),"",기초자료입력!E46)</f>
        <v/>
      </c>
      <c r="G21" s="29" t="str">
        <f>IF(OR(기초자료입력!B46="",기초자료입력!F46=""),"",기초자료입력!F46)</f>
        <v/>
      </c>
      <c r="H21" s="29" t="str">
        <f>IF(기초자료입력!B46="","",IF(OR(D21="",E21="",F21="",G21=""),"",D21+E21+F21+G21))</f>
        <v/>
      </c>
    </row>
    <row r="22" spans="2:8">
      <c r="B22" s="29" t="str">
        <f>IF(기초자료입력!B47&lt;&gt;"",4,"")</f>
        <v/>
      </c>
      <c r="C22" s="29" t="str">
        <f>IF(기초자료입력!B47&lt;&gt;"",기초자료입력!B47,"")</f>
        <v/>
      </c>
      <c r="D22" s="29" t="str">
        <f>IF(OR(기초자료입력!B47="",기초자료입력!C47=""),"",기초자료입력!C47)</f>
        <v/>
      </c>
      <c r="E22" s="29" t="str">
        <f>IF(OR(기초자료입력!B47="",기초자료입력!D47=""),"",기초자료입력!D47)</f>
        <v/>
      </c>
      <c r="F22" s="29" t="str">
        <f>IF(OR(기초자료입력!B47="",기초자료입력!E47=""),"",기초자료입력!E47)</f>
        <v/>
      </c>
      <c r="G22" s="29" t="str">
        <f>IF(OR(기초자료입력!B47="",기초자료입력!F47=""),"",기초자료입력!F47)</f>
        <v/>
      </c>
      <c r="H22" s="29" t="str">
        <f>IF(기초자료입력!B47="","",IF(OR(D22="",E22="",F22="",G22=""),"",D22+E22+F22+G22))</f>
        <v/>
      </c>
    </row>
    <row r="23" spans="2:8">
      <c r="B23" s="29" t="str">
        <f>IF(기초자료입력!B48&lt;&gt;"",5,"")</f>
        <v/>
      </c>
      <c r="C23" s="29" t="str">
        <f>IF(기초자료입력!B48&lt;&gt;"",기초자료입력!B48,"")</f>
        <v/>
      </c>
      <c r="D23" s="29" t="str">
        <f>IF(OR(기초자료입력!B48="",기초자료입력!C48=""),"",기초자료입력!C48)</f>
        <v/>
      </c>
      <c r="E23" s="29" t="str">
        <f>IF(OR(기초자료입력!B48="",기초자료입력!D48=""),"",기초자료입력!D48)</f>
        <v/>
      </c>
      <c r="F23" s="29" t="str">
        <f>IF(OR(기초자료입력!B48="",기초자료입력!E48=""),"",기초자료입력!E48)</f>
        <v/>
      </c>
      <c r="G23" s="29" t="str">
        <f>IF(OR(기초자료입력!B48="",기초자료입력!F48=""),"",기초자료입력!F48)</f>
        <v/>
      </c>
      <c r="H23" s="29" t="str">
        <f>IF(기초자료입력!B48="","",IF(OR(D23="",E23="",F23="",G23=""),"",D23+E23+F23+G23))</f>
        <v/>
      </c>
    </row>
    <row r="24" spans="2:8">
      <c r="B24" s="29" t="str">
        <f>IF(기초자료입력!B49&lt;&gt;"",6,"")</f>
        <v/>
      </c>
      <c r="C24" s="29" t="str">
        <f>IF(기초자료입력!B49&lt;&gt;"",기초자료입력!B49,"")</f>
        <v/>
      </c>
      <c r="D24" s="29" t="str">
        <f>IF(OR(기초자료입력!B49="",기초자료입력!C49=""),"",기초자료입력!C49)</f>
        <v/>
      </c>
      <c r="E24" s="29" t="str">
        <f>IF(OR(기초자료입력!B49="",기초자료입력!D49=""),"",기초자료입력!D49)</f>
        <v/>
      </c>
      <c r="F24" s="29" t="str">
        <f>IF(OR(기초자료입력!B49="",기초자료입력!E49=""),"",기초자료입력!E49)</f>
        <v/>
      </c>
      <c r="G24" s="29" t="str">
        <f>IF(OR(기초자료입력!B49="",기초자료입력!F49=""),"",기초자료입력!F49)</f>
        <v/>
      </c>
      <c r="H24" s="29" t="str">
        <f>IF(기초자료입력!B49="","",IF(OR(D24="",E24="",F24="",G24=""),"",D24+E24+F24+G24))</f>
        <v/>
      </c>
    </row>
    <row r="25" spans="2:8">
      <c r="B25" s="29" t="str">
        <f>IF(기초자료입력!B50&lt;&gt;"",7,"")</f>
        <v/>
      </c>
      <c r="C25" s="29" t="str">
        <f>IF(기초자료입력!B50&lt;&gt;"",기초자료입력!B50,"")</f>
        <v/>
      </c>
      <c r="D25" s="29" t="str">
        <f>IF(OR(기초자료입력!B50="",기초자료입력!C50=""),"",기초자료입력!C50)</f>
        <v/>
      </c>
      <c r="E25" s="29" t="str">
        <f>IF(OR(기초자료입력!B50="",기초자료입력!D50=""),"",기초자료입력!D50)</f>
        <v/>
      </c>
      <c r="F25" s="29" t="str">
        <f>IF(OR(기초자료입력!B50="",기초자료입력!E50=""),"",기초자료입력!E50)</f>
        <v/>
      </c>
      <c r="G25" s="29" t="str">
        <f>IF(OR(기초자료입력!B50="",기초자료입력!F50=""),"",기초자료입력!F50)</f>
        <v/>
      </c>
      <c r="H25" s="29" t="str">
        <f>IF(기초자료입력!B50="","",IF(OR(D25="",E25="",F25="",G25=""),"",D25+E25+F25+G25))</f>
        <v/>
      </c>
    </row>
    <row r="26" spans="2:8">
      <c r="B26" s="29" t="str">
        <f>IF(기초자료입력!B51&lt;&gt;"",8,"")</f>
        <v/>
      </c>
      <c r="C26" s="29" t="str">
        <f>IF(기초자료입력!B51&lt;&gt;"",기초자료입력!B51,"")</f>
        <v/>
      </c>
      <c r="D26" s="29" t="str">
        <f>IF(OR(기초자료입력!B51="",기초자료입력!C51=""),"",기초자료입력!C51)</f>
        <v/>
      </c>
      <c r="E26" s="29" t="str">
        <f>IF(OR(기초자료입력!B51="",기초자료입력!D51=""),"",기초자료입력!D51)</f>
        <v/>
      </c>
      <c r="F26" s="29" t="str">
        <f>IF(OR(기초자료입력!B51="",기초자료입력!E51=""),"",기초자료입력!E51)</f>
        <v/>
      </c>
      <c r="G26" s="29" t="str">
        <f>IF(OR(기초자료입력!B51="",기초자료입력!F51=""),"",기초자료입력!F51)</f>
        <v/>
      </c>
      <c r="H26" s="29" t="str">
        <f>IF(기초자료입력!B51="","",IF(OR(D26="",E26="",F26="",G26=""),"",D26+E26+F26+G26))</f>
        <v/>
      </c>
    </row>
    <row r="27" spans="2:8">
      <c r="B27" s="29" t="str">
        <f>IF(기초자료입력!B52&lt;&gt;"",9,"")</f>
        <v/>
      </c>
      <c r="C27" s="29" t="str">
        <f>IF(기초자료입력!B52&lt;&gt;"",기초자료입력!B52,"")</f>
        <v/>
      </c>
      <c r="D27" s="29" t="str">
        <f>IF(OR(기초자료입력!B52="",기초자료입력!C52=""),"",기초자료입력!C52)</f>
        <v/>
      </c>
      <c r="E27" s="29" t="str">
        <f>IF(OR(기초자료입력!B52="",기초자료입력!D52=""),"",기초자료입력!D52)</f>
        <v/>
      </c>
      <c r="F27" s="29" t="str">
        <f>IF(OR(기초자료입력!B52="",기초자료입력!E52=""),"",기초자료입력!E52)</f>
        <v/>
      </c>
      <c r="G27" s="29" t="str">
        <f>IF(OR(기초자료입력!B52="",기초자료입력!F52=""),"",기초자료입력!F52)</f>
        <v/>
      </c>
      <c r="H27" s="29" t="str">
        <f>IF(기초자료입력!B52="","",IF(OR(D27="",E27="",F27="",G27=""),"",D27+E27+F27+G27))</f>
        <v/>
      </c>
    </row>
    <row r="28" spans="2:8">
      <c r="B28" s="29" t="str">
        <f>IF(기초자료입력!B53&lt;&gt;"",10,"")</f>
        <v/>
      </c>
      <c r="C28" s="29" t="str">
        <f>IF(기초자료입력!B53&lt;&gt;"",기초자료입력!B53,"")</f>
        <v/>
      </c>
      <c r="D28" s="29" t="str">
        <f>IF(OR(기초자료입력!B53="",기초자료입력!C53=""),"",기초자료입력!C53)</f>
        <v/>
      </c>
      <c r="E28" s="29" t="str">
        <f>IF(OR(기초자료입력!B53="",기초자료입력!D53=""),"",기초자료입력!D53)</f>
        <v/>
      </c>
      <c r="F28" s="29" t="str">
        <f>IF(OR(기초자료입력!B53="",기초자료입력!E53=""),"",기초자료입력!E53)</f>
        <v/>
      </c>
      <c r="G28" s="29" t="str">
        <f>IF(OR(기초자료입력!B53="",기초자료입력!F53=""),"",기초자료입력!F53)</f>
        <v/>
      </c>
      <c r="H28" s="29" t="str">
        <f>IF(기초자료입력!B53="","",IF(OR(D28="",E28="",F28="",G28=""),"",D28+E28+F28+G28))</f>
        <v/>
      </c>
    </row>
    <row r="29" spans="2:8">
      <c r="B29" s="38"/>
      <c r="C29" s="38"/>
      <c r="D29" s="38"/>
      <c r="E29" s="38"/>
      <c r="F29" s="38"/>
      <c r="G29" s="38"/>
      <c r="H29" s="38"/>
    </row>
    <row r="30" spans="2:8">
      <c r="B30" s="104" t="s">
        <v>874</v>
      </c>
      <c r="C30" s="104"/>
      <c r="D30" s="104"/>
      <c r="E30" s="104"/>
      <c r="F30" s="104"/>
      <c r="G30" s="104"/>
      <c r="H30" s="104"/>
    </row>
    <row r="31" spans="2:8">
      <c r="B31" s="38"/>
      <c r="C31" s="38"/>
      <c r="D31" s="38"/>
      <c r="E31" s="38"/>
      <c r="F31" s="38"/>
      <c r="G31" s="38"/>
      <c r="H31" s="38"/>
    </row>
    <row r="32" spans="2:8">
      <c r="B32" s="38"/>
      <c r="C32" s="38"/>
      <c r="D32" s="38"/>
      <c r="E32" s="38"/>
      <c r="F32" s="38"/>
      <c r="G32" s="38"/>
      <c r="H32" s="38"/>
    </row>
    <row r="33" spans="2:8" ht="28.05" customHeight="1">
      <c r="B33" s="38"/>
      <c r="C33" s="38"/>
      <c r="D33" s="38"/>
      <c r="E33" s="38"/>
      <c r="F33" s="56" t="str">
        <f>"담당"&amp;CHAR(10)&amp;IF(기초자료입력!$C$10&lt;&gt;"",기초자료입력!$C$10,"")</f>
        <v xml:space="preserve">담당
</v>
      </c>
      <c r="G33" s="56" t="s">
        <v>304</v>
      </c>
      <c r="H33" s="56" t="str">
        <f>"교장"&amp;CHAR(10)&amp;IF(기초자료입력!$F$10&lt;&gt;"",기초자료입력!$F$10,"")</f>
        <v xml:space="preserve">교장
</v>
      </c>
    </row>
    <row r="34" spans="2:8">
      <c r="B34" s="53" t="s">
        <v>305</v>
      </c>
      <c r="C34" s="86" t="str">
        <f>IF(기초자료입력!C9&lt;&gt;"",기초자료입력!C9&amp;IF(기초자료입력!C8&lt;&gt;"","("&amp;TEXT(기초자료입력!C8,"yyyy.m.d.")&amp;")",""),"")</f>
        <v/>
      </c>
      <c r="D34" s="86"/>
      <c r="E34" s="86"/>
      <c r="F34" s="55" t="s">
        <v>306</v>
      </c>
      <c r="G34" s="87"/>
      <c r="H34" s="87"/>
    </row>
    <row r="35" spans="2:8">
      <c r="B35" s="53" t="s">
        <v>307</v>
      </c>
      <c r="C35" s="38"/>
      <c r="D35" s="53" t="s">
        <v>308</v>
      </c>
      <c r="E35" s="86" t="str">
        <f>IFERROR(INDEX(학교정보!$F$2:$F$791,MATCH(기초자료입력!$C$4,학교정보!$E$2:$E$791,0)),"")</f>
        <v/>
      </c>
      <c r="F35" s="87"/>
      <c r="G35" s="87"/>
      <c r="H35" s="87"/>
    </row>
    <row r="36" spans="2:8">
      <c r="B36" s="53" t="s">
        <v>309</v>
      </c>
      <c r="C36" s="38" t="str">
        <f>IFERROR(INDEX(학교정보!$G$2:$G$791,MATCH(기초자료입력!$C$4,학교정보!$E$2:$E$791,0)),"")</f>
        <v/>
      </c>
      <c r="D36" s="53" t="s">
        <v>310</v>
      </c>
      <c r="E36" s="38"/>
      <c r="F36" s="55" t="s">
        <v>311</v>
      </c>
      <c r="G36" s="87"/>
      <c r="H36" s="87"/>
    </row>
  </sheetData>
  <mergeCells count="15">
    <mergeCell ref="B13:H14"/>
    <mergeCell ref="B3:H4"/>
    <mergeCell ref="C7:H7"/>
    <mergeCell ref="C8:H8"/>
    <mergeCell ref="C9:H9"/>
    <mergeCell ref="B11:H11"/>
    <mergeCell ref="E35:H35"/>
    <mergeCell ref="G36:H36"/>
    <mergeCell ref="B16:H16"/>
    <mergeCell ref="B17:B18"/>
    <mergeCell ref="C17:C18"/>
    <mergeCell ref="D17:H17"/>
    <mergeCell ref="B30:H30"/>
    <mergeCell ref="C34:E34"/>
    <mergeCell ref="G34:H34"/>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505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6CE0C4-B850-4FC3-BCBF-E86577DF7AE4}">
  <sheetPr codeName="Sheet45"/>
  <dimension ref="A1:H38"/>
  <sheetViews>
    <sheetView workbookViewId="0"/>
  </sheetViews>
  <sheetFormatPr defaultRowHeight="17.399999999999999"/>
  <cols>
    <col min="1" max="1" width="3.19921875" customWidth="1"/>
    <col min="2" max="2" width="16.69921875" customWidth="1"/>
    <col min="3" max="6" width="10.69921875" customWidth="1"/>
    <col min="7" max="7" width="14.69921875" customWidth="1"/>
  </cols>
  <sheetData>
    <row r="1" spans="1:8">
      <c r="A1" s="20"/>
    </row>
    <row r="3" spans="1:8">
      <c r="B3" s="93" t="str">
        <f>IF(기초자료입력!C4&lt;&gt;"",기초자료입력!C4,"○○학교")&amp;" 교복 구매 제안서 평가 결과"</f>
        <v>○○학교 교복 구매 제안서 평가 결과</v>
      </c>
      <c r="C3" s="94"/>
      <c r="D3" s="94"/>
      <c r="E3" s="94"/>
      <c r="F3" s="94"/>
      <c r="G3" s="94"/>
      <c r="H3" s="94"/>
    </row>
    <row r="4" spans="1:8">
      <c r="B4" s="94"/>
      <c r="C4" s="94"/>
      <c r="D4" s="94"/>
      <c r="E4" s="94"/>
      <c r="F4" s="94"/>
      <c r="G4" s="94"/>
      <c r="H4" s="94"/>
    </row>
    <row r="5" spans="1:8">
      <c r="B5" s="55" t="s">
        <v>13</v>
      </c>
      <c r="C5" s="37" t="str">
        <f>IF(기초자료입력!C9&lt;&gt;"",기초자료입력!C9,"")</f>
        <v/>
      </c>
      <c r="D5" s="37"/>
      <c r="E5" s="55" t="s">
        <v>291</v>
      </c>
      <c r="F5" s="37" t="str">
        <f>IF(기초자료입력!C8&lt;&gt;"",TEXT(기초자료입력!C8,"yyyy-mm-dd"),"")</f>
        <v/>
      </c>
      <c r="G5" s="37"/>
    </row>
    <row r="6" spans="1:8">
      <c r="B6" s="37"/>
      <c r="C6" s="37"/>
      <c r="D6" s="37"/>
      <c r="E6" s="37"/>
      <c r="F6" s="37"/>
      <c r="G6" s="37"/>
    </row>
    <row r="7" spans="1:8">
      <c r="B7" s="55" t="s">
        <v>292</v>
      </c>
      <c r="C7" s="87" t="s">
        <v>500</v>
      </c>
      <c r="D7" s="87"/>
      <c r="E7" s="87"/>
      <c r="F7" s="87"/>
      <c r="G7" s="87"/>
      <c r="H7" s="79"/>
    </row>
    <row r="8" spans="1:8">
      <c r="B8" s="55" t="s">
        <v>297</v>
      </c>
      <c r="C8" s="87"/>
      <c r="D8" s="87"/>
      <c r="E8" s="87"/>
      <c r="F8" s="87"/>
      <c r="G8" s="87"/>
      <c r="H8" s="79"/>
    </row>
    <row r="9" spans="1:8">
      <c r="B9" s="55" t="s">
        <v>293</v>
      </c>
      <c r="C9" s="89" t="str">
        <f>IF(기초자료입력!C22&lt;&gt;"",기초자료입력!C22,IF(기초자료입력!C5&lt;&gt;"",기초자료입력!C5,"20○○")&amp;"학년도 교복 업체 선정을 위한 제안서 평가 집계결과 보고")</f>
        <v>20○○학년도 교복 업체 선정을 위한 제안서 평가 집계결과 보고</v>
      </c>
      <c r="D9" s="87"/>
      <c r="E9" s="87"/>
      <c r="F9" s="87"/>
      <c r="G9" s="87"/>
      <c r="H9" s="79"/>
    </row>
    <row r="10" spans="1:8">
      <c r="B10" s="38"/>
      <c r="C10" s="38"/>
      <c r="D10" s="38"/>
      <c r="E10" s="38"/>
      <c r="F10" s="38"/>
      <c r="G10" s="38"/>
    </row>
    <row r="11" spans="1:8">
      <c r="B11" s="88" t="str">
        <f>"1. 관련："&amp;IF(기초자료입력!C23&lt;&gt;"",기초자료입력!C23,"관련 문서를 확인하십시오.")</f>
        <v>1. 관련：관련 문서를 확인하십시오.</v>
      </c>
      <c r="C11" s="86"/>
      <c r="D11" s="86"/>
      <c r="E11" s="86"/>
      <c r="F11" s="86"/>
      <c r="G11" s="86"/>
      <c r="H11" s="79"/>
    </row>
    <row r="12" spans="1:8">
      <c r="B12" s="38"/>
      <c r="C12" s="38"/>
      <c r="D12" s="38"/>
      <c r="E12" s="38"/>
      <c r="F12" s="38"/>
      <c r="G12" s="38"/>
    </row>
    <row r="13" spans="1:8" ht="28.05" customHeight="1">
      <c r="B13" s="104" t="str">
        <f>"2. "&amp;IF(기초자료입력!C5&lt;&gt;"",기초자료입력!C5,"20○○")&amp;"학년도 교복업체 선정을 위한 제안서 평가위원회 실시 결과를 아래와 같이 보고합니다."</f>
        <v>2. 20○○학년도 교복업체 선정을 위한 제안서 평가위원회 실시 결과를 아래와 같이 보고합니다.</v>
      </c>
      <c r="C13" s="104"/>
      <c r="D13" s="104"/>
      <c r="E13" s="104"/>
      <c r="F13" s="104"/>
      <c r="G13" s="104"/>
      <c r="H13" s="85"/>
    </row>
    <row r="14" spans="1:8">
      <c r="B14" s="104"/>
      <c r="C14" s="104"/>
      <c r="D14" s="104"/>
      <c r="E14" s="104"/>
      <c r="F14" s="104"/>
      <c r="G14" s="104"/>
      <c r="H14" s="85"/>
    </row>
    <row r="15" spans="1:8">
      <c r="B15" s="38"/>
      <c r="C15" s="38"/>
      <c r="D15" s="38"/>
      <c r="E15" s="38"/>
      <c r="F15" s="38"/>
      <c r="G15" s="38"/>
    </row>
    <row r="16" spans="1:8">
      <c r="B16" s="38"/>
      <c r="C16" s="38"/>
      <c r="D16" s="38"/>
      <c r="E16" s="38"/>
      <c r="F16" s="38"/>
      <c r="G16" s="38"/>
    </row>
    <row r="17" spans="2:7">
      <c r="B17" s="114" t="s">
        <v>52</v>
      </c>
      <c r="C17" s="114" t="s">
        <v>875</v>
      </c>
      <c r="D17" s="114"/>
      <c r="E17" s="114"/>
      <c r="F17" s="114" t="s">
        <v>878</v>
      </c>
      <c r="G17" s="114" t="s">
        <v>879</v>
      </c>
    </row>
    <row r="18" spans="2:7">
      <c r="B18" s="114"/>
      <c r="C18" s="63" t="s">
        <v>876</v>
      </c>
      <c r="D18" s="63" t="s">
        <v>877</v>
      </c>
      <c r="E18" s="63" t="s">
        <v>296</v>
      </c>
      <c r="F18" s="114"/>
      <c r="G18" s="114"/>
    </row>
    <row r="19" spans="2:7">
      <c r="B19" s="29" t="str">
        <f>IF(기초자료입력!B44&lt;&gt;"",기초자료입력!B44,"")</f>
        <v/>
      </c>
      <c r="C19" s="29" t="str">
        <f>IF(기초자료입력!B44="","",IF(OR(기초자료입력!C44="",기초자료입력!D44="",기초자료입력!E44="",기초자료입력!F44=""),"",기초자료입력!C44+기초자료입력!D44+기초자료입력!E44+기초자료입력!F44))</f>
        <v/>
      </c>
      <c r="D19" s="29" t="str">
        <f>IF(기초자료입력!B44="","",IF(OR(기초자료입력!H44="",기초자료입력!I44="",기초자료입력!J44="",기초자료입력!K44="",기초자료입력!L44="",NOT(ISNUMBER(기초자료입력!L44))),"",IFERROR(CHOOSE(MATCH(기초자료입력!H44,{"탁월","우수","보통","미흡","불량"},0),15,12,9,6,3)+CHOOSE(MATCH(기초자료입력!I44,{"탁월","우수","보통","미흡","불량"},0),10,8,6,4,2)+CHOOSE(MATCH(기초자료입력!J44,{"탁월","우수","보통","미흡","불량"},0),15,12,9,6,3)+CHOOSE(MATCH(기초자료입력!K44,{"탁월","우수","보통","미흡","불량"},0),10,8,6,4,2)+기초자료입력!L44,"")))</f>
        <v/>
      </c>
      <c r="E19" s="29" t="str">
        <f t="shared" ref="E19:E28" si="0">IF(OR(C19="",D19=""),"",C19+D19)</f>
        <v/>
      </c>
      <c r="F19" s="29" t="str">
        <f t="shared" ref="F19:F28" si="1">IF(E19="","",IF(E19&gt;=80,"적격","부적격"))</f>
        <v/>
      </c>
      <c r="G19" s="29" t="str">
        <f t="shared" ref="G19:G28" si="2">IF(F19="적격","가격개찰대상","")</f>
        <v/>
      </c>
    </row>
    <row r="20" spans="2:7">
      <c r="B20" s="29" t="str">
        <f>IF(기초자료입력!B45&lt;&gt;"",기초자료입력!B45,"")</f>
        <v/>
      </c>
      <c r="C20" s="29" t="str">
        <f>IF(기초자료입력!B45="","",IF(OR(기초자료입력!C45="",기초자료입력!D45="",기초자료입력!E45="",기초자료입력!F45=""),"",기초자료입력!C45+기초자료입력!D45+기초자료입력!E45+기초자료입력!F45))</f>
        <v/>
      </c>
      <c r="D20" s="29" t="str">
        <f>IF(기초자료입력!B45="","",IF(OR(기초자료입력!H45="",기초자료입력!I45="",기초자료입력!J45="",기초자료입력!K45="",기초자료입력!L45="",NOT(ISNUMBER(기초자료입력!L45))),"",IFERROR(CHOOSE(MATCH(기초자료입력!H45,{"탁월","우수","보통","미흡","불량"},0),15,12,9,6,3)+CHOOSE(MATCH(기초자료입력!I45,{"탁월","우수","보통","미흡","불량"},0),10,8,6,4,2)+CHOOSE(MATCH(기초자료입력!J45,{"탁월","우수","보통","미흡","불량"},0),15,12,9,6,3)+CHOOSE(MATCH(기초자료입력!K45,{"탁월","우수","보통","미흡","불량"},0),10,8,6,4,2)+기초자료입력!L45,"")))</f>
        <v/>
      </c>
      <c r="E20" s="29" t="str">
        <f t="shared" si="0"/>
        <v/>
      </c>
      <c r="F20" s="29" t="str">
        <f t="shared" si="1"/>
        <v/>
      </c>
      <c r="G20" s="29" t="str">
        <f t="shared" si="2"/>
        <v/>
      </c>
    </row>
    <row r="21" spans="2:7">
      <c r="B21" s="29" t="str">
        <f>IF(기초자료입력!B46&lt;&gt;"",기초자료입력!B46,"")</f>
        <v/>
      </c>
      <c r="C21" s="29" t="str">
        <f>IF(기초자료입력!B46="","",IF(OR(기초자료입력!C46="",기초자료입력!D46="",기초자료입력!E46="",기초자료입력!F46=""),"",기초자료입력!C46+기초자료입력!D46+기초자료입력!E46+기초자료입력!F46))</f>
        <v/>
      </c>
      <c r="D21" s="29" t="str">
        <f>IF(기초자료입력!B46="","",IF(OR(기초자료입력!H46="",기초자료입력!I46="",기초자료입력!J46="",기초자료입력!K46="",기초자료입력!L46="",NOT(ISNUMBER(기초자료입력!L46))),"",IFERROR(CHOOSE(MATCH(기초자료입력!H46,{"탁월","우수","보통","미흡","불량"},0),15,12,9,6,3)+CHOOSE(MATCH(기초자료입력!I46,{"탁월","우수","보통","미흡","불량"},0),10,8,6,4,2)+CHOOSE(MATCH(기초자료입력!J46,{"탁월","우수","보통","미흡","불량"},0),15,12,9,6,3)+CHOOSE(MATCH(기초자료입력!K46,{"탁월","우수","보통","미흡","불량"},0),10,8,6,4,2)+기초자료입력!L46,"")))</f>
        <v/>
      </c>
      <c r="E21" s="29" t="str">
        <f t="shared" si="0"/>
        <v/>
      </c>
      <c r="F21" s="29" t="str">
        <f t="shared" si="1"/>
        <v/>
      </c>
      <c r="G21" s="29" t="str">
        <f t="shared" si="2"/>
        <v/>
      </c>
    </row>
    <row r="22" spans="2:7">
      <c r="B22" s="29" t="str">
        <f>IF(기초자료입력!B47&lt;&gt;"",기초자료입력!B47,"")</f>
        <v/>
      </c>
      <c r="C22" s="29" t="str">
        <f>IF(기초자료입력!B47="","",IF(OR(기초자료입력!C47="",기초자료입력!D47="",기초자료입력!E47="",기초자료입력!F47=""),"",기초자료입력!C47+기초자료입력!D47+기초자료입력!E47+기초자료입력!F47))</f>
        <v/>
      </c>
      <c r="D22" s="29" t="str">
        <f>IF(기초자료입력!B47="","",IF(OR(기초자료입력!H47="",기초자료입력!I47="",기초자료입력!J47="",기초자료입력!K47="",기초자료입력!L47="",NOT(ISNUMBER(기초자료입력!L47))),"",IFERROR(CHOOSE(MATCH(기초자료입력!H47,{"탁월","우수","보통","미흡","불량"},0),15,12,9,6,3)+CHOOSE(MATCH(기초자료입력!I47,{"탁월","우수","보통","미흡","불량"},0),10,8,6,4,2)+CHOOSE(MATCH(기초자료입력!J47,{"탁월","우수","보통","미흡","불량"},0),15,12,9,6,3)+CHOOSE(MATCH(기초자료입력!K47,{"탁월","우수","보통","미흡","불량"},0),10,8,6,4,2)+기초자료입력!L47,"")))</f>
        <v/>
      </c>
      <c r="E22" s="29" t="str">
        <f t="shared" si="0"/>
        <v/>
      </c>
      <c r="F22" s="29" t="str">
        <f t="shared" si="1"/>
        <v/>
      </c>
      <c r="G22" s="29" t="str">
        <f t="shared" si="2"/>
        <v/>
      </c>
    </row>
    <row r="23" spans="2:7">
      <c r="B23" s="29" t="str">
        <f>IF(기초자료입력!B48&lt;&gt;"",기초자료입력!B48,"")</f>
        <v/>
      </c>
      <c r="C23" s="29" t="str">
        <f>IF(기초자료입력!B48="","",IF(OR(기초자료입력!C48="",기초자료입력!D48="",기초자료입력!E48="",기초자료입력!F48=""),"",기초자료입력!C48+기초자료입력!D48+기초자료입력!E48+기초자료입력!F48))</f>
        <v/>
      </c>
      <c r="D23" s="29" t="str">
        <f>IF(기초자료입력!B48="","",IF(OR(기초자료입력!H48="",기초자료입력!I48="",기초자료입력!J48="",기초자료입력!K48="",기초자료입력!L48="",NOT(ISNUMBER(기초자료입력!L48))),"",IFERROR(CHOOSE(MATCH(기초자료입력!H48,{"탁월","우수","보통","미흡","불량"},0),15,12,9,6,3)+CHOOSE(MATCH(기초자료입력!I48,{"탁월","우수","보통","미흡","불량"},0),10,8,6,4,2)+CHOOSE(MATCH(기초자료입력!J48,{"탁월","우수","보통","미흡","불량"},0),15,12,9,6,3)+CHOOSE(MATCH(기초자료입력!K48,{"탁월","우수","보통","미흡","불량"},0),10,8,6,4,2)+기초자료입력!L48,"")))</f>
        <v/>
      </c>
      <c r="E23" s="29" t="str">
        <f t="shared" si="0"/>
        <v/>
      </c>
      <c r="F23" s="29" t="str">
        <f t="shared" si="1"/>
        <v/>
      </c>
      <c r="G23" s="29" t="str">
        <f t="shared" si="2"/>
        <v/>
      </c>
    </row>
    <row r="24" spans="2:7">
      <c r="B24" s="29" t="str">
        <f>IF(기초자료입력!B49&lt;&gt;"",기초자료입력!B49,"")</f>
        <v/>
      </c>
      <c r="C24" s="29" t="str">
        <f>IF(기초자료입력!B49="","",IF(OR(기초자료입력!C49="",기초자료입력!D49="",기초자료입력!E49="",기초자료입력!F49=""),"",기초자료입력!C49+기초자료입력!D49+기초자료입력!E49+기초자료입력!F49))</f>
        <v/>
      </c>
      <c r="D24" s="29" t="str">
        <f>IF(기초자료입력!B49="","",IF(OR(기초자료입력!H49="",기초자료입력!I49="",기초자료입력!J49="",기초자료입력!K49="",기초자료입력!L49="",NOT(ISNUMBER(기초자료입력!L49))),"",IFERROR(CHOOSE(MATCH(기초자료입력!H49,{"탁월","우수","보통","미흡","불량"},0),15,12,9,6,3)+CHOOSE(MATCH(기초자료입력!I49,{"탁월","우수","보통","미흡","불량"},0),10,8,6,4,2)+CHOOSE(MATCH(기초자료입력!J49,{"탁월","우수","보통","미흡","불량"},0),15,12,9,6,3)+CHOOSE(MATCH(기초자료입력!K49,{"탁월","우수","보통","미흡","불량"},0),10,8,6,4,2)+기초자료입력!L49,"")))</f>
        <v/>
      </c>
      <c r="E24" s="29" t="str">
        <f t="shared" si="0"/>
        <v/>
      </c>
      <c r="F24" s="29" t="str">
        <f t="shared" si="1"/>
        <v/>
      </c>
      <c r="G24" s="29" t="str">
        <f t="shared" si="2"/>
        <v/>
      </c>
    </row>
    <row r="25" spans="2:7">
      <c r="B25" s="29" t="str">
        <f>IF(기초자료입력!B50&lt;&gt;"",기초자료입력!B50,"")</f>
        <v/>
      </c>
      <c r="C25" s="29" t="str">
        <f>IF(기초자료입력!B50="","",IF(OR(기초자료입력!C50="",기초자료입력!D50="",기초자료입력!E50="",기초자료입력!F50=""),"",기초자료입력!C50+기초자료입력!D50+기초자료입력!E50+기초자료입력!F50))</f>
        <v/>
      </c>
      <c r="D25" s="29" t="str">
        <f>IF(기초자료입력!B50="","",IF(OR(기초자료입력!H50="",기초자료입력!I50="",기초자료입력!J50="",기초자료입력!K50="",기초자료입력!L50="",NOT(ISNUMBER(기초자료입력!L50))),"",IFERROR(CHOOSE(MATCH(기초자료입력!H50,{"탁월","우수","보통","미흡","불량"},0),15,12,9,6,3)+CHOOSE(MATCH(기초자료입력!I50,{"탁월","우수","보통","미흡","불량"},0),10,8,6,4,2)+CHOOSE(MATCH(기초자료입력!J50,{"탁월","우수","보통","미흡","불량"},0),15,12,9,6,3)+CHOOSE(MATCH(기초자료입력!K50,{"탁월","우수","보통","미흡","불량"},0),10,8,6,4,2)+기초자료입력!L50,"")))</f>
        <v/>
      </c>
      <c r="E25" s="29" t="str">
        <f t="shared" si="0"/>
        <v/>
      </c>
      <c r="F25" s="29" t="str">
        <f t="shared" si="1"/>
        <v/>
      </c>
      <c r="G25" s="29" t="str">
        <f t="shared" si="2"/>
        <v/>
      </c>
    </row>
    <row r="26" spans="2:7">
      <c r="B26" s="29" t="str">
        <f>IF(기초자료입력!B51&lt;&gt;"",기초자료입력!B51,"")</f>
        <v/>
      </c>
      <c r="C26" s="29" t="str">
        <f>IF(기초자료입력!B51="","",IF(OR(기초자료입력!C51="",기초자료입력!D51="",기초자료입력!E51="",기초자료입력!F51=""),"",기초자료입력!C51+기초자료입력!D51+기초자료입력!E51+기초자료입력!F51))</f>
        <v/>
      </c>
      <c r="D26" s="29" t="str">
        <f>IF(기초자료입력!B51="","",IF(OR(기초자료입력!H51="",기초자료입력!I51="",기초자료입력!J51="",기초자료입력!K51="",기초자료입력!L51="",NOT(ISNUMBER(기초자료입력!L51))),"",IFERROR(CHOOSE(MATCH(기초자료입력!H51,{"탁월","우수","보통","미흡","불량"},0),15,12,9,6,3)+CHOOSE(MATCH(기초자료입력!I51,{"탁월","우수","보통","미흡","불량"},0),10,8,6,4,2)+CHOOSE(MATCH(기초자료입력!J51,{"탁월","우수","보통","미흡","불량"},0),15,12,9,6,3)+CHOOSE(MATCH(기초자료입력!K51,{"탁월","우수","보통","미흡","불량"},0),10,8,6,4,2)+기초자료입력!L51,"")))</f>
        <v/>
      </c>
      <c r="E26" s="29" t="str">
        <f t="shared" si="0"/>
        <v/>
      </c>
      <c r="F26" s="29" t="str">
        <f t="shared" si="1"/>
        <v/>
      </c>
      <c r="G26" s="29" t="str">
        <f t="shared" si="2"/>
        <v/>
      </c>
    </row>
    <row r="27" spans="2:7">
      <c r="B27" s="29" t="str">
        <f>IF(기초자료입력!B52&lt;&gt;"",기초자료입력!B52,"")</f>
        <v/>
      </c>
      <c r="C27" s="29" t="str">
        <f>IF(기초자료입력!B52="","",IF(OR(기초자료입력!C52="",기초자료입력!D52="",기초자료입력!E52="",기초자료입력!F52=""),"",기초자료입력!C52+기초자료입력!D52+기초자료입력!E52+기초자료입력!F52))</f>
        <v/>
      </c>
      <c r="D27" s="29" t="str">
        <f>IF(기초자료입력!B52="","",IF(OR(기초자료입력!H52="",기초자료입력!I52="",기초자료입력!J52="",기초자료입력!K52="",기초자료입력!L52="",NOT(ISNUMBER(기초자료입력!L52))),"",IFERROR(CHOOSE(MATCH(기초자료입력!H52,{"탁월","우수","보통","미흡","불량"},0),15,12,9,6,3)+CHOOSE(MATCH(기초자료입력!I52,{"탁월","우수","보통","미흡","불량"},0),10,8,6,4,2)+CHOOSE(MATCH(기초자료입력!J52,{"탁월","우수","보통","미흡","불량"},0),15,12,9,6,3)+CHOOSE(MATCH(기초자료입력!K52,{"탁월","우수","보통","미흡","불량"},0),10,8,6,4,2)+기초자료입력!L52,"")))</f>
        <v/>
      </c>
      <c r="E27" s="29" t="str">
        <f t="shared" si="0"/>
        <v/>
      </c>
      <c r="F27" s="29" t="str">
        <f t="shared" si="1"/>
        <v/>
      </c>
      <c r="G27" s="29" t="str">
        <f t="shared" si="2"/>
        <v/>
      </c>
    </row>
    <row r="28" spans="2:7">
      <c r="B28" s="29" t="str">
        <f>IF(기초자료입력!B53&lt;&gt;"",기초자료입력!B53,"")</f>
        <v/>
      </c>
      <c r="C28" s="29" t="str">
        <f>IF(기초자료입력!B53="","",IF(OR(기초자료입력!C53="",기초자료입력!D53="",기초자료입력!E53="",기초자료입력!F53=""),"",기초자료입력!C53+기초자료입력!D53+기초자료입력!E53+기초자료입력!F53))</f>
        <v/>
      </c>
      <c r="D28" s="29" t="str">
        <f>IF(기초자료입력!B53="","",IF(OR(기초자료입력!H53="",기초자료입력!I53="",기초자료입력!J53="",기초자료입력!K53="",기초자료입력!L53="",NOT(ISNUMBER(기초자료입력!L53))),"",IFERROR(CHOOSE(MATCH(기초자료입력!H53,{"탁월","우수","보통","미흡","불량"},0),15,12,9,6,3)+CHOOSE(MATCH(기초자료입력!I53,{"탁월","우수","보통","미흡","불량"},0),10,8,6,4,2)+CHOOSE(MATCH(기초자료입력!J53,{"탁월","우수","보통","미흡","불량"},0),15,12,9,6,3)+CHOOSE(MATCH(기초자료입력!K53,{"탁월","우수","보통","미흡","불량"},0),10,8,6,4,2)+기초자료입력!L53,"")))</f>
        <v/>
      </c>
      <c r="E28" s="29" t="str">
        <f t="shared" si="0"/>
        <v/>
      </c>
      <c r="F28" s="29" t="str">
        <f t="shared" si="1"/>
        <v/>
      </c>
      <c r="G28" s="29" t="str">
        <f t="shared" si="2"/>
        <v/>
      </c>
    </row>
    <row r="29" spans="2:7">
      <c r="B29" s="86" t="s">
        <v>880</v>
      </c>
      <c r="C29" s="86"/>
      <c r="D29" s="86"/>
      <c r="E29" s="86"/>
      <c r="F29" s="86"/>
      <c r="G29" s="86"/>
    </row>
    <row r="30" spans="2:7">
      <c r="B30" s="104" t="s">
        <v>881</v>
      </c>
      <c r="C30" s="104"/>
      <c r="D30" s="104"/>
      <c r="E30" s="104"/>
      <c r="F30" s="104"/>
      <c r="G30" s="104"/>
    </row>
    <row r="31" spans="2:7">
      <c r="B31" s="104"/>
      <c r="C31" s="104"/>
      <c r="D31" s="104"/>
      <c r="E31" s="104"/>
      <c r="F31" s="104"/>
      <c r="G31" s="104"/>
    </row>
    <row r="32" spans="2:7">
      <c r="B32" s="104"/>
      <c r="C32" s="104"/>
      <c r="D32" s="104"/>
      <c r="E32" s="104"/>
      <c r="F32" s="104"/>
      <c r="G32" s="104"/>
    </row>
    <row r="33" spans="2:7">
      <c r="B33" s="104"/>
      <c r="C33" s="104"/>
      <c r="D33" s="104"/>
      <c r="E33" s="104"/>
      <c r="F33" s="104"/>
      <c r="G33" s="104"/>
    </row>
    <row r="34" spans="2:7">
      <c r="B34" s="104"/>
      <c r="C34" s="104"/>
      <c r="D34" s="104"/>
      <c r="E34" s="104"/>
      <c r="F34" s="104"/>
      <c r="G34" s="104"/>
    </row>
    <row r="35" spans="2:7">
      <c r="B35" s="38"/>
      <c r="C35" s="38"/>
      <c r="D35" s="38"/>
      <c r="E35" s="38"/>
      <c r="F35" s="38"/>
      <c r="G35" s="38"/>
    </row>
    <row r="36" spans="2:7">
      <c r="B36" s="38"/>
      <c r="C36" s="38"/>
      <c r="D36" s="38"/>
      <c r="E36" s="38"/>
      <c r="F36" s="38"/>
      <c r="G36" s="38"/>
    </row>
    <row r="37" spans="2:7" ht="28.05" customHeight="1">
      <c r="B37" s="38"/>
      <c r="C37" s="38"/>
      <c r="D37" s="38"/>
      <c r="E37" s="38"/>
      <c r="F37" s="54" t="str">
        <f>"담당"&amp;CHAR(10)&amp;IF(기초자료입력!$C$10&lt;&gt;"",기초자료입력!$C$10,"")</f>
        <v xml:space="preserve">담당
</v>
      </c>
      <c r="G37" s="54" t="str">
        <f>"교장"&amp;CHAR(10)&amp;IF(기초자료입력!$F$10&lt;&gt;"",기초자료입력!$F$10,"")</f>
        <v xml:space="preserve">교장
</v>
      </c>
    </row>
    <row r="38" spans="2:7">
      <c r="B38" s="53" t="s">
        <v>305</v>
      </c>
      <c r="C38" s="86" t="str">
        <f>IF(기초자료입력!C9&lt;&gt;"",기초자료입력!C9&amp;IF(기초자료입력!C8&lt;&gt;"","("&amp;TEXT(기초자료입력!C8,"yyyy.m.d.")&amp;")",""),"")</f>
        <v/>
      </c>
      <c r="D38" s="86"/>
      <c r="E38" s="86"/>
      <c r="F38" s="53" t="s">
        <v>306</v>
      </c>
      <c r="G38" s="38"/>
    </row>
  </sheetData>
  <mergeCells count="13">
    <mergeCell ref="B13:H14"/>
    <mergeCell ref="B3:H4"/>
    <mergeCell ref="C7:H7"/>
    <mergeCell ref="C8:H8"/>
    <mergeCell ref="C9:H9"/>
    <mergeCell ref="B11:H11"/>
    <mergeCell ref="C38:E38"/>
    <mergeCell ref="B17:B18"/>
    <mergeCell ref="C17:E17"/>
    <mergeCell ref="F17:F18"/>
    <mergeCell ref="G17:G18"/>
    <mergeCell ref="B29:G29"/>
    <mergeCell ref="B30:G34"/>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08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608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F8336-0918-465C-9384-725C32FF4B4B}">
  <sheetPr codeName="Sheet46"/>
  <dimension ref="A1:H21"/>
  <sheetViews>
    <sheetView workbookViewId="0"/>
  </sheetViews>
  <sheetFormatPr defaultRowHeight="17.399999999999999"/>
  <cols>
    <col min="1" max="1" width="3.19921875" customWidth="1"/>
    <col min="2" max="2" width="7.69921875" customWidth="1"/>
    <col min="3" max="4" width="16.69921875" customWidth="1"/>
    <col min="5" max="6" width="15.69921875" customWidth="1"/>
    <col min="7" max="8" width="2.69921875" customWidth="1"/>
  </cols>
  <sheetData>
    <row r="1" spans="1:8">
      <c r="A1" s="20"/>
    </row>
    <row r="3" spans="1:8">
      <c r="B3" s="109" t="str">
        <f>IF(기초자료입력!C5&lt;&gt;"",기초자료입력!C5&amp;"학년도 ","")&amp;"교복선정 평가위원회 참석 등록부"</f>
        <v>교복선정 평가위원회 참석 등록부</v>
      </c>
      <c r="C3" s="110"/>
      <c r="D3" s="110"/>
      <c r="E3" s="110"/>
      <c r="F3" s="110"/>
      <c r="G3" s="110"/>
      <c r="H3" s="110"/>
    </row>
    <row r="4" spans="1:8">
      <c r="B4" s="21"/>
      <c r="C4" s="21"/>
      <c r="D4" s="21"/>
      <c r="E4" s="21"/>
      <c r="F4" s="21"/>
      <c r="G4" s="21"/>
      <c r="H4" s="21"/>
    </row>
    <row r="5" spans="1:8">
      <c r="B5" s="110" t="str">
        <f>IF(기초자료입력!C4&lt;&gt;"",기초자료입력!C4,"")&amp;IF(기초자료입력!C22&lt;&gt;""," · "&amp;기초자료입력!C22,"")</f>
        <v/>
      </c>
      <c r="C5" s="110"/>
      <c r="D5" s="110"/>
      <c r="E5" s="110"/>
      <c r="F5" s="110"/>
      <c r="G5" s="110"/>
      <c r="H5" s="110"/>
    </row>
    <row r="6" spans="1:8">
      <c r="B6" s="21"/>
      <c r="C6" s="21"/>
      <c r="D6" s="21"/>
      <c r="E6" s="21"/>
      <c r="F6" s="21"/>
      <c r="G6" s="21"/>
      <c r="H6" s="21"/>
    </row>
    <row r="7" spans="1:8">
      <c r="B7" s="21" t="s">
        <v>882</v>
      </c>
      <c r="C7" s="100"/>
      <c r="D7" s="100"/>
      <c r="E7" s="100"/>
      <c r="F7" s="100"/>
      <c r="G7" s="100"/>
      <c r="H7" s="100"/>
    </row>
    <row r="8" spans="1:8">
      <c r="B8" s="21" t="s">
        <v>883</v>
      </c>
      <c r="C8" s="100" t="s">
        <v>884</v>
      </c>
      <c r="D8" s="100"/>
      <c r="E8" s="100"/>
      <c r="F8" s="100"/>
      <c r="G8" s="100"/>
      <c r="H8" s="100"/>
    </row>
    <row r="9" spans="1:8">
      <c r="B9" s="21"/>
      <c r="C9" s="21"/>
      <c r="D9" s="21"/>
      <c r="E9" s="21"/>
      <c r="F9" s="21"/>
      <c r="G9" s="21"/>
      <c r="H9" s="21"/>
    </row>
    <row r="10" spans="1:8">
      <c r="B10" s="99" t="s">
        <v>885</v>
      </c>
      <c r="C10" s="100"/>
      <c r="D10" s="100"/>
      <c r="E10" s="100"/>
      <c r="F10" s="100"/>
      <c r="G10" s="100"/>
      <c r="H10" s="100"/>
    </row>
    <row r="11" spans="1:8">
      <c r="B11" s="24" t="s">
        <v>510</v>
      </c>
      <c r="C11" s="24" t="s">
        <v>605</v>
      </c>
      <c r="D11" s="24" t="s">
        <v>512</v>
      </c>
      <c r="E11" s="24" t="s">
        <v>886</v>
      </c>
      <c r="F11" s="24" t="s">
        <v>316</v>
      </c>
      <c r="G11" s="21"/>
      <c r="H11" s="21"/>
    </row>
    <row r="12" spans="1:8">
      <c r="B12" s="51">
        <v>1</v>
      </c>
      <c r="C12" s="51" t="str">
        <f>IF(기초자료입력!B58&lt;&gt;"",기초자료입력!B58,"")</f>
        <v/>
      </c>
      <c r="D12" s="51"/>
      <c r="E12" s="51"/>
      <c r="F12" s="51"/>
      <c r="G12" s="21"/>
      <c r="H12" s="21"/>
    </row>
    <row r="13" spans="1:8">
      <c r="B13" s="51">
        <v>2</v>
      </c>
      <c r="C13" s="51" t="str">
        <f>IF(기초자료입력!B59&lt;&gt;"",기초자료입력!B59,"")</f>
        <v/>
      </c>
      <c r="D13" s="51"/>
      <c r="E13" s="51"/>
      <c r="F13" s="51"/>
      <c r="G13" s="21"/>
      <c r="H13" s="21"/>
    </row>
    <row r="14" spans="1:8">
      <c r="B14" s="51">
        <v>3</v>
      </c>
      <c r="C14" s="51" t="str">
        <f>IF(기초자료입력!B60&lt;&gt;"",기초자료입력!B60,"")</f>
        <v/>
      </c>
      <c r="D14" s="51"/>
      <c r="E14" s="51"/>
      <c r="F14" s="51"/>
      <c r="G14" s="21"/>
      <c r="H14" s="21"/>
    </row>
    <row r="15" spans="1:8">
      <c r="B15" s="51">
        <v>4</v>
      </c>
      <c r="C15" s="51" t="str">
        <f>IF(기초자료입력!B61&lt;&gt;"",기초자료입력!B61,"")</f>
        <v/>
      </c>
      <c r="D15" s="51"/>
      <c r="E15" s="51"/>
      <c r="F15" s="51"/>
      <c r="G15" s="21"/>
      <c r="H15" s="21"/>
    </row>
    <row r="16" spans="1:8">
      <c r="B16" s="51">
        <v>5</v>
      </c>
      <c r="C16" s="51" t="str">
        <f>IF(기초자료입력!B62&lt;&gt;"",기초자료입력!B62,"")</f>
        <v/>
      </c>
      <c r="D16" s="51"/>
      <c r="E16" s="51"/>
      <c r="F16" s="51"/>
      <c r="G16" s="21"/>
      <c r="H16" s="21"/>
    </row>
    <row r="17" spans="2:8">
      <c r="B17" s="51">
        <v>6</v>
      </c>
      <c r="C17" s="51" t="str">
        <f>IF(기초자료입력!B63&lt;&gt;"",기초자료입력!B63,"")</f>
        <v/>
      </c>
      <c r="D17" s="51"/>
      <c r="E17" s="51"/>
      <c r="F17" s="51"/>
      <c r="G17" s="21"/>
      <c r="H17" s="21"/>
    </row>
    <row r="18" spans="2:8">
      <c r="B18" s="51">
        <v>7</v>
      </c>
      <c r="C18" s="51" t="str">
        <f>IF(기초자료입력!B64&lt;&gt;"",기초자료입력!B64,"")</f>
        <v/>
      </c>
      <c r="D18" s="51"/>
      <c r="E18" s="51"/>
      <c r="F18" s="51"/>
      <c r="G18" s="21"/>
      <c r="H18" s="21"/>
    </row>
    <row r="19" spans="2:8">
      <c r="B19" s="51">
        <v>8</v>
      </c>
      <c r="C19" s="51" t="str">
        <f>IF(기초자료입력!B65&lt;&gt;"",기초자료입력!B65,"")</f>
        <v/>
      </c>
      <c r="D19" s="51"/>
      <c r="E19" s="51"/>
      <c r="F19" s="51"/>
      <c r="G19" s="21"/>
      <c r="H19" s="21"/>
    </row>
    <row r="20" spans="2:8">
      <c r="B20" s="51">
        <v>9</v>
      </c>
      <c r="C20" s="51" t="str">
        <f>IF(기초자료입력!B66&lt;&gt;"",기초자료입력!B66,"")</f>
        <v/>
      </c>
      <c r="D20" s="51"/>
      <c r="E20" s="51"/>
      <c r="F20" s="51"/>
      <c r="G20" s="21"/>
      <c r="H20" s="21"/>
    </row>
    <row r="21" spans="2:8">
      <c r="B21" s="51">
        <v>10</v>
      </c>
      <c r="C21" s="51" t="str">
        <f>IF(기초자료입력!B67&lt;&gt;"",기초자료입력!B67,"")</f>
        <v/>
      </c>
      <c r="D21" s="51"/>
      <c r="E21" s="51"/>
      <c r="F21" s="51"/>
      <c r="G21" s="21"/>
      <c r="H21" s="21"/>
    </row>
  </sheetData>
  <mergeCells count="5">
    <mergeCell ref="B3:H3"/>
    <mergeCell ref="B5:H5"/>
    <mergeCell ref="C7:H7"/>
    <mergeCell ref="C8:H8"/>
    <mergeCell ref="B10:H10"/>
  </mergeCells>
  <phoneticPr fontId="6" type="noConversion"/>
  <printOptions horizontalCentered="1"/>
  <pageMargins left="0.50000076388888881" right="0.50000076388888881" top="0.50000076388888881" bottom="0.50000076388888881"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710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FABF31-DC37-457B-AFC0-78C8C04ECEF4}">
  <sheetPr codeName="Sheet47"/>
  <dimension ref="A1:I23"/>
  <sheetViews>
    <sheetView workbookViewId="0"/>
  </sheetViews>
  <sheetFormatPr defaultRowHeight="17.399999999999999"/>
  <cols>
    <col min="1" max="1" width="3.19921875" customWidth="1"/>
    <col min="2" max="9" width="8.69921875" customWidth="1"/>
  </cols>
  <sheetData>
    <row r="1" spans="1:9">
      <c r="A1" s="20"/>
    </row>
    <row r="3" spans="1:9">
      <c r="B3" s="118" t="s">
        <v>887</v>
      </c>
      <c r="C3" s="116"/>
      <c r="D3" s="116"/>
      <c r="E3" s="116"/>
      <c r="F3" s="116"/>
      <c r="G3" s="116"/>
      <c r="H3" s="116"/>
      <c r="I3" s="116"/>
    </row>
    <row r="4" spans="1:9">
      <c r="B4" s="38"/>
      <c r="C4" s="38"/>
      <c r="D4" s="38"/>
      <c r="E4" s="38"/>
      <c r="F4" s="38"/>
      <c r="G4" s="38"/>
      <c r="H4" s="38"/>
      <c r="I4" s="38"/>
    </row>
    <row r="5" spans="1:9">
      <c r="B5" s="116" t="str">
        <f>IF(기초자료입력!C4&lt;&gt;"",기초자료입력!C4,"")&amp;IF(기초자료입력!C5&lt;&gt;""," ("&amp;기초자료입력!C5&amp;"학년도)","")&amp;IF(기초자료입력!C22&lt;&gt;""," · "&amp;기초자료입력!C22,"")</f>
        <v/>
      </c>
      <c r="C5" s="116"/>
      <c r="D5" s="116"/>
      <c r="E5" s="116"/>
      <c r="F5" s="116"/>
      <c r="G5" s="116"/>
      <c r="H5" s="116"/>
      <c r="I5" s="116"/>
    </row>
    <row r="6" spans="1:9">
      <c r="B6" s="38"/>
      <c r="C6" s="38"/>
      <c r="D6" s="38"/>
      <c r="E6" s="38"/>
      <c r="F6" s="38"/>
      <c r="G6" s="38"/>
      <c r="H6" s="38"/>
      <c r="I6" s="38"/>
    </row>
    <row r="7" spans="1:9" ht="28.05" customHeight="1">
      <c r="B7" s="149" t="s">
        <v>888</v>
      </c>
      <c r="C7" s="149"/>
      <c r="D7" s="149"/>
      <c r="E7" s="149" t="s">
        <v>889</v>
      </c>
      <c r="F7" s="149"/>
      <c r="G7" s="149"/>
      <c r="H7" s="149" t="s">
        <v>890</v>
      </c>
      <c r="I7" s="149" t="s">
        <v>316</v>
      </c>
    </row>
    <row r="8" spans="1:9" ht="30" customHeight="1">
      <c r="B8" s="70" t="s">
        <v>52</v>
      </c>
      <c r="C8" s="70" t="s">
        <v>377</v>
      </c>
      <c r="D8" s="70" t="s">
        <v>427</v>
      </c>
      <c r="E8" s="70" t="s">
        <v>605</v>
      </c>
      <c r="F8" s="70" t="s">
        <v>860</v>
      </c>
      <c r="G8" s="70" t="s">
        <v>858</v>
      </c>
      <c r="H8" s="149"/>
      <c r="I8" s="149"/>
    </row>
    <row r="9" spans="1:9" ht="25.95" customHeight="1">
      <c r="B9" s="72" t="str">
        <f>IF(기초자료입력!B44&lt;&gt;"",기초자료입력!B44,"")</f>
        <v/>
      </c>
      <c r="C9" s="72" t="str">
        <f>IF(기초자료입력!S44&lt;&gt;"",기초자료입력!S44,"")</f>
        <v/>
      </c>
      <c r="D9" s="72" t="str">
        <f>IF(기초자료입력!X44&lt;&gt;"",기초자료입력!X44,"")</f>
        <v/>
      </c>
      <c r="E9" s="72"/>
      <c r="F9" s="72"/>
      <c r="G9" s="72"/>
      <c r="H9" s="72"/>
      <c r="I9" s="72"/>
    </row>
    <row r="10" spans="1:9" ht="25.95" customHeight="1">
      <c r="B10" s="72" t="str">
        <f>IF(기초자료입력!B45&lt;&gt;"",기초자료입력!B45,"")</f>
        <v/>
      </c>
      <c r="C10" s="72" t="str">
        <f>IF(기초자료입력!S45&lt;&gt;"",기초자료입력!S45,"")</f>
        <v/>
      </c>
      <c r="D10" s="72" t="str">
        <f>IF(기초자료입력!X45&lt;&gt;"",기초자료입력!X45,"")</f>
        <v/>
      </c>
      <c r="E10" s="72"/>
      <c r="F10" s="72"/>
      <c r="G10" s="72"/>
      <c r="H10" s="72"/>
      <c r="I10" s="72"/>
    </row>
    <row r="11" spans="1:9" ht="25.95" customHeight="1">
      <c r="B11" s="72" t="str">
        <f>IF(기초자료입력!B46&lt;&gt;"",기초자료입력!B46,"")</f>
        <v/>
      </c>
      <c r="C11" s="72" t="str">
        <f>IF(기초자료입력!S46&lt;&gt;"",기초자료입력!S46,"")</f>
        <v/>
      </c>
      <c r="D11" s="72" t="str">
        <f>IF(기초자료입력!X46&lt;&gt;"",기초자료입력!X46,"")</f>
        <v/>
      </c>
      <c r="E11" s="72"/>
      <c r="F11" s="72"/>
      <c r="G11" s="72"/>
      <c r="H11" s="72"/>
      <c r="I11" s="72"/>
    </row>
    <row r="12" spans="1:9" ht="25.95" customHeight="1">
      <c r="B12" s="72" t="str">
        <f>IF(기초자료입력!B47&lt;&gt;"",기초자료입력!B47,"")</f>
        <v/>
      </c>
      <c r="C12" s="72" t="str">
        <f>IF(기초자료입력!S47&lt;&gt;"",기초자료입력!S47,"")</f>
        <v/>
      </c>
      <c r="D12" s="72" t="str">
        <f>IF(기초자료입력!X47&lt;&gt;"",기초자료입력!X47,"")</f>
        <v/>
      </c>
      <c r="E12" s="72"/>
      <c r="F12" s="72"/>
      <c r="G12" s="72"/>
      <c r="H12" s="72"/>
      <c r="I12" s="72"/>
    </row>
    <row r="13" spans="1:9" ht="25.95" customHeight="1">
      <c r="B13" s="72" t="str">
        <f>IF(기초자료입력!B48&lt;&gt;"",기초자료입력!B48,"")</f>
        <v/>
      </c>
      <c r="C13" s="72" t="str">
        <f>IF(기초자료입력!S48&lt;&gt;"",기초자료입력!S48,"")</f>
        <v/>
      </c>
      <c r="D13" s="72" t="str">
        <f>IF(기초자료입력!X48&lt;&gt;"",기초자료입력!X48,"")</f>
        <v/>
      </c>
      <c r="E13" s="72"/>
      <c r="F13" s="72"/>
      <c r="G13" s="72"/>
      <c r="H13" s="72"/>
      <c r="I13" s="72"/>
    </row>
    <row r="14" spans="1:9" ht="25.95" customHeight="1">
      <c r="B14" s="72" t="str">
        <f>IF(기초자료입력!B49&lt;&gt;"",기초자료입력!B49,"")</f>
        <v/>
      </c>
      <c r="C14" s="72" t="str">
        <f>IF(기초자료입력!S49&lt;&gt;"",기초자료입력!S49,"")</f>
        <v/>
      </c>
      <c r="D14" s="72" t="str">
        <f>IF(기초자료입력!X49&lt;&gt;"",기초자료입력!X49,"")</f>
        <v/>
      </c>
      <c r="E14" s="72"/>
      <c r="F14" s="72"/>
      <c r="G14" s="72"/>
      <c r="H14" s="72"/>
      <c r="I14" s="72"/>
    </row>
    <row r="15" spans="1:9" ht="25.95" customHeight="1">
      <c r="B15" s="72" t="str">
        <f>IF(기초자료입력!B50&lt;&gt;"",기초자료입력!B50,"")</f>
        <v/>
      </c>
      <c r="C15" s="72" t="str">
        <f>IF(기초자료입력!S50&lt;&gt;"",기초자료입력!S50,"")</f>
        <v/>
      </c>
      <c r="D15" s="72" t="str">
        <f>IF(기초자료입력!X50&lt;&gt;"",기초자료입력!X50,"")</f>
        <v/>
      </c>
      <c r="E15" s="72"/>
      <c r="F15" s="72"/>
      <c r="G15" s="72"/>
      <c r="H15" s="72"/>
      <c r="I15" s="72"/>
    </row>
    <row r="16" spans="1:9" ht="25.95" customHeight="1">
      <c r="B16" s="72" t="str">
        <f>IF(기초자료입력!B51&lt;&gt;"",기초자료입력!B51,"")</f>
        <v/>
      </c>
      <c r="C16" s="72" t="str">
        <f>IF(기초자료입력!S51&lt;&gt;"",기초자료입력!S51,"")</f>
        <v/>
      </c>
      <c r="D16" s="72" t="str">
        <f>IF(기초자료입력!X51&lt;&gt;"",기초자료입력!X51,"")</f>
        <v/>
      </c>
      <c r="E16" s="72"/>
      <c r="F16" s="72"/>
      <c r="G16" s="72"/>
      <c r="H16" s="72"/>
      <c r="I16" s="72"/>
    </row>
    <row r="17" spans="2:9" ht="25.95" customHeight="1">
      <c r="B17" s="72" t="str">
        <f>IF(기초자료입력!B52&lt;&gt;"",기초자료입력!B52,"")</f>
        <v/>
      </c>
      <c r="C17" s="72" t="str">
        <f>IF(기초자료입력!S52&lt;&gt;"",기초자료입력!S52,"")</f>
        <v/>
      </c>
      <c r="D17" s="72" t="str">
        <f>IF(기초자료입력!X52&lt;&gt;"",기초자료입력!X52,"")</f>
        <v/>
      </c>
      <c r="E17" s="72"/>
      <c r="F17" s="72"/>
      <c r="G17" s="72"/>
      <c r="H17" s="72"/>
      <c r="I17" s="72"/>
    </row>
    <row r="18" spans="2:9" ht="25.95" customHeight="1">
      <c r="B18" s="72" t="str">
        <f>IF(기초자료입력!B53&lt;&gt;"",기초자료입력!B53,"")</f>
        <v/>
      </c>
      <c r="C18" s="72" t="str">
        <f>IF(기초자료입력!S53&lt;&gt;"",기초자료입력!S53,"")</f>
        <v/>
      </c>
      <c r="D18" s="72" t="str">
        <f>IF(기초자료입력!X53&lt;&gt;"",기초자료입력!X53,"")</f>
        <v/>
      </c>
      <c r="E18" s="72"/>
      <c r="F18" s="72"/>
      <c r="G18" s="72"/>
      <c r="H18" s="72"/>
      <c r="I18" s="72"/>
    </row>
    <row r="19" spans="2:9">
      <c r="B19" s="38"/>
      <c r="C19" s="38"/>
      <c r="D19" s="38"/>
      <c r="E19" s="38"/>
      <c r="F19" s="38"/>
      <c r="G19" s="38"/>
      <c r="H19" s="38"/>
      <c r="I19" s="38"/>
    </row>
    <row r="20" spans="2:9">
      <c r="B20" s="88" t="s">
        <v>891</v>
      </c>
      <c r="C20" s="86"/>
      <c r="D20" s="86"/>
      <c r="E20" s="86"/>
      <c r="F20" s="86"/>
      <c r="G20" s="86"/>
      <c r="H20" s="86"/>
      <c r="I20" s="86"/>
    </row>
    <row r="21" spans="2:9">
      <c r="B21" s="86" t="s">
        <v>892</v>
      </c>
      <c r="C21" s="86"/>
      <c r="D21" s="86"/>
      <c r="E21" s="86"/>
      <c r="F21" s="86"/>
      <c r="G21" s="86"/>
      <c r="H21" s="86"/>
      <c r="I21" s="86"/>
    </row>
    <row r="22" spans="2:9">
      <c r="B22" s="86" t="s">
        <v>893</v>
      </c>
      <c r="C22" s="86"/>
      <c r="D22" s="86"/>
      <c r="E22" s="86"/>
      <c r="F22" s="86"/>
      <c r="G22" s="86"/>
      <c r="H22" s="86"/>
      <c r="I22" s="86"/>
    </row>
    <row r="23" spans="2:9">
      <c r="B23" s="86" t="s">
        <v>894</v>
      </c>
      <c r="C23" s="86"/>
      <c r="D23" s="86"/>
      <c r="E23" s="86"/>
      <c r="F23" s="86"/>
      <c r="G23" s="86"/>
      <c r="H23" s="86"/>
      <c r="I23" s="86"/>
    </row>
  </sheetData>
  <mergeCells count="10">
    <mergeCell ref="B20:I20"/>
    <mergeCell ref="B21:I21"/>
    <mergeCell ref="B22:I22"/>
    <mergeCell ref="B23:I23"/>
    <mergeCell ref="B3:I3"/>
    <mergeCell ref="B5:I5"/>
    <mergeCell ref="B7:D7"/>
    <mergeCell ref="E7:G7"/>
    <mergeCell ref="H7:H8"/>
    <mergeCell ref="I7:I8"/>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813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2A8492-1F67-46DC-84F3-6385E437A8D0}">
  <sheetPr codeName="Sheet48"/>
  <dimension ref="A1:K19"/>
  <sheetViews>
    <sheetView workbookViewId="0"/>
  </sheetViews>
  <sheetFormatPr defaultRowHeight="17.399999999999999"/>
  <cols>
    <col min="1" max="1" width="3.19921875" customWidth="1"/>
    <col min="2" max="2" width="6.69921875" customWidth="1"/>
    <col min="3" max="3" width="14.69921875" customWidth="1"/>
    <col min="4" max="4" width="12.69921875" customWidth="1"/>
    <col min="5" max="9" width="9.69921875" customWidth="1"/>
    <col min="10" max="10" width="14.69921875" customWidth="1"/>
  </cols>
  <sheetData>
    <row r="1" spans="1:11">
      <c r="A1" s="20"/>
    </row>
    <row r="2" spans="1:11">
      <c r="K2" s="36" t="s">
        <v>335</v>
      </c>
    </row>
    <row r="3" spans="1:11">
      <c r="B3" s="118" t="str">
        <f>"[13-3] "&amp;IF(기초자료입력!C5&lt;&gt;"",기초자료입력!C5,"20○○")&amp;"학년도 교복(동복·하복) 구매 업체별 제안서 평가표"</f>
        <v>[13-3] 20○○학년도 교복(동복·하복) 구매 업체별 제안서 평가표</v>
      </c>
      <c r="C3" s="116"/>
      <c r="D3" s="116"/>
      <c r="E3" s="116"/>
      <c r="F3" s="116"/>
      <c r="G3" s="116"/>
      <c r="H3" s="116"/>
      <c r="I3" s="38">
        <v>1</v>
      </c>
      <c r="J3" s="38"/>
    </row>
    <row r="4" spans="1:11">
      <c r="B4" s="116"/>
      <c r="C4" s="116"/>
      <c r="D4" s="116"/>
      <c r="E4" s="116"/>
      <c r="F4" s="116"/>
      <c r="G4" s="116"/>
      <c r="H4" s="116"/>
      <c r="I4" s="38"/>
      <c r="J4" s="38"/>
    </row>
    <row r="5" spans="1:11">
      <c r="B5" s="38" t="s">
        <v>86</v>
      </c>
      <c r="C5" s="38" t="str">
        <f>IF(기초자료입력!C4&lt;&gt;"",기초자료입력!C4,"")</f>
        <v/>
      </c>
      <c r="D5" s="38" t="s">
        <v>87</v>
      </c>
      <c r="E5" s="38" t="str">
        <f>IF(기초자료입력!C5&lt;&gt;"",기초자료입력!C5,"")</f>
        <v/>
      </c>
      <c r="F5" s="38" t="s">
        <v>338</v>
      </c>
      <c r="G5" s="86">
        <f>IFERROR(INDEX(기초자료입력!$B$44:$B$53,I3),"")</f>
        <v>0</v>
      </c>
      <c r="H5" s="86"/>
      <c r="I5" s="86"/>
      <c r="J5" s="86"/>
    </row>
    <row r="6" spans="1:11">
      <c r="B6" s="38"/>
      <c r="C6" s="38"/>
      <c r="D6" s="38"/>
      <c r="E6" s="38"/>
      <c r="F6" s="38"/>
      <c r="G6" s="38"/>
      <c r="H6" s="38"/>
      <c r="I6" s="38"/>
      <c r="J6" s="38"/>
    </row>
    <row r="7" spans="1:11" ht="28.05" customHeight="1">
      <c r="B7" s="70" t="s">
        <v>859</v>
      </c>
      <c r="C7" s="70" t="s">
        <v>52</v>
      </c>
      <c r="D7" s="70" t="s">
        <v>895</v>
      </c>
      <c r="E7" s="70" t="s">
        <v>896</v>
      </c>
      <c r="F7" s="70" t="s">
        <v>897</v>
      </c>
      <c r="G7" s="70" t="s">
        <v>898</v>
      </c>
      <c r="H7" s="70" t="s">
        <v>899</v>
      </c>
      <c r="I7" s="70" t="s">
        <v>900</v>
      </c>
      <c r="J7" s="63" t="s">
        <v>316</v>
      </c>
    </row>
    <row r="8" spans="1:11" ht="18" customHeight="1">
      <c r="B8" s="113">
        <f>I3</f>
        <v>1</v>
      </c>
      <c r="C8" s="113">
        <f>IFERROR(INDEX(기초자료입력!$B$44:$B$53,I3),"")</f>
        <v>0</v>
      </c>
      <c r="D8" s="29"/>
      <c r="E8" s="69"/>
      <c r="F8" s="69"/>
      <c r="G8" s="69"/>
      <c r="H8" s="69"/>
      <c r="I8" s="29" t="str">
        <f t="shared" ref="I8:I15" si="0">IF(COUNT(E8:H8)=4,SUM(E8:H8),"")</f>
        <v/>
      </c>
      <c r="J8" s="127" t="s">
        <v>901</v>
      </c>
    </row>
    <row r="9" spans="1:11" ht="18" customHeight="1">
      <c r="B9" s="113"/>
      <c r="C9" s="113"/>
      <c r="D9" s="29"/>
      <c r="E9" s="69"/>
      <c r="F9" s="69"/>
      <c r="G9" s="69"/>
      <c r="H9" s="69"/>
      <c r="I9" s="29" t="str">
        <f t="shared" si="0"/>
        <v/>
      </c>
      <c r="J9" s="127"/>
    </row>
    <row r="10" spans="1:11" ht="18" customHeight="1">
      <c r="B10" s="113"/>
      <c r="C10" s="113"/>
      <c r="D10" s="29"/>
      <c r="E10" s="69"/>
      <c r="F10" s="69"/>
      <c r="G10" s="69"/>
      <c r="H10" s="69"/>
      <c r="I10" s="29" t="str">
        <f t="shared" si="0"/>
        <v/>
      </c>
      <c r="J10" s="127"/>
    </row>
    <row r="11" spans="1:11" ht="18" customHeight="1">
      <c r="B11" s="113"/>
      <c r="C11" s="113"/>
      <c r="D11" s="29"/>
      <c r="E11" s="69"/>
      <c r="F11" s="69"/>
      <c r="G11" s="69"/>
      <c r="H11" s="69"/>
      <c r="I11" s="29" t="str">
        <f t="shared" si="0"/>
        <v/>
      </c>
      <c r="J11" s="127"/>
    </row>
    <row r="12" spans="1:11" ht="18" customHeight="1">
      <c r="B12" s="113"/>
      <c r="C12" s="113"/>
      <c r="D12" s="29"/>
      <c r="E12" s="69"/>
      <c r="F12" s="69"/>
      <c r="G12" s="69"/>
      <c r="H12" s="69"/>
      <c r="I12" s="29" t="str">
        <f t="shared" si="0"/>
        <v/>
      </c>
      <c r="J12" s="127"/>
    </row>
    <row r="13" spans="1:11" ht="18" customHeight="1">
      <c r="B13" s="113"/>
      <c r="C13" s="113"/>
      <c r="D13" s="29"/>
      <c r="E13" s="69"/>
      <c r="F13" s="69"/>
      <c r="G13" s="69"/>
      <c r="H13" s="69"/>
      <c r="I13" s="29" t="str">
        <f t="shared" si="0"/>
        <v/>
      </c>
      <c r="J13" s="127"/>
    </row>
    <row r="14" spans="1:11" ht="18" customHeight="1">
      <c r="B14" s="113"/>
      <c r="C14" s="113"/>
      <c r="D14" s="29"/>
      <c r="E14" s="69"/>
      <c r="F14" s="69"/>
      <c r="G14" s="69"/>
      <c r="H14" s="69"/>
      <c r="I14" s="29" t="str">
        <f t="shared" si="0"/>
        <v/>
      </c>
      <c r="J14" s="127"/>
    </row>
    <row r="15" spans="1:11" ht="18" customHeight="1">
      <c r="B15" s="113"/>
      <c r="C15" s="113"/>
      <c r="D15" s="29"/>
      <c r="E15" s="69"/>
      <c r="F15" s="69"/>
      <c r="G15" s="69"/>
      <c r="H15" s="69"/>
      <c r="I15" s="29" t="str">
        <f t="shared" si="0"/>
        <v/>
      </c>
      <c r="J15" s="127"/>
    </row>
    <row r="16" spans="1:11">
      <c r="B16" s="90" t="s">
        <v>902</v>
      </c>
      <c r="C16" s="90"/>
      <c r="D16" s="90"/>
      <c r="E16" s="29" t="str">
        <f>IF(COUNT(E8:E15)=8,SUM(E8:E15)-MAX(E8:E15)-MIN(E8:E15),"")</f>
        <v/>
      </c>
      <c r="F16" s="29" t="str">
        <f>IF(COUNT(F8:F15)=8,SUM(F8:F15)-MAX(F8:F15)-MIN(F8:F15),"")</f>
        <v/>
      </c>
      <c r="G16" s="29" t="str">
        <f>IF(COUNT(G8:G15)=8,SUM(G8:G15)-MAX(G8:G15)-MIN(G8:G15),"")</f>
        <v/>
      </c>
      <c r="H16" s="29" t="str">
        <f>IF(COUNT(H8:H15)=8,SUM(H8:H15)-MAX(H8:H15)-MIN(H8:H15),"")</f>
        <v/>
      </c>
      <c r="I16" s="29" t="str">
        <f>IF(COUNT(I8:I15)=8,SUM(I8:I15)-MAX(I8:I15)-MIN(I8:I15),"")</f>
        <v/>
      </c>
      <c r="J16" s="29"/>
    </row>
    <row r="17" spans="2:10">
      <c r="B17" s="90" t="s">
        <v>903</v>
      </c>
      <c r="C17" s="90"/>
      <c r="D17" s="90"/>
      <c r="E17" s="73" t="str">
        <f>IF(E16="","",E16/6)</f>
        <v/>
      </c>
      <c r="F17" s="73" t="str">
        <f>IF(F16="","",F16/6)</f>
        <v/>
      </c>
      <c r="G17" s="73" t="str">
        <f>IF(G16="","",G16/6)</f>
        <v/>
      </c>
      <c r="H17" s="73" t="str">
        <f>IF(H16="","",H16/6)</f>
        <v/>
      </c>
      <c r="I17" s="73" t="str">
        <f>IF(I16="","",I16/6)</f>
        <v/>
      </c>
      <c r="J17" s="29"/>
    </row>
    <row r="18" spans="2:10">
      <c r="B18" s="38"/>
      <c r="C18" s="38"/>
      <c r="D18" s="38"/>
      <c r="E18" s="38"/>
      <c r="F18" s="38"/>
      <c r="G18" s="38"/>
      <c r="H18" s="38"/>
      <c r="I18" s="38"/>
      <c r="J18" s="38"/>
    </row>
    <row r="19" spans="2:10">
      <c r="B19" s="86" t="s">
        <v>904</v>
      </c>
      <c r="C19" s="86"/>
      <c r="D19" s="86"/>
      <c r="E19" s="86"/>
      <c r="F19" s="86"/>
      <c r="G19" s="86"/>
      <c r="H19" s="86"/>
      <c r="I19" s="86"/>
      <c r="J19" s="86"/>
    </row>
  </sheetData>
  <mergeCells count="8">
    <mergeCell ref="B17:D17"/>
    <mergeCell ref="B19:J19"/>
    <mergeCell ref="B3:H4"/>
    <mergeCell ref="G5:J5"/>
    <mergeCell ref="B8:B15"/>
    <mergeCell ref="C8:C15"/>
    <mergeCell ref="J8:J15"/>
    <mergeCell ref="B16:D16"/>
  </mergeCells>
  <phoneticPr fontId="6" type="noConversion"/>
  <printOptions horizontalCentered="1"/>
  <pageMargins left="0.50000076388888881" right="0.50000076388888881" top="0.50000076388888881" bottom="0.50000076388888881" header="0.19685069444444445" footer="0.19685069444444445"/>
  <pageSetup paperSize="9" fitToWidth="0"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915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4915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028199-09B4-4446-97B0-362C8BC140D1}">
  <sheetPr codeName="Sheet49"/>
  <dimension ref="A1:H25"/>
  <sheetViews>
    <sheetView workbookViewId="0"/>
  </sheetViews>
  <sheetFormatPr defaultRowHeight="17.399999999999999"/>
  <cols>
    <col min="1" max="1" width="3.19921875" customWidth="1"/>
    <col min="2" max="2" width="13.69921875" customWidth="1"/>
    <col min="3" max="8" width="9.69921875" customWidth="1"/>
  </cols>
  <sheetData>
    <row r="1" spans="1:8">
      <c r="A1" s="20"/>
    </row>
    <row r="3" spans="1:8">
      <c r="B3" s="109" t="s">
        <v>905</v>
      </c>
      <c r="C3" s="110"/>
      <c r="D3" s="110"/>
      <c r="E3" s="110"/>
      <c r="F3" s="110"/>
      <c r="G3" s="110"/>
      <c r="H3" s="110"/>
    </row>
    <row r="4" spans="1:8">
      <c r="B4" s="21"/>
      <c r="C4" s="21"/>
      <c r="D4" s="21"/>
      <c r="E4" s="21"/>
      <c r="F4" s="21"/>
      <c r="G4" s="21"/>
      <c r="H4" s="21"/>
    </row>
    <row r="5" spans="1:8">
      <c r="B5" s="110" t="str">
        <f>IF(기초자료입력!C22&lt;&gt;"","평가 안건: "&amp;기초자료입력!C22,"")</f>
        <v/>
      </c>
      <c r="C5" s="110"/>
      <c r="D5" s="110"/>
      <c r="E5" s="110"/>
      <c r="F5" s="110"/>
      <c r="G5" s="110"/>
      <c r="H5" s="110"/>
    </row>
    <row r="6" spans="1:8">
      <c r="B6" s="21"/>
      <c r="C6" s="21"/>
      <c r="D6" s="21"/>
      <c r="E6" s="21"/>
      <c r="F6" s="21"/>
      <c r="G6" s="21"/>
      <c r="H6" s="21"/>
    </row>
    <row r="7" spans="1:8">
      <c r="B7" s="103" t="str">
        <f>"본인은 년 월 일 "&amp;IF(기초자료입력!C4&lt;&gt;"",기초자료입력!C4,"○○학교")&amp;"에서 실시하는 "&amp;IF(기초자료입력!C5&lt;&gt;"",기초자료입력!C5&amp;"학년도 ","")&amp;"교복 학교주관구매업체 선정을 위한 평가함에 있어 「부패 없는 투명한 사회」 구현 등을 위하여 다음 사항을 준수할 것을 서약합니다."</f>
        <v>본인은 년 월 일 ○○학교에서 실시하는 교복 학교주관구매업체 선정을 위한 평가함에 있어 「부패 없는 투명한 사회」 구현 등을 위하여 다음 사항을 준수할 것을 서약합니다.</v>
      </c>
      <c r="C7" s="103"/>
      <c r="D7" s="103"/>
      <c r="E7" s="103"/>
      <c r="F7" s="103"/>
      <c r="G7" s="103"/>
      <c r="H7" s="103"/>
    </row>
    <row r="8" spans="1:8">
      <c r="B8" s="103"/>
      <c r="C8" s="103"/>
      <c r="D8" s="103"/>
      <c r="E8" s="103"/>
      <c r="F8" s="103"/>
      <c r="G8" s="103"/>
      <c r="H8" s="103"/>
    </row>
    <row r="9" spans="1:8">
      <c r="B9" s="21"/>
      <c r="C9" s="21"/>
      <c r="D9" s="21"/>
      <c r="E9" s="21"/>
      <c r="F9" s="21"/>
      <c r="G9" s="21"/>
      <c r="H9" s="21"/>
    </row>
    <row r="10" spans="1:8" ht="34.049999999999997" customHeight="1">
      <c r="B10" s="103" t="str">
        <f>"1. "&amp;IF(기초자료입력!C5&lt;&gt;"",기초자료입력!C5,"20○○")&amp;"학년도 "&amp;IF(기초자료입력!C4&lt;&gt;"",기초자료입력!C4,"○○학교")&amp;" 교복 학교주관구매업체 선정을 위해 제시된 항목에 따라 객관적이고 공정하게 심사할 것을 약속합니다."</f>
        <v>1. 20○○학년도 ○○학교 교복 학교주관구매업체 선정을 위해 제시된 항목에 따라 객관적이고 공정하게 심사할 것을 약속합니다.</v>
      </c>
      <c r="C10" s="103"/>
      <c r="D10" s="103"/>
      <c r="E10" s="103"/>
      <c r="F10" s="103"/>
      <c r="G10" s="103"/>
      <c r="H10" s="103"/>
    </row>
    <row r="11" spans="1:8">
      <c r="B11" s="103"/>
      <c r="C11" s="103"/>
      <c r="D11" s="103"/>
      <c r="E11" s="103"/>
      <c r="F11" s="103"/>
      <c r="G11" s="103"/>
      <c r="H11" s="103"/>
    </row>
    <row r="12" spans="1:8" ht="60" customHeight="1">
      <c r="B12" s="103" t="s">
        <v>906</v>
      </c>
      <c r="C12" s="103"/>
      <c r="D12" s="103"/>
      <c r="E12" s="103"/>
      <c r="F12" s="103"/>
      <c r="G12" s="103"/>
      <c r="H12" s="103"/>
    </row>
    <row r="13" spans="1:8">
      <c r="B13" s="103"/>
      <c r="C13" s="103"/>
      <c r="D13" s="103"/>
      <c r="E13" s="103"/>
      <c r="F13" s="103"/>
      <c r="G13" s="103"/>
      <c r="H13" s="103"/>
    </row>
    <row r="14" spans="1:8" ht="34.049999999999997" customHeight="1">
      <c r="B14" s="103" t="s">
        <v>907</v>
      </c>
      <c r="C14" s="103"/>
      <c r="D14" s="103"/>
      <c r="E14" s="103"/>
      <c r="F14" s="103"/>
      <c r="G14" s="103"/>
      <c r="H14" s="103"/>
    </row>
    <row r="15" spans="1:8">
      <c r="B15" s="103"/>
      <c r="C15" s="103"/>
      <c r="D15" s="103"/>
      <c r="E15" s="103"/>
      <c r="F15" s="103"/>
      <c r="G15" s="103"/>
      <c r="H15" s="103"/>
    </row>
    <row r="16" spans="1:8" ht="49.95" customHeight="1">
      <c r="B16" s="103" t="s">
        <v>908</v>
      </c>
      <c r="C16" s="103"/>
      <c r="D16" s="103"/>
      <c r="E16" s="103"/>
      <c r="F16" s="103"/>
      <c r="G16" s="103"/>
      <c r="H16" s="103"/>
    </row>
    <row r="17" spans="2:8">
      <c r="B17" s="103"/>
      <c r="C17" s="103"/>
      <c r="D17" s="103"/>
      <c r="E17" s="103"/>
      <c r="F17" s="103"/>
      <c r="G17" s="103"/>
      <c r="H17" s="103"/>
    </row>
    <row r="18" spans="2:8">
      <c r="B18" s="21"/>
      <c r="C18" s="21"/>
      <c r="D18" s="21"/>
      <c r="E18" s="21"/>
      <c r="F18" s="21"/>
      <c r="G18" s="21"/>
      <c r="H18" s="21"/>
    </row>
    <row r="19" spans="2:8">
      <c r="B19" s="110" t="s">
        <v>909</v>
      </c>
      <c r="C19" s="110"/>
      <c r="D19" s="110"/>
      <c r="E19" s="110"/>
      <c r="F19" s="110"/>
      <c r="G19" s="110"/>
      <c r="H19" s="110"/>
    </row>
    <row r="20" spans="2:8">
      <c r="B20" s="21"/>
      <c r="C20" s="21"/>
      <c r="D20" s="21"/>
      <c r="E20" s="21"/>
      <c r="F20" s="21"/>
      <c r="G20" s="21"/>
      <c r="H20" s="21"/>
    </row>
    <row r="21" spans="2:8">
      <c r="B21" s="110" t="str">
        <f>IF(기초자료입력!B58&lt;&gt;"","위원 구분: "&amp;기초자료입력!B58,"")</f>
        <v/>
      </c>
      <c r="C21" s="110"/>
      <c r="D21" s="110"/>
      <c r="E21" s="110"/>
      <c r="F21" s="110"/>
      <c r="G21" s="110"/>
      <c r="H21" s="110"/>
    </row>
    <row r="22" spans="2:8">
      <c r="B22" s="21"/>
      <c r="C22" s="21"/>
      <c r="D22" s="21"/>
      <c r="E22" s="21"/>
      <c r="F22" s="21"/>
      <c r="G22" s="21"/>
      <c r="H22" s="21"/>
    </row>
    <row r="23" spans="2:8">
      <c r="B23" s="110" t="s">
        <v>910</v>
      </c>
      <c r="C23" s="110"/>
      <c r="D23" s="110"/>
      <c r="E23" s="110"/>
      <c r="F23" s="110"/>
      <c r="G23" s="110"/>
      <c r="H23" s="110"/>
    </row>
    <row r="24" spans="2:8">
      <c r="B24" s="21"/>
      <c r="C24" s="21"/>
      <c r="D24" s="21"/>
      <c r="E24" s="21"/>
      <c r="F24" s="21"/>
      <c r="G24" s="21"/>
      <c r="H24" s="21"/>
    </row>
    <row r="25" spans="2:8">
      <c r="B25" s="110" t="str">
        <f>IF(기초자료입력!C4&lt;&gt;"",기초자료입력!C4,"○○○학교")&amp;"장 귀하"</f>
        <v>○○○학교장 귀하</v>
      </c>
      <c r="C25" s="110"/>
      <c r="D25" s="110"/>
      <c r="E25" s="110"/>
      <c r="F25" s="110"/>
      <c r="G25" s="110"/>
      <c r="H25" s="110"/>
    </row>
  </sheetData>
  <mergeCells count="11">
    <mergeCell ref="B14:H15"/>
    <mergeCell ref="B3:H3"/>
    <mergeCell ref="B5:H5"/>
    <mergeCell ref="B7:H8"/>
    <mergeCell ref="B10:H11"/>
    <mergeCell ref="B12:H13"/>
    <mergeCell ref="B16:H17"/>
    <mergeCell ref="B19:H19"/>
    <mergeCell ref="B21:H21"/>
    <mergeCell ref="B23:H23"/>
    <mergeCell ref="B25:H25"/>
  </mergeCells>
  <phoneticPr fontId="6" type="noConversion"/>
  <printOptions horizontalCentered="1"/>
  <pageMargins left="0.50000076388888881" right="0.50000076388888881" top="0.50000076388888881" bottom="0.50000076388888881"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17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017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2BDD1-0093-4A74-BBC9-3A4DEDC9FCC9}">
  <sheetPr codeName="Sheet50"/>
  <dimension ref="A1:I29"/>
  <sheetViews>
    <sheetView workbookViewId="0"/>
  </sheetViews>
  <sheetFormatPr defaultRowHeight="17.399999999999999"/>
  <cols>
    <col min="1" max="1" width="3.19921875" customWidth="1"/>
    <col min="2" max="8" width="9.69921875" customWidth="1"/>
  </cols>
  <sheetData>
    <row r="1" spans="1:9">
      <c r="A1" s="20"/>
    </row>
    <row r="2" spans="1:9">
      <c r="I2" s="36" t="s">
        <v>701</v>
      </c>
    </row>
    <row r="3" spans="1:9">
      <c r="B3" s="93" t="s">
        <v>702</v>
      </c>
      <c r="C3" s="94"/>
      <c r="D3" s="94"/>
      <c r="E3" s="94"/>
      <c r="F3" s="94"/>
      <c r="G3" s="94"/>
      <c r="H3" s="94"/>
      <c r="I3">
        <v>1</v>
      </c>
    </row>
    <row r="4" spans="1:9">
      <c r="B4" s="94"/>
      <c r="C4" s="94"/>
      <c r="D4" s="94"/>
      <c r="E4" s="94"/>
      <c r="F4" s="94"/>
      <c r="G4" s="94"/>
      <c r="H4" s="94"/>
    </row>
    <row r="5" spans="1:9">
      <c r="B5" s="55" t="s">
        <v>13</v>
      </c>
      <c r="C5" s="37" t="str">
        <f>IF(기초자료입력!C9&lt;&gt;"",기초자료입력!C9,"")</f>
        <v/>
      </c>
      <c r="D5" s="37"/>
      <c r="E5" s="55" t="s">
        <v>291</v>
      </c>
      <c r="F5" s="37" t="str">
        <f>IF(기초자료입력!C8&lt;&gt;"",TEXT(기초자료입력!C8,"yyyy-mm-dd"),"")</f>
        <v/>
      </c>
      <c r="G5" s="37"/>
      <c r="H5" s="37"/>
    </row>
    <row r="6" spans="1:9">
      <c r="B6" s="37"/>
      <c r="C6" s="37"/>
      <c r="D6" s="37"/>
      <c r="E6" s="37"/>
      <c r="F6" s="37"/>
      <c r="G6" s="37"/>
      <c r="H6" s="37"/>
    </row>
    <row r="7" spans="1:9">
      <c r="B7" s="55" t="s">
        <v>292</v>
      </c>
      <c r="C7" s="87" t="s">
        <v>500</v>
      </c>
      <c r="D7" s="87"/>
      <c r="E7" s="87"/>
      <c r="F7" s="87"/>
      <c r="G7" s="87"/>
      <c r="H7" s="87"/>
    </row>
    <row r="8" spans="1:9">
      <c r="B8" s="55" t="s">
        <v>297</v>
      </c>
      <c r="C8" s="87"/>
      <c r="D8" s="87"/>
      <c r="E8" s="87"/>
      <c r="F8" s="87"/>
      <c r="G8" s="87"/>
      <c r="H8" s="87"/>
    </row>
    <row r="9" spans="1:9">
      <c r="B9" s="55" t="s">
        <v>293</v>
      </c>
      <c r="C9" s="89" t="str">
        <f>IF(기초자료입력!C22&lt;&gt;"",기초자료입력!C22,IF(기초자료입력!C5&lt;&gt;"",기초자료입력!C5,"20○○")&amp;"년도 교복 학교주관구매 낙찰자 결정")</f>
        <v>20○○년도 교복 학교주관구매 낙찰자 결정</v>
      </c>
      <c r="D9" s="87"/>
      <c r="E9" s="87"/>
      <c r="F9" s="87"/>
      <c r="G9" s="87"/>
      <c r="H9" s="87"/>
    </row>
    <row r="10" spans="1:9">
      <c r="B10" s="38"/>
      <c r="C10" s="38"/>
      <c r="D10" s="38"/>
      <c r="E10" s="38"/>
      <c r="F10" s="38"/>
      <c r="G10" s="38"/>
      <c r="H10" s="38"/>
    </row>
    <row r="11" spans="1:9">
      <c r="B11" s="53" t="s">
        <v>298</v>
      </c>
      <c r="C11" s="86" t="str">
        <f>IF(기초자료입력!C23&lt;&gt;"",기초자료입력!C23,"")</f>
        <v/>
      </c>
      <c r="D11" s="86"/>
      <c r="E11" s="86"/>
      <c r="F11" s="86"/>
      <c r="G11" s="86"/>
      <c r="H11" s="86"/>
    </row>
    <row r="12" spans="1:9">
      <c r="B12" s="38"/>
      <c r="C12" s="38"/>
      <c r="D12" s="38"/>
      <c r="E12" s="38"/>
      <c r="F12" s="38"/>
      <c r="G12" s="38"/>
      <c r="H12" s="38"/>
    </row>
    <row r="13" spans="1:9" ht="28.05" customHeight="1">
      <c r="B13" s="104" t="str">
        <f>"2. "&amp;IF(기초자료입력!C5&lt;&gt;"",기초자료입력!C5,"20○○")&amp;"년도 교복 학교주관구매 건에 대해 개찰 결과 예정가격 대비 최저가격으로 투찰하여 1순위가 된 아래 업체를 낙찰자로 결정하고자 합니다."</f>
        <v>2. 20○○년도 교복 학교주관구매 건에 대해 개찰 결과 예정가격 대비 최저가격으로 투찰하여 1순위가 된 아래 업체를 낙찰자로 결정하고자 합니다.</v>
      </c>
      <c r="C13" s="104"/>
      <c r="D13" s="104"/>
      <c r="E13" s="104"/>
      <c r="F13" s="104"/>
      <c r="G13" s="104"/>
      <c r="H13" s="104"/>
    </row>
    <row r="14" spans="1:9">
      <c r="B14" s="38"/>
      <c r="C14" s="38"/>
      <c r="D14" s="38"/>
      <c r="E14" s="38"/>
      <c r="F14" s="38"/>
      <c r="G14" s="38"/>
      <c r="H14" s="38"/>
    </row>
    <row r="15" spans="1:9">
      <c r="B15" s="53" t="s">
        <v>703</v>
      </c>
      <c r="C15" s="86" t="str">
        <f>IF(기초자료입력!C12&lt;&gt;"",IF(기초자료입력!C5&lt;&gt;"",기초자료입력!C5&amp;"학년도 ","")&amp;기초자료입력!C12,"")</f>
        <v/>
      </c>
      <c r="D15" s="86"/>
      <c r="E15" s="86"/>
      <c r="F15" s="86"/>
      <c r="G15" s="86"/>
      <c r="H15" s="86"/>
    </row>
    <row r="16" spans="1:9">
      <c r="B16" s="53" t="s">
        <v>619</v>
      </c>
      <c r="C16" s="86" t="str">
        <f>IF(기초자료입력!C15&lt;&gt;"","금"&amp;TEXT(기초자료입력!C15,"#,##0")&amp;"원","")</f>
        <v/>
      </c>
      <c r="D16" s="86"/>
      <c r="E16" s="86"/>
      <c r="F16" s="86"/>
      <c r="G16" s="86"/>
      <c r="H16" s="86"/>
    </row>
    <row r="17" spans="2:8">
      <c r="B17" s="53" t="s">
        <v>704</v>
      </c>
      <c r="C17" s="150"/>
      <c r="D17" s="86"/>
      <c r="E17" s="86"/>
      <c r="F17" s="86"/>
      <c r="G17" s="86"/>
      <c r="H17" s="86"/>
    </row>
    <row r="18" spans="2:8">
      <c r="B18" s="38"/>
      <c r="C18" s="38"/>
      <c r="D18" s="38"/>
      <c r="E18" s="38"/>
      <c r="F18" s="38"/>
      <c r="G18" s="38"/>
      <c r="H18" s="38"/>
    </row>
    <row r="19" spans="2:8">
      <c r="B19" s="88" t="s">
        <v>705</v>
      </c>
      <c r="C19" s="86"/>
      <c r="D19" s="86"/>
      <c r="E19" s="86"/>
      <c r="F19" s="86"/>
      <c r="G19" s="86"/>
      <c r="H19" s="86"/>
    </row>
    <row r="20" spans="2:8">
      <c r="B20" s="32" t="s">
        <v>706</v>
      </c>
      <c r="C20" s="32" t="s">
        <v>52</v>
      </c>
      <c r="D20" s="32" t="s">
        <v>377</v>
      </c>
      <c r="E20" s="32" t="s">
        <v>707</v>
      </c>
      <c r="F20" s="32" t="s">
        <v>708</v>
      </c>
      <c r="G20" s="32" t="s">
        <v>709</v>
      </c>
      <c r="H20" s="38"/>
    </row>
    <row r="21" spans="2:8">
      <c r="B21" s="37">
        <v>1</v>
      </c>
      <c r="C21" s="37">
        <f>IFERROR(INDEX(기초자료입력!$B$44:$B$53,I3),"")</f>
        <v>0</v>
      </c>
      <c r="D21" s="37" t="str">
        <f>IFERROR(IF(INDEX(기초자료입력!$S$44:$S$53,I3)="","",INDEX(기초자료입력!$S$44:$S$53,I3)),"")</f>
        <v/>
      </c>
      <c r="E21" s="64"/>
      <c r="F21" s="65"/>
      <c r="G21" s="37"/>
      <c r="H21" s="38"/>
    </row>
    <row r="22" spans="2:8">
      <c r="B22" s="38"/>
      <c r="C22" s="38"/>
      <c r="D22" s="38"/>
      <c r="E22" s="38"/>
      <c r="F22" s="38"/>
      <c r="G22" s="38"/>
      <c r="H22" s="38"/>
    </row>
    <row r="23" spans="2:8">
      <c r="B23" s="117" t="s">
        <v>710</v>
      </c>
      <c r="C23" s="104"/>
      <c r="D23" s="104"/>
      <c r="E23" s="104"/>
      <c r="F23" s="104"/>
      <c r="G23" s="104"/>
      <c r="H23" s="104"/>
    </row>
    <row r="24" spans="2:8">
      <c r="B24" s="38"/>
      <c r="C24" s="38"/>
      <c r="D24" s="38"/>
      <c r="E24" s="38"/>
      <c r="F24" s="38"/>
      <c r="G24" s="38"/>
      <c r="H24" s="38"/>
    </row>
    <row r="25" spans="2:8">
      <c r="B25" s="38"/>
      <c r="C25" s="38"/>
      <c r="D25" s="38"/>
      <c r="E25" s="38"/>
      <c r="F25" s="38"/>
      <c r="G25" s="38"/>
      <c r="H25" s="38"/>
    </row>
    <row r="26" spans="2:8" ht="28.05" customHeight="1">
      <c r="B26" s="38"/>
      <c r="C26" s="38"/>
      <c r="D26" s="38"/>
      <c r="E26" s="38"/>
      <c r="F26" s="56" t="str">
        <f>"담당"&amp;CHAR(10)&amp;IF(기초자료입력!$C$10&lt;&gt;"",기초자료입력!$C$10,"")</f>
        <v xml:space="preserve">담당
</v>
      </c>
      <c r="G26" s="56" t="s">
        <v>304</v>
      </c>
      <c r="H26" s="56" t="str">
        <f>"교장"&amp;CHAR(10)&amp;IF(기초자료입력!$F$10&lt;&gt;"",기초자료입력!$F$10,"")</f>
        <v xml:space="preserve">교장
</v>
      </c>
    </row>
    <row r="27" spans="2:8">
      <c r="B27" s="53" t="s">
        <v>305</v>
      </c>
      <c r="C27" s="86" t="str">
        <f>IF(기초자료입력!C9&lt;&gt;"",기초자료입력!C9&amp;IF(기초자료입력!C8&lt;&gt;"","("&amp;TEXT(기초자료입력!C8,"yyyy.m.d.")&amp;")",""),"")</f>
        <v/>
      </c>
      <c r="D27" s="86"/>
      <c r="E27" s="86"/>
      <c r="F27" s="55" t="s">
        <v>306</v>
      </c>
      <c r="G27" s="87"/>
      <c r="H27" s="87"/>
    </row>
    <row r="28" spans="2:8">
      <c r="B28" s="53" t="s">
        <v>307</v>
      </c>
      <c r="C28" s="38"/>
      <c r="D28" s="53" t="s">
        <v>308</v>
      </c>
      <c r="E28" s="86" t="str">
        <f>IFERROR(INDEX(학교정보!$F$2:$F$791,MATCH(기초자료입력!$C$4,학교정보!$E$2:$E$791,0)),"")</f>
        <v/>
      </c>
      <c r="F28" s="87"/>
      <c r="G28" s="87"/>
      <c r="H28" s="87"/>
    </row>
    <row r="29" spans="2:8">
      <c r="B29" s="53" t="s">
        <v>309</v>
      </c>
      <c r="C29" s="38" t="str">
        <f>IFERROR(INDEX(학교정보!$G$2:$G$791,MATCH(기초자료입력!$C$4,학교정보!$E$2:$E$791,0)),"")</f>
        <v/>
      </c>
      <c r="D29" s="53" t="s">
        <v>310</v>
      </c>
      <c r="E29" s="38"/>
      <c r="F29" s="55" t="s">
        <v>311</v>
      </c>
      <c r="G29" s="87"/>
      <c r="H29" s="87"/>
    </row>
  </sheetData>
  <mergeCells count="15">
    <mergeCell ref="B13:H13"/>
    <mergeCell ref="B3:H4"/>
    <mergeCell ref="C7:H7"/>
    <mergeCell ref="C8:H8"/>
    <mergeCell ref="C9:H9"/>
    <mergeCell ref="C11:H11"/>
    <mergeCell ref="E28:H28"/>
    <mergeCell ref="G29:H29"/>
    <mergeCell ref="C15:H15"/>
    <mergeCell ref="C16:H16"/>
    <mergeCell ref="C17:H17"/>
    <mergeCell ref="B19:H19"/>
    <mergeCell ref="B23:H23"/>
    <mergeCell ref="C27:E27"/>
    <mergeCell ref="G27:H27"/>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120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CD1D67-2380-4E92-BDD5-92C8AC41035F}">
  <sheetPr codeName="Sheet51"/>
  <dimension ref="A1:I29"/>
  <sheetViews>
    <sheetView workbookViewId="0"/>
  </sheetViews>
  <sheetFormatPr defaultRowHeight="17.399999999999999"/>
  <cols>
    <col min="1" max="1" width="3.19921875" customWidth="1"/>
    <col min="2" max="2" width="12.69921875" customWidth="1"/>
    <col min="3" max="3" width="7.69921875" customWidth="1"/>
    <col min="4" max="5" width="9.69921875" customWidth="1"/>
    <col min="6" max="6" width="13.69921875" customWidth="1"/>
    <col min="7" max="8" width="9.69921875" customWidth="1"/>
  </cols>
  <sheetData>
    <row r="1" spans="1:9">
      <c r="A1" s="20"/>
    </row>
    <row r="2" spans="1:9">
      <c r="I2" s="36" t="s">
        <v>701</v>
      </c>
    </row>
    <row r="3" spans="1:9">
      <c r="B3" s="93" t="s">
        <v>711</v>
      </c>
      <c r="C3" s="94"/>
      <c r="D3" s="94"/>
      <c r="E3" s="94"/>
      <c r="F3" s="94"/>
      <c r="G3" s="94"/>
      <c r="H3" s="94"/>
      <c r="I3">
        <v>1</v>
      </c>
    </row>
    <row r="4" spans="1:9">
      <c r="B4" s="94"/>
      <c r="C4" s="94"/>
      <c r="D4" s="94"/>
      <c r="E4" s="94"/>
      <c r="F4" s="94"/>
      <c r="G4" s="94"/>
      <c r="H4" s="94"/>
    </row>
    <row r="5" spans="1:9">
      <c r="B5" s="55" t="s">
        <v>13</v>
      </c>
      <c r="C5" s="37" t="str">
        <f>IF(기초자료입력!C9&lt;&gt;"",기초자료입력!C9,"")</f>
        <v/>
      </c>
      <c r="D5" s="37"/>
      <c r="E5" s="55" t="s">
        <v>291</v>
      </c>
      <c r="F5" s="37" t="str">
        <f>IF(기초자료입력!C8&lt;&gt;"",TEXT(기초자료입력!C8,"yyyy-mm-dd"),"")</f>
        <v/>
      </c>
      <c r="G5" s="37"/>
      <c r="H5" s="37"/>
    </row>
    <row r="6" spans="1:9">
      <c r="B6" s="37"/>
      <c r="C6" s="37"/>
      <c r="D6" s="37"/>
      <c r="E6" s="37"/>
      <c r="F6" s="37"/>
      <c r="G6" s="37"/>
      <c r="H6" s="37"/>
    </row>
    <row r="7" spans="1:9">
      <c r="B7" s="55" t="s">
        <v>292</v>
      </c>
      <c r="C7" s="87">
        <f>IFERROR(INDEX(기초자료입력!$B$44:$B$53,I3),"")</f>
        <v>0</v>
      </c>
      <c r="D7" s="87"/>
      <c r="E7" s="87"/>
      <c r="F7" s="87"/>
      <c r="G7" s="87"/>
      <c r="H7" s="87"/>
    </row>
    <row r="8" spans="1:9">
      <c r="B8" s="55" t="s">
        <v>297</v>
      </c>
      <c r="C8" s="87"/>
      <c r="D8" s="87"/>
      <c r="E8" s="87"/>
      <c r="F8" s="87"/>
      <c r="G8" s="87"/>
      <c r="H8" s="87"/>
    </row>
    <row r="9" spans="1:9">
      <c r="B9" s="55" t="s">
        <v>293</v>
      </c>
      <c r="C9" s="89" t="str">
        <f>IF(기초자료입력!C22&lt;&gt;"",기초자료입력!C22,IF(기초자료입력!C5&lt;&gt;"",기초자료입력!C5,"20○○")&amp;"년도 교복 학교주관 구매 낙찰자 결정 통보")</f>
        <v>20○○년도 교복 학교주관 구매 낙찰자 결정 통보</v>
      </c>
      <c r="D9" s="87"/>
      <c r="E9" s="87"/>
      <c r="F9" s="87"/>
      <c r="G9" s="87"/>
      <c r="H9" s="87"/>
    </row>
    <row r="10" spans="1:9">
      <c r="B10" s="38"/>
      <c r="C10" s="38"/>
      <c r="D10" s="38"/>
      <c r="E10" s="38"/>
      <c r="F10" s="38"/>
      <c r="G10" s="38"/>
      <c r="H10" s="38"/>
    </row>
    <row r="11" spans="1:9">
      <c r="B11" s="88" t="s">
        <v>712</v>
      </c>
      <c r="C11" s="86"/>
      <c r="D11" s="86"/>
      <c r="E11" s="86"/>
      <c r="F11" s="86"/>
      <c r="G11" s="86"/>
      <c r="H11" s="86"/>
    </row>
    <row r="12" spans="1:9">
      <c r="B12" s="38"/>
      <c r="C12" s="38"/>
      <c r="D12" s="38"/>
      <c r="E12" s="38"/>
      <c r="F12" s="38"/>
      <c r="G12" s="38"/>
      <c r="H12" s="38"/>
    </row>
    <row r="13" spans="1:9" ht="40.049999999999997" customHeight="1">
      <c r="B13" s="104" t="str">
        <f>"2. 우리학교 "&amp;IF(기초자료입력!C5&lt;&gt;"",기초자료입력!C5,"20○○")&amp;"학년도 교복 학교주관구매 건에 대하여 귀사를 낙찰자로 결정하여 통보하오니 전자계약[나라장터(G2B)] 체결을 위해 아래 서류를 "&amp;IF(기초자료입력!C18&lt;&gt;"",TEXT(기초자료입력!C18,"yyyy.mm.dd."),"20○○.○○.○○")&amp;"까지 제출하여 주시기 바랍니다."</f>
        <v>2. 우리학교 20○○학년도 교복 학교주관구매 건에 대하여 귀사를 낙찰자로 결정하여 통보하오니 전자계약[나라장터(G2B)] 체결을 위해 아래 서류를 20○○.○○.○○까지 제출하여 주시기 바랍니다.</v>
      </c>
      <c r="C13" s="104"/>
      <c r="D13" s="104"/>
      <c r="E13" s="104"/>
      <c r="F13" s="104"/>
      <c r="G13" s="104"/>
      <c r="H13" s="104"/>
    </row>
    <row r="14" spans="1:9">
      <c r="B14" s="38"/>
      <c r="C14" s="38"/>
      <c r="D14" s="38"/>
      <c r="E14" s="38"/>
      <c r="F14" s="38"/>
      <c r="G14" s="38"/>
      <c r="H14" s="38"/>
    </row>
    <row r="15" spans="1:9">
      <c r="B15" s="88" t="s">
        <v>713</v>
      </c>
      <c r="C15" s="86"/>
      <c r="D15" s="86"/>
      <c r="E15" s="86"/>
      <c r="F15" s="86"/>
      <c r="G15" s="86"/>
      <c r="H15" s="86"/>
    </row>
    <row r="16" spans="1:9">
      <c r="B16" s="32" t="s">
        <v>52</v>
      </c>
      <c r="C16" s="32" t="s">
        <v>377</v>
      </c>
      <c r="D16" s="32" t="s">
        <v>48</v>
      </c>
      <c r="E16" s="32" t="s">
        <v>28</v>
      </c>
      <c r="F16" s="66" t="s">
        <v>714</v>
      </c>
      <c r="G16" s="32" t="s">
        <v>316</v>
      </c>
      <c r="H16" s="38"/>
    </row>
    <row r="17" spans="2:8">
      <c r="B17" s="37">
        <f>IFERROR(INDEX(기초자료입력!$B$44:$B$53,I3),"")</f>
        <v>0</v>
      </c>
      <c r="C17" s="37" t="str">
        <f>IFERROR(IF(INDEX(기초자료입력!$S$44:$S$53,I3)="","",INDEX(기초자료입력!$S$44:$S$53,I3)),"")</f>
        <v/>
      </c>
      <c r="D17" s="64"/>
      <c r="E17" s="37" t="str">
        <f>IF(기초자료입력!C16&lt;&gt;"",기초자료입력!C16,"")</f>
        <v/>
      </c>
      <c r="F17" s="64"/>
      <c r="G17" s="37"/>
      <c r="H17" s="38"/>
    </row>
    <row r="18" spans="2:8">
      <c r="B18" s="38"/>
      <c r="C18" s="38"/>
      <c r="D18" s="38"/>
      <c r="E18" s="38"/>
      <c r="F18" s="38"/>
      <c r="G18" s="38"/>
      <c r="H18" s="38"/>
    </row>
    <row r="19" spans="2:8">
      <c r="B19" s="88" t="s">
        <v>715</v>
      </c>
      <c r="C19" s="86"/>
      <c r="D19" s="86"/>
      <c r="E19" s="86"/>
      <c r="F19" s="86"/>
      <c r="G19" s="86"/>
      <c r="H19" s="86"/>
    </row>
    <row r="20" spans="2:8">
      <c r="B20" s="86" t="s">
        <v>716</v>
      </c>
      <c r="C20" s="86"/>
      <c r="D20" s="86"/>
      <c r="E20" s="86"/>
      <c r="F20" s="86"/>
      <c r="G20" s="86"/>
      <c r="H20" s="86"/>
    </row>
    <row r="21" spans="2:8">
      <c r="B21" s="86" t="s">
        <v>717</v>
      </c>
      <c r="C21" s="86"/>
      <c r="D21" s="86"/>
      <c r="E21" s="86"/>
      <c r="F21" s="86"/>
      <c r="G21" s="86"/>
      <c r="H21" s="86"/>
    </row>
    <row r="22" spans="2:8">
      <c r="B22" s="86" t="s">
        <v>718</v>
      </c>
      <c r="C22" s="86"/>
      <c r="D22" s="86"/>
      <c r="E22" s="86"/>
      <c r="F22" s="86"/>
      <c r="G22" s="86"/>
      <c r="H22" s="86"/>
    </row>
    <row r="23" spans="2:8">
      <c r="B23" s="86" t="s">
        <v>719</v>
      </c>
      <c r="C23" s="86"/>
      <c r="D23" s="86"/>
      <c r="E23" s="86"/>
      <c r="F23" s="86"/>
      <c r="G23" s="86"/>
      <c r="H23" s="86"/>
    </row>
    <row r="24" spans="2:8">
      <c r="B24" s="38"/>
      <c r="C24" s="38"/>
      <c r="D24" s="38"/>
      <c r="E24" s="38"/>
      <c r="F24" s="38"/>
      <c r="G24" s="38"/>
      <c r="H24" s="38"/>
    </row>
    <row r="25" spans="2:8">
      <c r="B25" s="38"/>
      <c r="C25" s="38"/>
      <c r="D25" s="38"/>
      <c r="E25" s="38"/>
      <c r="F25" s="38"/>
      <c r="G25" s="38"/>
      <c r="H25" s="38"/>
    </row>
    <row r="26" spans="2:8" ht="28.05" customHeight="1">
      <c r="B26" s="38"/>
      <c r="C26" s="38"/>
      <c r="D26" s="38"/>
      <c r="E26" s="38"/>
      <c r="F26" s="56" t="str">
        <f>"담당"&amp;CHAR(10)&amp;IF(기초자료입력!$C$10&lt;&gt;"",기초자료입력!$C$10,"")</f>
        <v xml:space="preserve">담당
</v>
      </c>
      <c r="G26" s="56" t="s">
        <v>304</v>
      </c>
      <c r="H26" s="56" t="str">
        <f>"교장"&amp;CHAR(10)&amp;IF(기초자료입력!$F$10&lt;&gt;"",기초자료입력!$F$10,"")</f>
        <v xml:space="preserve">교장
</v>
      </c>
    </row>
    <row r="27" spans="2:8">
      <c r="B27" s="53" t="s">
        <v>305</v>
      </c>
      <c r="C27" s="86" t="str">
        <f>IF(기초자료입력!C9&lt;&gt;"",기초자료입력!C9&amp;IF(기초자료입력!C8&lt;&gt;"","("&amp;TEXT(기초자료입력!C8,"yyyy.m.d.")&amp;")",""),"")</f>
        <v/>
      </c>
      <c r="D27" s="86"/>
      <c r="E27" s="86"/>
      <c r="F27" s="55" t="s">
        <v>306</v>
      </c>
      <c r="G27" s="87"/>
      <c r="H27" s="87"/>
    </row>
    <row r="28" spans="2:8">
      <c r="B28" s="53" t="s">
        <v>307</v>
      </c>
      <c r="C28" s="38"/>
      <c r="D28" s="53" t="s">
        <v>308</v>
      </c>
      <c r="E28" s="86" t="str">
        <f>IFERROR(INDEX(학교정보!$F$2:$F$791,MATCH(기초자료입력!$C$4,학교정보!$E$2:$E$791,0)),"")</f>
        <v/>
      </c>
      <c r="F28" s="87"/>
      <c r="G28" s="87"/>
      <c r="H28" s="87"/>
    </row>
    <row r="29" spans="2:8">
      <c r="B29" s="53" t="s">
        <v>309</v>
      </c>
      <c r="C29" s="38" t="str">
        <f>IFERROR(INDEX(학교정보!$G$2:$G$791,MATCH(기초자료입력!$C$4,학교정보!$E$2:$E$791,0)),"")</f>
        <v/>
      </c>
      <c r="D29" s="53" t="s">
        <v>310</v>
      </c>
      <c r="E29" s="38"/>
      <c r="F29" s="55" t="s">
        <v>311</v>
      </c>
      <c r="G29" s="87"/>
      <c r="H29" s="87"/>
    </row>
  </sheetData>
  <mergeCells count="16">
    <mergeCell ref="B13:H13"/>
    <mergeCell ref="B3:H4"/>
    <mergeCell ref="C7:H7"/>
    <mergeCell ref="C8:H8"/>
    <mergeCell ref="C9:H9"/>
    <mergeCell ref="B11:H11"/>
    <mergeCell ref="C27:E27"/>
    <mergeCell ref="G27:H27"/>
    <mergeCell ref="E28:H28"/>
    <mergeCell ref="G29:H29"/>
    <mergeCell ref="B15:H15"/>
    <mergeCell ref="B19:H19"/>
    <mergeCell ref="B20:H20"/>
    <mergeCell ref="B21:H21"/>
    <mergeCell ref="B22:H22"/>
    <mergeCell ref="B23:H23"/>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222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222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0C264B-25C9-4AAE-B261-16C8CFFE4F56}">
  <sheetPr codeName="Sheet52"/>
  <dimension ref="A1:I37"/>
  <sheetViews>
    <sheetView workbookViewId="0"/>
  </sheetViews>
  <sheetFormatPr defaultRowHeight="17.399999999999999"/>
  <cols>
    <col min="1" max="1" width="3.19921875" customWidth="1"/>
    <col min="2" max="2" width="12.69921875" customWidth="1"/>
    <col min="3" max="8" width="9.69921875" customWidth="1"/>
  </cols>
  <sheetData>
    <row r="1" spans="1:9">
      <c r="A1" s="20"/>
    </row>
    <row r="2" spans="1:9">
      <c r="I2" s="36" t="s">
        <v>720</v>
      </c>
    </row>
    <row r="3" spans="1:9">
      <c r="B3" s="93" t="s">
        <v>721</v>
      </c>
      <c r="C3" s="94"/>
      <c r="D3" s="94"/>
      <c r="E3" s="94"/>
      <c r="F3" s="94"/>
      <c r="G3" s="94"/>
      <c r="H3" s="94"/>
      <c r="I3">
        <v>1</v>
      </c>
    </row>
    <row r="4" spans="1:9">
      <c r="B4" s="94"/>
      <c r="C4" s="94"/>
      <c r="D4" s="94"/>
      <c r="E4" s="94"/>
      <c r="F4" s="94"/>
      <c r="G4" s="94"/>
      <c r="H4" s="94"/>
    </row>
    <row r="5" spans="1:9">
      <c r="B5" s="55" t="s">
        <v>13</v>
      </c>
      <c r="C5" s="37" t="str">
        <f>IF(기초자료입력!C9&lt;&gt;"",기초자료입력!C9,"")</f>
        <v/>
      </c>
      <c r="D5" s="37"/>
      <c r="E5" s="55" t="s">
        <v>291</v>
      </c>
      <c r="F5" s="37" t="str">
        <f>IF(기초자료입력!C8&lt;&gt;"",TEXT(기초자료입력!C8,"yyyy-mm-dd"),"")</f>
        <v/>
      </c>
      <c r="G5" s="37"/>
      <c r="H5" s="37"/>
    </row>
    <row r="6" spans="1:9">
      <c r="B6" s="37"/>
      <c r="C6" s="37"/>
      <c r="D6" s="37"/>
      <c r="E6" s="37"/>
      <c r="F6" s="37"/>
      <c r="G6" s="37"/>
      <c r="H6" s="37"/>
    </row>
    <row r="7" spans="1:9">
      <c r="B7" s="55" t="s">
        <v>292</v>
      </c>
      <c r="C7" s="87" t="s">
        <v>500</v>
      </c>
      <c r="D7" s="87"/>
      <c r="E7" s="87"/>
      <c r="F7" s="87"/>
      <c r="G7" s="87"/>
      <c r="H7" s="87"/>
    </row>
    <row r="8" spans="1:9">
      <c r="B8" s="55" t="s">
        <v>297</v>
      </c>
      <c r="C8" s="87"/>
      <c r="D8" s="87"/>
      <c r="E8" s="87"/>
      <c r="F8" s="87"/>
      <c r="G8" s="87"/>
      <c r="H8" s="87"/>
    </row>
    <row r="9" spans="1:9">
      <c r="B9" s="55" t="s">
        <v>293</v>
      </c>
      <c r="C9" s="89" t="str">
        <f>IF(기초자료입력!C22&lt;&gt;"",기초자료입력!C22,IF(기초자료입력!C5&lt;&gt;"",기초자료입력!C5,"20○○")&amp;"학년도 교복 학교주관구매 계약 체결")</f>
        <v>20○○학년도 교복 학교주관구매 계약 체결</v>
      </c>
      <c r="D9" s="87"/>
      <c r="E9" s="87"/>
      <c r="F9" s="87"/>
      <c r="G9" s="87"/>
      <c r="H9" s="87"/>
    </row>
    <row r="10" spans="1:9">
      <c r="B10" s="38"/>
      <c r="C10" s="38"/>
      <c r="D10" s="38"/>
      <c r="E10" s="38"/>
      <c r="F10" s="38"/>
      <c r="G10" s="38"/>
      <c r="H10" s="38"/>
    </row>
    <row r="11" spans="1:9">
      <c r="B11" s="53" t="s">
        <v>298</v>
      </c>
      <c r="C11" s="86" t="str">
        <f>IF(기초자료입력!C23&lt;&gt;"",기초자료입력!C23,"")</f>
        <v/>
      </c>
      <c r="D11" s="86"/>
      <c r="E11" s="86"/>
      <c r="F11" s="86"/>
      <c r="G11" s="86"/>
      <c r="H11" s="86"/>
    </row>
    <row r="12" spans="1:9">
      <c r="B12" s="38"/>
      <c r="C12" s="38"/>
      <c r="D12" s="38"/>
      <c r="E12" s="38"/>
      <c r="F12" s="38"/>
      <c r="G12" s="38"/>
      <c r="H12" s="38"/>
    </row>
    <row r="13" spans="1:9">
      <c r="B13" s="104" t="str">
        <f>"2. "&amp;IF(기초자료입력!C5&lt;&gt;"",기초자료입력!C5,"20○○")&amp;"학년도 교복 학교주관구매를 위한 계약을 아래와 같이 체결하고자 합니다."</f>
        <v>2. 20○○학년도 교복 학교주관구매를 위한 계약을 아래와 같이 체결하고자 합니다.</v>
      </c>
      <c r="C13" s="104"/>
      <c r="D13" s="104"/>
      <c r="E13" s="104"/>
      <c r="F13" s="104"/>
      <c r="G13" s="104"/>
      <c r="H13" s="104"/>
    </row>
    <row r="14" spans="1:9">
      <c r="B14" s="38"/>
      <c r="C14" s="38"/>
      <c r="D14" s="38"/>
      <c r="E14" s="38"/>
      <c r="F14" s="38"/>
      <c r="G14" s="38"/>
      <c r="H14" s="38"/>
    </row>
    <row r="15" spans="1:9">
      <c r="B15" s="53" t="s">
        <v>722</v>
      </c>
      <c r="C15" s="86" t="str">
        <f>IF(기초자료입력!C12&lt;&gt;"",IF(기초자료입력!C5&lt;&gt;"",기초자료입력!C5&amp;"학년도 ","")&amp;기초자료입력!C12,"")</f>
        <v/>
      </c>
      <c r="D15" s="86"/>
      <c r="E15" s="86"/>
      <c r="F15" s="86"/>
      <c r="G15" s="86"/>
      <c r="H15" s="86"/>
    </row>
    <row r="16" spans="1:9">
      <c r="B16" s="53" t="s">
        <v>723</v>
      </c>
      <c r="C16" s="151"/>
      <c r="D16" s="86"/>
      <c r="E16" s="86" t="s">
        <v>724</v>
      </c>
      <c r="F16" s="86"/>
      <c r="G16" s="86"/>
      <c r="H16" s="86"/>
    </row>
    <row r="17" spans="2:8">
      <c r="B17" s="53" t="s">
        <v>725</v>
      </c>
      <c r="C17" s="86" t="str">
        <f>IF(AND(C16&lt;&gt;"",기초자료입력!C16&lt;&gt;""),"금"&amp;TEXT(C16*기초자료입력!C16,"#,##0")&amp;"원["&amp;TEXT(C16,"#,##0")&amp;"원(단가)×"&amp;기초자료입력!C16&amp;"벌(예정수량)]","")</f>
        <v/>
      </c>
      <c r="D17" s="86"/>
      <c r="E17" s="86"/>
      <c r="F17" s="86"/>
      <c r="G17" s="86"/>
      <c r="H17" s="86"/>
    </row>
    <row r="18" spans="2:8">
      <c r="B18" s="86" t="s">
        <v>726</v>
      </c>
      <c r="C18" s="86"/>
      <c r="D18" s="86"/>
      <c r="E18" s="86"/>
      <c r="F18" s="86"/>
      <c r="G18" s="86"/>
      <c r="H18" s="86"/>
    </row>
    <row r="19" spans="2:8">
      <c r="B19" s="38"/>
      <c r="C19" s="38"/>
      <c r="D19" s="38"/>
      <c r="E19" s="38"/>
      <c r="F19" s="38"/>
      <c r="G19" s="38"/>
      <c r="H19" s="38"/>
    </row>
    <row r="20" spans="2:8">
      <c r="B20" s="88" t="s">
        <v>727</v>
      </c>
      <c r="C20" s="86"/>
      <c r="D20" s="86"/>
      <c r="E20" s="86"/>
      <c r="F20" s="86"/>
      <c r="G20" s="86"/>
      <c r="H20" s="86"/>
    </row>
    <row r="21" spans="2:8">
      <c r="B21" s="32" t="s">
        <v>52</v>
      </c>
      <c r="C21" s="32" t="s">
        <v>728</v>
      </c>
      <c r="D21" s="32" t="s">
        <v>377</v>
      </c>
      <c r="E21" s="32" t="s">
        <v>427</v>
      </c>
      <c r="F21" s="86"/>
      <c r="G21" s="86"/>
      <c r="H21" s="86"/>
    </row>
    <row r="22" spans="2:8">
      <c r="B22" s="37">
        <f>IFERROR(INDEX(기초자료입력!$B$44:$B$53,I3),"")</f>
        <v>0</v>
      </c>
      <c r="C22" s="37"/>
      <c r="D22" s="37" t="str">
        <f>IFERROR(IF(INDEX(기초자료입력!$S$44:$S$53,I3)="","",INDEX(기초자료입력!$S$44:$S$53,I3)),"")</f>
        <v/>
      </c>
      <c r="E22" s="37" t="str">
        <f>IFERROR(IF(INDEX(기초자료입력!$X$44:$X$53,I3)="","",INDEX(기초자료입력!$X$44:$X$53,I3)),"")</f>
        <v/>
      </c>
      <c r="F22" s="86"/>
      <c r="G22" s="86"/>
      <c r="H22" s="86"/>
    </row>
    <row r="23" spans="2:8">
      <c r="B23" s="38"/>
      <c r="C23" s="38"/>
      <c r="D23" s="38"/>
      <c r="E23" s="38"/>
      <c r="F23" s="38"/>
      <c r="G23" s="38"/>
      <c r="H23" s="38"/>
    </row>
    <row r="24" spans="2:8">
      <c r="B24" s="117" t="s">
        <v>729</v>
      </c>
      <c r="C24" s="104"/>
      <c r="D24" s="104"/>
      <c r="E24" s="104"/>
      <c r="F24" s="104"/>
      <c r="G24" s="104"/>
      <c r="H24" s="104"/>
    </row>
    <row r="25" spans="2:8">
      <c r="B25" s="86" t="str">
        <f>"5. 납품기한："&amp;IF(기초자료입력!C17&lt;&gt;"",TEXT(기초자료입력!C17,"yyyy.mm.dd."),"")</f>
        <v>5. 납품기한：</v>
      </c>
      <c r="C25" s="86"/>
      <c r="D25" s="86"/>
      <c r="E25" s="86"/>
      <c r="F25" s="86"/>
      <c r="G25" s="86"/>
      <c r="H25" s="86"/>
    </row>
    <row r="26" spans="2:8">
      <c r="B26" s="88" t="s">
        <v>730</v>
      </c>
      <c r="C26" s="86"/>
      <c r="D26" s="86"/>
      <c r="E26" s="86"/>
      <c r="F26" s="86"/>
      <c r="G26" s="86"/>
      <c r="H26" s="86"/>
    </row>
    <row r="27" spans="2:8">
      <c r="B27" s="38"/>
      <c r="C27" s="38"/>
      <c r="D27" s="38"/>
      <c r="E27" s="38"/>
      <c r="F27" s="38"/>
      <c r="G27" s="38"/>
      <c r="H27" s="38"/>
    </row>
    <row r="28" spans="2:8">
      <c r="B28" s="86" t="s">
        <v>731</v>
      </c>
      <c r="C28" s="86"/>
      <c r="D28" s="86"/>
      <c r="E28" s="86"/>
      <c r="F28" s="86"/>
      <c r="G28" s="86"/>
      <c r="H28" s="86"/>
    </row>
    <row r="29" spans="2:8">
      <c r="B29" s="86" t="s">
        <v>732</v>
      </c>
      <c r="C29" s="86"/>
      <c r="D29" s="86"/>
      <c r="E29" s="86"/>
      <c r="F29" s="86"/>
      <c r="G29" s="86"/>
      <c r="H29" s="86"/>
    </row>
    <row r="30" spans="2:8">
      <c r="B30" s="86" t="s">
        <v>733</v>
      </c>
      <c r="C30" s="86"/>
      <c r="D30" s="86"/>
      <c r="E30" s="86"/>
      <c r="F30" s="86"/>
      <c r="G30" s="86"/>
      <c r="H30" s="86"/>
    </row>
    <row r="31" spans="2:8">
      <c r="B31" s="86" t="s">
        <v>734</v>
      </c>
      <c r="C31" s="86"/>
      <c r="D31" s="86"/>
      <c r="E31" s="86"/>
      <c r="F31" s="86"/>
      <c r="G31" s="86"/>
      <c r="H31" s="86"/>
    </row>
    <row r="32" spans="2:8">
      <c r="B32" s="86" t="s">
        <v>735</v>
      </c>
      <c r="C32" s="86"/>
      <c r="D32" s="86"/>
      <c r="E32" s="86"/>
      <c r="F32" s="86"/>
      <c r="G32" s="86"/>
      <c r="H32" s="86"/>
    </row>
    <row r="33" spans="2:8">
      <c r="B33" s="38"/>
      <c r="C33" s="38"/>
      <c r="D33" s="38"/>
      <c r="E33" s="38"/>
      <c r="F33" s="38"/>
      <c r="G33" s="38"/>
      <c r="H33" s="38"/>
    </row>
    <row r="34" spans="2:8" ht="28.05" customHeight="1">
      <c r="B34" s="38"/>
      <c r="C34" s="38"/>
      <c r="D34" s="38"/>
      <c r="E34" s="38"/>
      <c r="F34" s="56" t="str">
        <f>"담당"&amp;CHAR(10)&amp;IF(기초자료입력!$C$10&lt;&gt;"",기초자료입력!$C$10,"")</f>
        <v xml:space="preserve">담당
</v>
      </c>
      <c r="G34" s="56" t="s">
        <v>304</v>
      </c>
      <c r="H34" s="56" t="str">
        <f>"교장"&amp;CHAR(10)&amp;IF(기초자료입력!$F$10&lt;&gt;"",기초자료입력!$F$10,"")</f>
        <v xml:space="preserve">교장
</v>
      </c>
    </row>
    <row r="35" spans="2:8">
      <c r="B35" s="53" t="s">
        <v>305</v>
      </c>
      <c r="C35" s="86" t="str">
        <f>IF(기초자료입력!C9&lt;&gt;"",기초자료입력!C9&amp;IF(기초자료입력!C8&lt;&gt;"","("&amp;TEXT(기초자료입력!C8,"yyyy.m.d.")&amp;")",""),"")</f>
        <v/>
      </c>
      <c r="D35" s="86"/>
      <c r="E35" s="86"/>
      <c r="F35" s="55" t="s">
        <v>306</v>
      </c>
      <c r="G35" s="87"/>
      <c r="H35" s="87"/>
    </row>
    <row r="36" spans="2:8">
      <c r="B36" s="53" t="s">
        <v>307</v>
      </c>
      <c r="C36" s="38"/>
      <c r="D36" s="53" t="s">
        <v>308</v>
      </c>
      <c r="E36" s="86" t="str">
        <f>IFERROR(INDEX(학교정보!$F$2:$F$791,MATCH(기초자료입력!$C$4,학교정보!$E$2:$E$791,0)),"")</f>
        <v/>
      </c>
      <c r="F36" s="87"/>
      <c r="G36" s="87"/>
      <c r="H36" s="87"/>
    </row>
    <row r="37" spans="2:8">
      <c r="B37" s="53" t="s">
        <v>309</v>
      </c>
      <c r="C37" s="38" t="str">
        <f>IFERROR(INDEX(학교정보!$G$2:$G$791,MATCH(기초자료입력!$C$4,학교정보!$E$2:$E$791,0)),"")</f>
        <v/>
      </c>
      <c r="D37" s="53" t="s">
        <v>310</v>
      </c>
      <c r="E37" s="38"/>
      <c r="F37" s="55" t="s">
        <v>311</v>
      </c>
      <c r="G37" s="87"/>
      <c r="H37" s="87"/>
    </row>
  </sheetData>
  <mergeCells count="26">
    <mergeCell ref="B13:H13"/>
    <mergeCell ref="B3:H4"/>
    <mergeCell ref="C7:H7"/>
    <mergeCell ref="C8:H8"/>
    <mergeCell ref="C9:H9"/>
    <mergeCell ref="C11:H11"/>
    <mergeCell ref="B28:H28"/>
    <mergeCell ref="C15:H15"/>
    <mergeCell ref="C16:D16"/>
    <mergeCell ref="E16:H16"/>
    <mergeCell ref="C17:H17"/>
    <mergeCell ref="B18:H18"/>
    <mergeCell ref="B20:H20"/>
    <mergeCell ref="F21:H21"/>
    <mergeCell ref="F22:H22"/>
    <mergeCell ref="B24:H24"/>
    <mergeCell ref="B25:H25"/>
    <mergeCell ref="B26:H26"/>
    <mergeCell ref="E36:H36"/>
    <mergeCell ref="G37:H37"/>
    <mergeCell ref="B29:H29"/>
    <mergeCell ref="B30:H30"/>
    <mergeCell ref="B31:H31"/>
    <mergeCell ref="B32:H32"/>
    <mergeCell ref="C35:E35"/>
    <mergeCell ref="G35:H35"/>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325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AC759D-2606-4004-9E76-E4D94C9155AC}">
  <sheetPr codeName="Sheet53"/>
  <dimension ref="A1:H25"/>
  <sheetViews>
    <sheetView workbookViewId="0"/>
  </sheetViews>
  <sheetFormatPr defaultRowHeight="17.399999999999999"/>
  <cols>
    <col min="1" max="1" width="3.19921875" customWidth="1"/>
    <col min="2" max="2" width="10.69921875" customWidth="1"/>
    <col min="3" max="8" width="9.69921875" customWidth="1"/>
  </cols>
  <sheetData>
    <row r="1" spans="1:8">
      <c r="A1" s="20"/>
    </row>
    <row r="2" spans="1:8">
      <c r="G2" s="144" t="str">
        <f>IF(기초자료입력!C4&lt;&gt;"",기초자료입력!C4,"○ ○ 학 교")</f>
        <v>○ ○ 학 교</v>
      </c>
      <c r="H2" s="94"/>
    </row>
    <row r="3" spans="1:8">
      <c r="B3" s="93" t="s">
        <v>736</v>
      </c>
      <c r="C3" s="94"/>
      <c r="D3" s="94"/>
      <c r="E3" s="94"/>
      <c r="F3" s="94"/>
      <c r="G3" s="94"/>
      <c r="H3" s="94"/>
    </row>
    <row r="4" spans="1:8">
      <c r="B4" s="94"/>
      <c r="C4" s="94"/>
      <c r="D4" s="94"/>
      <c r="E4" s="94"/>
      <c r="F4" s="94"/>
      <c r="G4" s="94"/>
      <c r="H4" s="94"/>
    </row>
    <row r="5" spans="1:8">
      <c r="B5" s="55" t="s">
        <v>13</v>
      </c>
      <c r="C5" s="37" t="str">
        <f>IF(기초자료입력!C9&lt;&gt;"",기초자료입력!C9,"")</f>
        <v/>
      </c>
      <c r="D5" s="37"/>
      <c r="E5" s="55" t="s">
        <v>291</v>
      </c>
      <c r="F5" s="37" t="str">
        <f>IF(기초자료입력!C8&lt;&gt;"",TEXT(기초자료입력!C8,"yyyy-mm-dd"),"")</f>
        <v/>
      </c>
      <c r="G5" s="37"/>
      <c r="H5" s="37"/>
    </row>
    <row r="6" spans="1:8">
      <c r="B6" s="37"/>
      <c r="C6" s="37"/>
      <c r="D6" s="37"/>
      <c r="E6" s="37"/>
      <c r="F6" s="37"/>
      <c r="G6" s="37"/>
      <c r="H6" s="37"/>
    </row>
    <row r="7" spans="1:8">
      <c r="B7" s="55" t="s">
        <v>292</v>
      </c>
      <c r="C7" s="87" t="s">
        <v>737</v>
      </c>
      <c r="D7" s="87"/>
      <c r="E7" s="87"/>
      <c r="F7" s="87"/>
      <c r="G7" s="87"/>
      <c r="H7" s="87"/>
    </row>
    <row r="8" spans="1:8">
      <c r="B8" s="55" t="s">
        <v>297</v>
      </c>
      <c r="C8" s="87"/>
      <c r="D8" s="87"/>
      <c r="E8" s="87"/>
      <c r="F8" s="87"/>
      <c r="G8" s="87"/>
      <c r="H8" s="87"/>
    </row>
    <row r="9" spans="1:8">
      <c r="B9" s="55" t="s">
        <v>293</v>
      </c>
      <c r="C9" s="89" t="str">
        <f>IF(기초자료입력!C22&lt;&gt;"",기초자료입력!C22,"신입생 교복구매 사전 안내 가정통신문 발송")</f>
        <v>신입생 교복구매 사전 안내 가정통신문 발송</v>
      </c>
      <c r="D9" s="87"/>
      <c r="E9" s="87"/>
      <c r="F9" s="87"/>
      <c r="G9" s="87"/>
      <c r="H9" s="87"/>
    </row>
    <row r="10" spans="1:8">
      <c r="B10" s="38"/>
      <c r="C10" s="38"/>
      <c r="D10" s="38"/>
      <c r="E10" s="38"/>
      <c r="F10" s="38"/>
      <c r="G10" s="38"/>
      <c r="H10" s="38"/>
    </row>
    <row r="11" spans="1:8">
      <c r="B11" s="88" t="s">
        <v>738</v>
      </c>
      <c r="C11" s="86"/>
      <c r="D11" s="86"/>
      <c r="E11" s="86"/>
      <c r="F11" s="86"/>
      <c r="G11" s="86"/>
      <c r="H11" s="86"/>
    </row>
    <row r="12" spans="1:8">
      <c r="B12" s="38"/>
      <c r="C12" s="38"/>
      <c r="D12" s="38"/>
      <c r="E12" s="38"/>
      <c r="F12" s="38"/>
      <c r="G12" s="38"/>
      <c r="H12" s="38"/>
    </row>
    <row r="13" spans="1:8" ht="30" customHeight="1">
      <c r="B13" s="104" t="s">
        <v>739</v>
      </c>
      <c r="C13" s="104"/>
      <c r="D13" s="104"/>
      <c r="E13" s="104"/>
      <c r="F13" s="104"/>
      <c r="G13" s="104"/>
      <c r="H13" s="104"/>
    </row>
    <row r="14" spans="1:8">
      <c r="B14" s="38"/>
      <c r="C14" s="38"/>
      <c r="D14" s="38"/>
      <c r="E14" s="38"/>
      <c r="F14" s="38"/>
      <c r="G14" s="38"/>
      <c r="H14" s="38"/>
    </row>
    <row r="15" spans="1:8">
      <c r="B15" s="53" t="s">
        <v>740</v>
      </c>
      <c r="C15" s="86" t="str">
        <f>IF(기초자료입력!C5&lt;&gt;"",기초자료입력!C5,"20○○")&amp;"학년도 예비 중1(예비 고1) 학생 및 학부모"</f>
        <v>20○○학년도 예비 중1(예비 고1) 학생 및 학부모</v>
      </c>
      <c r="D15" s="86"/>
      <c r="E15" s="86"/>
      <c r="F15" s="86"/>
      <c r="G15" s="86"/>
      <c r="H15" s="86"/>
    </row>
    <row r="16" spans="1:8">
      <c r="B16" s="53" t="s">
        <v>741</v>
      </c>
      <c r="C16" s="86" t="str">
        <f>IF(기초자료입력!C12&lt;&gt;"",기초자료입력!C12&amp;" 관련 교복 학교주관구매 참여 및 지원 방법, 기타 교복관련 사항","교복 학교주관구매 참여 및 지원 방법, 기타 교복관련 사항")</f>
        <v>교복 학교주관구매 참여 및 지원 방법, 기타 교복관련 사항</v>
      </c>
      <c r="D16" s="86"/>
      <c r="E16" s="86"/>
      <c r="F16" s="86"/>
      <c r="G16" s="86"/>
      <c r="H16" s="86"/>
    </row>
    <row r="17" spans="2:8">
      <c r="B17" s="38"/>
      <c r="C17" s="38"/>
      <c r="D17" s="38"/>
      <c r="E17" s="38"/>
      <c r="F17" s="38"/>
      <c r="G17" s="38"/>
      <c r="H17" s="38"/>
    </row>
    <row r="18" spans="2:8">
      <c r="B18" s="88" t="s">
        <v>742</v>
      </c>
      <c r="C18" s="86"/>
      <c r="D18" s="86"/>
      <c r="E18" s="86"/>
      <c r="F18" s="86"/>
      <c r="G18" s="86"/>
      <c r="H18" s="86"/>
    </row>
    <row r="19" spans="2:8">
      <c r="B19" s="38"/>
      <c r="C19" s="38"/>
      <c r="D19" s="38"/>
      <c r="E19" s="38"/>
      <c r="F19" s="38"/>
      <c r="G19" s="38"/>
      <c r="H19" s="38"/>
    </row>
    <row r="20" spans="2:8">
      <c r="B20" s="38"/>
      <c r="C20" s="38"/>
      <c r="D20" s="38"/>
      <c r="E20" s="38"/>
      <c r="F20" s="38"/>
      <c r="G20" s="38"/>
      <c r="H20" s="38"/>
    </row>
    <row r="21" spans="2:8">
      <c r="B21" s="38"/>
      <c r="C21" s="38"/>
      <c r="D21" s="38"/>
      <c r="E21" s="38"/>
      <c r="F21" s="38"/>
      <c r="G21" s="38"/>
      <c r="H21" s="38"/>
    </row>
    <row r="22" spans="2:8" ht="28.05" customHeight="1">
      <c r="B22" s="38"/>
      <c r="C22" s="38"/>
      <c r="D22" s="38"/>
      <c r="E22" s="38"/>
      <c r="F22" s="56" t="str">
        <f>"담당"&amp;CHAR(10)&amp;IF(기초자료입력!$C$10&lt;&gt;"",기초자료입력!$C$10,"")</f>
        <v xml:space="preserve">담당
</v>
      </c>
      <c r="G22" s="56" t="s">
        <v>304</v>
      </c>
      <c r="H22" s="56" t="str">
        <f>"교장"&amp;CHAR(10)&amp;IF(기초자료입력!$F$10&lt;&gt;"",기초자료입력!$F$10,"")</f>
        <v xml:space="preserve">교장
</v>
      </c>
    </row>
    <row r="23" spans="2:8">
      <c r="B23" s="53" t="s">
        <v>305</v>
      </c>
      <c r="C23" s="86" t="str">
        <f>IF(기초자료입력!C9&lt;&gt;"",기초자료입력!C9&amp;IF(기초자료입력!C8&lt;&gt;"","("&amp;TEXT(기초자료입력!C8,"yyyy.m.d.")&amp;")",""),"")</f>
        <v/>
      </c>
      <c r="D23" s="86"/>
      <c r="E23" s="86"/>
      <c r="F23" s="55" t="s">
        <v>306</v>
      </c>
      <c r="G23" s="87"/>
      <c r="H23" s="87"/>
    </row>
    <row r="24" spans="2:8">
      <c r="B24" s="53" t="s">
        <v>307</v>
      </c>
      <c r="C24" s="38"/>
      <c r="D24" s="53" t="s">
        <v>308</v>
      </c>
      <c r="E24" s="86" t="str">
        <f>IFERROR(INDEX(학교정보!$F$2:$F$791,MATCH(기초자료입력!$C$4,학교정보!$E$2:$E$791,0)),"")</f>
        <v/>
      </c>
      <c r="F24" s="87"/>
      <c r="G24" s="87"/>
      <c r="H24" s="87"/>
    </row>
    <row r="25" spans="2:8">
      <c r="B25" s="53" t="s">
        <v>309</v>
      </c>
      <c r="C25" s="38" t="str">
        <f>IFERROR(INDEX(학교정보!$G$2:$G$791,MATCH(기초자료입력!$C$4,학교정보!$E$2:$E$791,0)),"")</f>
        <v/>
      </c>
      <c r="D25" s="53" t="s">
        <v>310</v>
      </c>
      <c r="E25" s="38"/>
      <c r="F25" s="55" t="s">
        <v>311</v>
      </c>
      <c r="G25" s="87"/>
      <c r="H25" s="87"/>
    </row>
  </sheetData>
  <mergeCells count="14">
    <mergeCell ref="B11:H11"/>
    <mergeCell ref="G2:H2"/>
    <mergeCell ref="B3:H4"/>
    <mergeCell ref="C7:H7"/>
    <mergeCell ref="C8:H8"/>
    <mergeCell ref="C9:H9"/>
    <mergeCell ref="E24:H24"/>
    <mergeCell ref="G25:H25"/>
    <mergeCell ref="B13:H13"/>
    <mergeCell ref="C15:H15"/>
    <mergeCell ref="C16:H16"/>
    <mergeCell ref="B18:H18"/>
    <mergeCell ref="C23:E23"/>
    <mergeCell ref="G23:H23"/>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427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427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764729-9FE6-4260-B6BB-2819A5A7A901}">
  <sheetPr codeName="Sheet54"/>
  <dimension ref="A1:H22"/>
  <sheetViews>
    <sheetView workbookViewId="0"/>
  </sheetViews>
  <sheetFormatPr defaultRowHeight="17.399999999999999"/>
  <cols>
    <col min="1" max="1" width="3.19921875" customWidth="1"/>
    <col min="2" max="8" width="10.69921875" customWidth="1"/>
  </cols>
  <sheetData>
    <row r="1" spans="1:8">
      <c r="A1" s="20"/>
    </row>
    <row r="3" spans="1:8">
      <c r="B3" s="109" t="str">
        <f>IF(기초자료입력!C22&lt;&gt;"",기초자료입력!C22,"초 6(예비 중1), 중 3(예비 고1) 교복 구매 사전 안내")</f>
        <v>초 6(예비 중1), 중 3(예비 고1) 교복 구매 사전 안내</v>
      </c>
      <c r="C3" s="110"/>
      <c r="D3" s="110"/>
      <c r="E3" s="110"/>
      <c r="F3" s="110"/>
      <c r="G3" s="110"/>
      <c r="H3" s="110"/>
    </row>
    <row r="4" spans="1:8">
      <c r="B4" s="110"/>
      <c r="C4" s="110"/>
      <c r="D4" s="110"/>
      <c r="E4" s="110"/>
      <c r="F4" s="110"/>
      <c r="G4" s="110"/>
      <c r="H4" s="110"/>
    </row>
    <row r="5" spans="1:8">
      <c r="B5" s="21"/>
      <c r="C5" s="21"/>
      <c r="D5" s="21"/>
      <c r="E5" s="21"/>
      <c r="F5" s="21"/>
      <c r="G5" s="21"/>
      <c r="H5" s="21"/>
    </row>
    <row r="6" spans="1:8">
      <c r="B6" s="100" t="s">
        <v>743</v>
      </c>
      <c r="C6" s="100"/>
      <c r="D6" s="100"/>
      <c r="E6" s="100"/>
      <c r="F6" s="100"/>
      <c r="G6" s="100"/>
      <c r="H6" s="100"/>
    </row>
    <row r="7" spans="1:8">
      <c r="B7" s="21"/>
      <c r="C7" s="21"/>
      <c r="D7" s="21"/>
      <c r="E7" s="21"/>
      <c r="F7" s="21"/>
      <c r="G7" s="21"/>
      <c r="H7" s="21"/>
    </row>
    <row r="8" spans="1:8" ht="30" customHeight="1">
      <c r="B8" s="103" t="str">
        <f>IF(기초자료입력!C5&lt;&gt;"",기초자료입력!C5,"20○○")&amp;"학년도 중학교, 고등학교 신입생 배정을 앞두고 "&amp;IF(기초자료입력!C12&lt;&gt;"",기초자료입력!C12,"교복 구매")&amp;"에 대한 사항을 다음과 같이 안내해 드립니다."</f>
        <v>20○○학년도 중학교, 고등학교 신입생 배정을 앞두고 교복 구매에 대한 사항을 다음과 같이 안내해 드립니다.</v>
      </c>
      <c r="C8" s="103"/>
      <c r="D8" s="103"/>
      <c r="E8" s="103"/>
      <c r="F8" s="103"/>
      <c r="G8" s="103"/>
      <c r="H8" s="103"/>
    </row>
    <row r="9" spans="1:8">
      <c r="B9" s="21"/>
      <c r="C9" s="21"/>
      <c r="D9" s="21"/>
      <c r="E9" s="21"/>
      <c r="F9" s="21"/>
      <c r="G9" s="21"/>
      <c r="H9" s="21"/>
    </row>
    <row r="10" spans="1:8" ht="42" customHeight="1">
      <c r="B10" s="103" t="s">
        <v>744</v>
      </c>
      <c r="C10" s="103"/>
      <c r="D10" s="103"/>
      <c r="E10" s="103"/>
      <c r="F10" s="103"/>
      <c r="G10" s="103"/>
      <c r="H10" s="103"/>
    </row>
    <row r="11" spans="1:8">
      <c r="B11" s="103"/>
      <c r="C11" s="103"/>
      <c r="D11" s="103"/>
      <c r="E11" s="103"/>
      <c r="F11" s="103"/>
      <c r="G11" s="103"/>
      <c r="H11" s="103"/>
    </row>
    <row r="12" spans="1:8">
      <c r="B12" s="21"/>
      <c r="C12" s="21"/>
      <c r="D12" s="21"/>
      <c r="E12" s="21"/>
      <c r="F12" s="21"/>
      <c r="G12" s="21"/>
      <c r="H12" s="21"/>
    </row>
    <row r="13" spans="1:8" ht="42" customHeight="1">
      <c r="B13" s="103" t="s">
        <v>745</v>
      </c>
      <c r="C13" s="103"/>
      <c r="D13" s="103"/>
      <c r="E13" s="103"/>
      <c r="F13" s="103"/>
      <c r="G13" s="103"/>
      <c r="H13" s="103"/>
    </row>
    <row r="14" spans="1:8">
      <c r="B14" s="103"/>
      <c r="C14" s="103"/>
      <c r="D14" s="103"/>
      <c r="E14" s="103"/>
      <c r="F14" s="103"/>
      <c r="G14" s="103"/>
      <c r="H14" s="103"/>
    </row>
    <row r="15" spans="1:8">
      <c r="B15" s="21"/>
      <c r="C15" s="21"/>
      <c r="D15" s="21"/>
      <c r="E15" s="21"/>
      <c r="F15" s="21"/>
      <c r="G15" s="21"/>
      <c r="H15" s="21"/>
    </row>
    <row r="16" spans="1:8" ht="42" customHeight="1">
      <c r="B16" s="103" t="s">
        <v>746</v>
      </c>
      <c r="C16" s="103"/>
      <c r="D16" s="103"/>
      <c r="E16" s="103"/>
      <c r="F16" s="103"/>
      <c r="G16" s="103"/>
      <c r="H16" s="103"/>
    </row>
    <row r="17" spans="2:8">
      <c r="B17" s="103"/>
      <c r="C17" s="103"/>
      <c r="D17" s="103"/>
      <c r="E17" s="103"/>
      <c r="F17" s="103"/>
      <c r="G17" s="103"/>
      <c r="H17" s="103"/>
    </row>
    <row r="18" spans="2:8">
      <c r="B18" s="21"/>
      <c r="C18" s="21"/>
      <c r="D18" s="21"/>
      <c r="E18" s="21"/>
      <c r="F18" s="21"/>
      <c r="G18" s="21"/>
      <c r="H18" s="21"/>
    </row>
    <row r="19" spans="2:8">
      <c r="B19" s="100" t="s">
        <v>747</v>
      </c>
      <c r="C19" s="100"/>
      <c r="D19" s="100"/>
      <c r="E19" s="100"/>
      <c r="F19" s="100"/>
      <c r="G19" s="100"/>
      <c r="H19" s="100"/>
    </row>
    <row r="20" spans="2:8">
      <c r="B20" s="21"/>
      <c r="C20" s="21"/>
      <c r="D20" s="21"/>
      <c r="E20" s="21"/>
      <c r="F20" s="21"/>
      <c r="G20" s="21"/>
      <c r="H20" s="21"/>
    </row>
    <row r="21" spans="2:8">
      <c r="B21" s="110" t="str">
        <f>IF(기초자료입력!C8&lt;&gt;"",TEXT(기초자료입력!C8,"yyyy. m. d."),"년  월  일")</f>
        <v>년  월  일</v>
      </c>
      <c r="C21" s="110"/>
      <c r="D21" s="110"/>
      <c r="E21" s="110"/>
      <c r="F21" s="110"/>
      <c r="G21" s="110"/>
      <c r="H21" s="110"/>
    </row>
    <row r="22" spans="2:8">
      <c r="B22" s="109" t="str">
        <f>IF(기초자료입력!C4&lt;&gt;"",기초자료입력!C4&amp;"장","○○학교장")</f>
        <v>○○학교장</v>
      </c>
      <c r="C22" s="110"/>
      <c r="D22" s="110"/>
      <c r="E22" s="110"/>
      <c r="F22" s="110"/>
      <c r="G22" s="110"/>
      <c r="H22" s="110"/>
    </row>
  </sheetData>
  <mergeCells count="9">
    <mergeCell ref="B19:H19"/>
    <mergeCell ref="B21:H21"/>
    <mergeCell ref="B22:H22"/>
    <mergeCell ref="B3:H4"/>
    <mergeCell ref="B6:H6"/>
    <mergeCell ref="B8:H8"/>
    <mergeCell ref="B10:H11"/>
    <mergeCell ref="B13:H14"/>
    <mergeCell ref="B16:H17"/>
  </mergeCells>
  <phoneticPr fontId="6" type="noConversion"/>
  <printOptions horizontalCentered="1"/>
  <pageMargins left="0.59055208333333331" right="0.59055208333333331" top="0.47244166666666665" bottom="0.47244166666666665" header="0.3" footer="0.3"/>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5298"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68C3C1-733E-49AC-99A7-0D8FB1672C14}">
  <sheetPr codeName="Sheet55"/>
  <dimension ref="A1:H25"/>
  <sheetViews>
    <sheetView workbookViewId="0"/>
  </sheetViews>
  <sheetFormatPr defaultRowHeight="17.399999999999999"/>
  <cols>
    <col min="1" max="1" width="3.19921875" customWidth="1"/>
    <col min="2" max="2" width="10.69921875" customWidth="1"/>
    <col min="3" max="8" width="9.69921875" customWidth="1"/>
  </cols>
  <sheetData>
    <row r="1" spans="1:8">
      <c r="A1" s="20"/>
    </row>
    <row r="2" spans="1:8">
      <c r="G2" s="144" t="str">
        <f>IF(기초자료입력!C4&lt;&gt;"",기초자료입력!C4,"○ ○ 학 교")</f>
        <v>○ ○ 학 교</v>
      </c>
      <c r="H2" s="94"/>
    </row>
    <row r="3" spans="1:8">
      <c r="B3" s="93" t="s">
        <v>748</v>
      </c>
      <c r="C3" s="94"/>
      <c r="D3" s="94"/>
      <c r="E3" s="94"/>
      <c r="F3" s="94"/>
      <c r="G3" s="94"/>
      <c r="H3" s="94"/>
    </row>
    <row r="4" spans="1:8">
      <c r="B4" s="94"/>
      <c r="C4" s="94"/>
      <c r="D4" s="94"/>
      <c r="E4" s="94"/>
      <c r="F4" s="94"/>
      <c r="G4" s="94"/>
      <c r="H4" s="94"/>
    </row>
    <row r="5" spans="1:8">
      <c r="B5" s="55" t="s">
        <v>13</v>
      </c>
      <c r="C5" s="37" t="str">
        <f>IF(기초자료입력!C9&lt;&gt;"",기초자료입력!C9,"")</f>
        <v/>
      </c>
      <c r="D5" s="37"/>
      <c r="E5" s="55" t="s">
        <v>291</v>
      </c>
      <c r="F5" s="37" t="str">
        <f>IF(기초자료입력!C8&lt;&gt;"",TEXT(기초자료입력!C8,"yyyy-mm-dd"),"")</f>
        <v/>
      </c>
      <c r="G5" s="37"/>
      <c r="H5" s="37"/>
    </row>
    <row r="6" spans="1:8">
      <c r="B6" s="37"/>
      <c r="C6" s="37"/>
      <c r="D6" s="37"/>
      <c r="E6" s="37"/>
      <c r="F6" s="37"/>
      <c r="G6" s="37"/>
      <c r="H6" s="37"/>
    </row>
    <row r="7" spans="1:8">
      <c r="B7" s="55" t="s">
        <v>292</v>
      </c>
      <c r="C7" s="87" t="s">
        <v>737</v>
      </c>
      <c r="D7" s="87"/>
      <c r="E7" s="87"/>
      <c r="F7" s="87"/>
      <c r="G7" s="87"/>
      <c r="H7" s="87"/>
    </row>
    <row r="8" spans="1:8">
      <c r="B8" s="55" t="s">
        <v>297</v>
      </c>
      <c r="C8" s="87"/>
      <c r="D8" s="87"/>
      <c r="E8" s="87"/>
      <c r="F8" s="87"/>
      <c r="G8" s="87"/>
      <c r="H8" s="87"/>
    </row>
    <row r="9" spans="1:8">
      <c r="B9" s="55" t="s">
        <v>293</v>
      </c>
      <c r="C9" s="89" t="str">
        <f>IF(기초자료입력!C22&lt;&gt;"",기초자료입력!C22,"신입생 예비소집일 교복구매 수요조사 가정통신문 발송")</f>
        <v>신입생 예비소집일 교복구매 수요조사 가정통신문 발송</v>
      </c>
      <c r="D9" s="87"/>
      <c r="E9" s="87"/>
      <c r="F9" s="87"/>
      <c r="G9" s="87"/>
      <c r="H9" s="87"/>
    </row>
    <row r="10" spans="1:8">
      <c r="B10" s="38"/>
      <c r="C10" s="38"/>
      <c r="D10" s="38"/>
      <c r="E10" s="38"/>
      <c r="F10" s="38"/>
      <c r="G10" s="38"/>
      <c r="H10" s="38"/>
    </row>
    <row r="11" spans="1:8">
      <c r="B11" s="88" t="s">
        <v>738</v>
      </c>
      <c r="C11" s="86"/>
      <c r="D11" s="86"/>
      <c r="E11" s="86"/>
      <c r="F11" s="86"/>
      <c r="G11" s="86"/>
      <c r="H11" s="86"/>
    </row>
    <row r="12" spans="1:8">
      <c r="B12" s="38"/>
      <c r="C12" s="38"/>
      <c r="D12" s="38"/>
      <c r="E12" s="38"/>
      <c r="F12" s="38"/>
      <c r="G12" s="38"/>
      <c r="H12" s="38"/>
    </row>
    <row r="13" spans="1:8" ht="30" customHeight="1">
      <c r="B13" s="104" t="s">
        <v>749</v>
      </c>
      <c r="C13" s="104"/>
      <c r="D13" s="104"/>
      <c r="E13" s="104"/>
      <c r="F13" s="104"/>
      <c r="G13" s="104"/>
      <c r="H13" s="104"/>
    </row>
    <row r="14" spans="1:8">
      <c r="B14" s="38"/>
      <c r="C14" s="38"/>
      <c r="D14" s="38"/>
      <c r="E14" s="38"/>
      <c r="F14" s="38"/>
      <c r="G14" s="38"/>
      <c r="H14" s="38"/>
    </row>
    <row r="15" spans="1:8">
      <c r="B15" s="53" t="s">
        <v>740</v>
      </c>
      <c r="C15" s="86" t="str">
        <f>IF(기초자료입력!C5&lt;&gt;"",기초자료입력!C5,"20○○")&amp;"학년도 신입생 및 학부모"</f>
        <v>20○○학년도 신입생 및 학부모</v>
      </c>
      <c r="D15" s="86"/>
      <c r="E15" s="86"/>
      <c r="F15" s="86"/>
      <c r="G15" s="86"/>
      <c r="H15" s="86"/>
    </row>
    <row r="16" spans="1:8">
      <c r="B16" s="53" t="s">
        <v>741</v>
      </c>
      <c r="C16" s="86" t="str">
        <f>IF(기초자료입력!C12&lt;&gt;"",기초자료입력!C12&amp;" 관련 교복 학교주관구매 참여 여부 조사","교복 학교주관구매 참여 여부 조사")</f>
        <v>교복 학교주관구매 참여 여부 조사</v>
      </c>
      <c r="D16" s="86"/>
      <c r="E16" s="86"/>
      <c r="F16" s="86"/>
      <c r="G16" s="86"/>
      <c r="H16" s="86"/>
    </row>
    <row r="17" spans="2:8">
      <c r="B17" s="38"/>
      <c r="C17" s="38"/>
      <c r="D17" s="38"/>
      <c r="E17" s="38"/>
      <c r="F17" s="38"/>
      <c r="G17" s="38"/>
      <c r="H17" s="38"/>
    </row>
    <row r="18" spans="2:8">
      <c r="B18" s="88" t="s">
        <v>750</v>
      </c>
      <c r="C18" s="86"/>
      <c r="D18" s="86"/>
      <c r="E18" s="86"/>
      <c r="F18" s="86"/>
      <c r="G18" s="86"/>
      <c r="H18" s="86"/>
    </row>
    <row r="19" spans="2:8">
      <c r="B19" s="38"/>
      <c r="C19" s="38"/>
      <c r="D19" s="38"/>
      <c r="E19" s="38"/>
      <c r="F19" s="38"/>
      <c r="G19" s="38"/>
      <c r="H19" s="38"/>
    </row>
    <row r="20" spans="2:8">
      <c r="B20" s="38"/>
      <c r="C20" s="38"/>
      <c r="D20" s="38"/>
      <c r="E20" s="38"/>
      <c r="F20" s="38"/>
      <c r="G20" s="38"/>
      <c r="H20" s="38"/>
    </row>
    <row r="21" spans="2:8">
      <c r="B21" s="38"/>
      <c r="C21" s="38"/>
      <c r="D21" s="38"/>
      <c r="E21" s="38"/>
      <c r="F21" s="38"/>
      <c r="G21" s="38"/>
      <c r="H21" s="38"/>
    </row>
    <row r="22" spans="2:8" ht="28.05" customHeight="1">
      <c r="B22" s="38"/>
      <c r="C22" s="38"/>
      <c r="D22" s="38"/>
      <c r="E22" s="38"/>
      <c r="F22" s="56" t="str">
        <f>"담당"&amp;CHAR(10)&amp;IF(기초자료입력!$C$10&lt;&gt;"",기초자료입력!$C$10,"")</f>
        <v xml:space="preserve">담당
</v>
      </c>
      <c r="G22" s="56" t="s">
        <v>304</v>
      </c>
      <c r="H22" s="56" t="str">
        <f>"교장"&amp;CHAR(10)&amp;IF(기초자료입력!$F$10&lt;&gt;"",기초자료입력!$F$10,"")</f>
        <v xml:space="preserve">교장
</v>
      </c>
    </row>
    <row r="23" spans="2:8">
      <c r="B23" s="53" t="s">
        <v>305</v>
      </c>
      <c r="C23" s="86" t="str">
        <f>IF(기초자료입력!C9&lt;&gt;"",기초자료입력!C9&amp;IF(기초자료입력!C8&lt;&gt;"","("&amp;TEXT(기초자료입력!C8,"yyyy.m.d.")&amp;")",""),"")</f>
        <v/>
      </c>
      <c r="D23" s="86"/>
      <c r="E23" s="86"/>
      <c r="F23" s="55" t="s">
        <v>306</v>
      </c>
      <c r="G23" s="87"/>
      <c r="H23" s="87"/>
    </row>
    <row r="24" spans="2:8">
      <c r="B24" s="53" t="s">
        <v>307</v>
      </c>
      <c r="C24" s="38"/>
      <c r="D24" s="53" t="s">
        <v>308</v>
      </c>
      <c r="E24" s="86" t="str">
        <f>IFERROR(INDEX(학교정보!$F$2:$F$791,MATCH(기초자료입력!$C$4,학교정보!$E$2:$E$791,0)),"")</f>
        <v/>
      </c>
      <c r="F24" s="87"/>
      <c r="G24" s="87"/>
      <c r="H24" s="87"/>
    </row>
    <row r="25" spans="2:8">
      <c r="B25" s="53" t="s">
        <v>309</v>
      </c>
      <c r="C25" s="38" t="str">
        <f>IFERROR(INDEX(학교정보!$G$2:$G$791,MATCH(기초자료입력!$C$4,학교정보!$E$2:$E$791,0)),"")</f>
        <v/>
      </c>
      <c r="D25" s="53" t="s">
        <v>310</v>
      </c>
      <c r="E25" s="38"/>
      <c r="F25" s="55" t="s">
        <v>311</v>
      </c>
      <c r="G25" s="87"/>
      <c r="H25" s="87"/>
    </row>
  </sheetData>
  <mergeCells count="14">
    <mergeCell ref="B11:H11"/>
    <mergeCell ref="G2:H2"/>
    <mergeCell ref="B3:H4"/>
    <mergeCell ref="C7:H7"/>
    <mergeCell ref="C8:H8"/>
    <mergeCell ref="C9:H9"/>
    <mergeCell ref="E24:H24"/>
    <mergeCell ref="G25:H25"/>
    <mergeCell ref="B13:H13"/>
    <mergeCell ref="C15:H15"/>
    <mergeCell ref="C16:H16"/>
    <mergeCell ref="B18:H18"/>
    <mergeCell ref="C23:E23"/>
    <mergeCell ref="G23:H23"/>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6321"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6322"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5B426F-FFF3-4EC5-AFD4-5E525AE88A09}">
  <sheetPr codeName="Sheet56"/>
  <dimension ref="A1:H41"/>
  <sheetViews>
    <sheetView workbookViewId="0"/>
  </sheetViews>
  <sheetFormatPr defaultRowHeight="17.399999999999999"/>
  <cols>
    <col min="1" max="1" width="3.19921875" customWidth="1"/>
    <col min="2" max="8" width="10.69921875" customWidth="1"/>
  </cols>
  <sheetData>
    <row r="1" spans="1:8">
      <c r="A1" s="20"/>
    </row>
    <row r="3" spans="1:8">
      <c r="B3" s="109" t="str">
        <f>IF(기초자료입력!C22&lt;&gt;"",기초자료입력!C22,IF(기초자료입력!C4&lt;&gt;"",기초자료입력!C4,"○○학교")&amp;" 교복 구매 수요조사")</f>
        <v>○○학교 교복 구매 수요조사</v>
      </c>
      <c r="C3" s="110"/>
      <c r="D3" s="110"/>
      <c r="E3" s="110"/>
      <c r="F3" s="110"/>
      <c r="G3" s="110"/>
      <c r="H3" s="110"/>
    </row>
    <row r="4" spans="1:8">
      <c r="B4" s="110"/>
      <c r="C4" s="110"/>
      <c r="D4" s="110"/>
      <c r="E4" s="110"/>
      <c r="F4" s="110"/>
      <c r="G4" s="110"/>
      <c r="H4" s="110"/>
    </row>
    <row r="5" spans="1:8">
      <c r="B5" s="21"/>
      <c r="C5" s="21"/>
      <c r="D5" s="21"/>
      <c r="E5" s="21"/>
      <c r="F5" s="21"/>
      <c r="G5" s="21"/>
      <c r="H5" s="21"/>
    </row>
    <row r="6" spans="1:8">
      <c r="B6" s="100" t="str">
        <f>"안녕하십니까? "&amp;IF(기초자료입력!C4&lt;&gt;"",기초자료입력!C4,"○○학교")&amp;" 입학을 진심으로 축하드립니다."</f>
        <v>안녕하십니까? ○○학교 입학을 진심으로 축하드립니다.</v>
      </c>
      <c r="C6" s="100"/>
      <c r="D6" s="100"/>
      <c r="E6" s="100"/>
      <c r="F6" s="100"/>
      <c r="G6" s="100"/>
      <c r="H6" s="100"/>
    </row>
    <row r="7" spans="1:8">
      <c r="B7" s="21"/>
      <c r="C7" s="21"/>
      <c r="D7" s="21"/>
      <c r="E7" s="21"/>
      <c r="F7" s="21"/>
      <c r="G7" s="21"/>
      <c r="H7" s="21"/>
    </row>
    <row r="8" spans="1:8" ht="30" customHeight="1">
      <c r="B8" s="103" t="s">
        <v>769</v>
      </c>
      <c r="C8" s="103"/>
      <c r="D8" s="103"/>
      <c r="E8" s="103"/>
      <c r="F8" s="103"/>
      <c r="G8" s="103"/>
      <c r="H8" s="103"/>
    </row>
    <row r="9" spans="1:8">
      <c r="B9" s="103"/>
      <c r="C9" s="103"/>
      <c r="D9" s="103"/>
      <c r="E9" s="103"/>
      <c r="F9" s="103"/>
      <c r="G9" s="103"/>
      <c r="H9" s="103"/>
    </row>
    <row r="10" spans="1:8">
      <c r="B10" s="21"/>
      <c r="C10" s="21"/>
      <c r="D10" s="21"/>
      <c r="E10" s="21"/>
      <c r="F10" s="21"/>
      <c r="G10" s="21"/>
      <c r="H10" s="21"/>
    </row>
    <row r="11" spans="1:8" ht="30" customHeight="1">
      <c r="B11" s="103" t="s">
        <v>770</v>
      </c>
      <c r="C11" s="103"/>
      <c r="D11" s="103"/>
      <c r="E11" s="103"/>
      <c r="F11" s="103"/>
      <c r="G11" s="103"/>
      <c r="H11" s="103"/>
    </row>
    <row r="12" spans="1:8">
      <c r="B12" s="103"/>
      <c r="C12" s="103"/>
      <c r="D12" s="103"/>
      <c r="E12" s="103"/>
      <c r="F12" s="103"/>
      <c r="G12" s="103"/>
      <c r="H12" s="103"/>
    </row>
    <row r="13" spans="1:8">
      <c r="B13" s="21"/>
      <c r="C13" s="21"/>
      <c r="D13" s="21"/>
      <c r="E13" s="21"/>
      <c r="F13" s="21"/>
      <c r="G13" s="21"/>
      <c r="H13" s="21"/>
    </row>
    <row r="14" spans="1:8" ht="30" customHeight="1">
      <c r="B14" s="103" t="str">
        <f>"※ 참고: "&amp;IF(기초자료입력!C5&lt;&gt;"",기초자료입력!C5,"20○○")&amp;"학년도 신입생 교복 「학교주관구매」 가격 상한선"&amp;CHAR(10)&amp;"동복(4pcs 기준) 000,000원, 하복(2pcs 기준) 00,000원"</f>
        <v>※ 참고: 20○○학년도 신입생 교복 「학교주관구매」 가격 상한선
동복(4pcs 기준) 000,000원, 하복(2pcs 기준) 00,000원</v>
      </c>
      <c r="C14" s="103"/>
      <c r="D14" s="103"/>
      <c r="E14" s="103"/>
      <c r="F14" s="103"/>
      <c r="G14" s="103"/>
      <c r="H14" s="103"/>
    </row>
    <row r="15" spans="1:8">
      <c r="B15" s="103"/>
      <c r="C15" s="103"/>
      <c r="D15" s="103"/>
      <c r="E15" s="103"/>
      <c r="F15" s="103"/>
      <c r="G15" s="103"/>
      <c r="H15" s="103"/>
    </row>
    <row r="16" spans="1:8">
      <c r="B16" s="21"/>
      <c r="C16" s="21"/>
      <c r="D16" s="21"/>
      <c r="E16" s="21"/>
      <c r="F16" s="21"/>
      <c r="G16" s="21"/>
      <c r="H16" s="21"/>
    </row>
    <row r="17" spans="2:8" ht="30" customHeight="1">
      <c r="B17" s="103" t="str">
        <f>"정확한 교복 물량 파악을 위하여 신입생들은 아래의 &lt;교복 구매 신청서&gt;와 별첨한 &lt;교복 신청 수량&gt;을 작성하여 "&amp;IF(기초자료입력!C18&lt;&gt;"",TEXT(기초자료입력!C18,"yyyy.mm.dd."),"○○년 ○월 ○일")&amp;"까지 학교로 반드시 제출하여 주시기 바랍니다."</f>
        <v>정확한 교복 물량 파악을 위하여 신입생들은 아래의 &lt;교복 구매 신청서&gt;와 별첨한 &lt;교복 신청 수량&gt;을 작성하여 ○○년 ○월 ○일까지 학교로 반드시 제출하여 주시기 바랍니다.</v>
      </c>
      <c r="C17" s="103"/>
      <c r="D17" s="103"/>
      <c r="E17" s="103"/>
      <c r="F17" s="103"/>
      <c r="G17" s="103"/>
      <c r="H17" s="103"/>
    </row>
    <row r="18" spans="2:8">
      <c r="B18" s="103"/>
      <c r="C18" s="103"/>
      <c r="D18" s="103"/>
      <c r="E18" s="103"/>
      <c r="F18" s="103"/>
      <c r="G18" s="103"/>
      <c r="H18" s="103"/>
    </row>
    <row r="19" spans="2:8">
      <c r="B19" s="21"/>
      <c r="C19" s="21"/>
      <c r="D19" s="21"/>
      <c r="E19" s="21"/>
      <c r="F19" s="21"/>
      <c r="G19" s="21"/>
      <c r="H19" s="21"/>
    </row>
    <row r="20" spans="2:8" ht="40.049999999999997" customHeight="1">
      <c r="B20" s="103" t="s">
        <v>771</v>
      </c>
      <c r="C20" s="103"/>
      <c r="D20" s="103"/>
      <c r="E20" s="103"/>
      <c r="F20" s="103"/>
      <c r="G20" s="103"/>
      <c r="H20" s="103"/>
    </row>
    <row r="21" spans="2:8">
      <c r="B21" s="103"/>
      <c r="C21" s="103"/>
      <c r="D21" s="103"/>
      <c r="E21" s="103"/>
      <c r="F21" s="103"/>
      <c r="G21" s="103"/>
      <c r="H21" s="103"/>
    </row>
    <row r="22" spans="2:8">
      <c r="B22" s="21"/>
      <c r="C22" s="21"/>
      <c r="D22" s="21"/>
      <c r="E22" s="21"/>
      <c r="F22" s="21"/>
      <c r="G22" s="21"/>
      <c r="H22" s="21"/>
    </row>
    <row r="23" spans="2:8">
      <c r="B23" s="100" t="s">
        <v>747</v>
      </c>
      <c r="C23" s="100"/>
      <c r="D23" s="100"/>
      <c r="E23" s="100"/>
      <c r="F23" s="100"/>
      <c r="G23" s="100"/>
      <c r="H23" s="100"/>
    </row>
    <row r="24" spans="2:8">
      <c r="B24" s="154" t="s">
        <v>772</v>
      </c>
      <c r="C24" s="100"/>
      <c r="D24" s="100"/>
      <c r="E24" s="100"/>
      <c r="F24" s="100"/>
      <c r="G24" s="100"/>
      <c r="H24" s="100"/>
    </row>
    <row r="25" spans="2:8">
      <c r="B25" s="21"/>
      <c r="C25" s="21"/>
      <c r="D25" s="21"/>
      <c r="E25" s="21"/>
      <c r="F25" s="21"/>
      <c r="G25" s="21"/>
      <c r="H25" s="21"/>
    </row>
    <row r="26" spans="2:8">
      <c r="B26" s="110" t="str">
        <f>IF(기초자료입력!C8&lt;&gt;"",TEXT(기초자료입력!C8,"yyyy. m. d."),"년  월  일")</f>
        <v>년  월  일</v>
      </c>
      <c r="C26" s="110"/>
      <c r="D26" s="110"/>
      <c r="E26" s="110"/>
      <c r="F26" s="110"/>
      <c r="G26" s="110"/>
      <c r="H26" s="110"/>
    </row>
    <row r="27" spans="2:8">
      <c r="B27" s="109" t="str">
        <f>IF(기초자료입력!C4&lt;&gt;"",기초자료입력!C4&amp;"장","○○○ 학교장")</f>
        <v>○○○ 학교장</v>
      </c>
      <c r="C27" s="110"/>
      <c r="D27" s="110"/>
      <c r="E27" s="110"/>
      <c r="F27" s="110"/>
      <c r="G27" s="110"/>
      <c r="H27" s="110"/>
    </row>
    <row r="28" spans="2:8">
      <c r="B28" s="21"/>
      <c r="C28" s="21"/>
      <c r="D28" s="21"/>
      <c r="E28" s="21"/>
      <c r="F28" s="21"/>
      <c r="G28" s="21"/>
      <c r="H28" s="21"/>
    </row>
    <row r="29" spans="2:8">
      <c r="B29" s="110" t="s">
        <v>773</v>
      </c>
      <c r="C29" s="110"/>
      <c r="D29" s="110"/>
      <c r="E29" s="110"/>
      <c r="F29" s="110"/>
      <c r="G29" s="110"/>
      <c r="H29" s="110"/>
    </row>
    <row r="30" spans="2:8">
      <c r="B30" s="21"/>
      <c r="C30" s="21"/>
      <c r="D30" s="21"/>
      <c r="E30" s="21"/>
      <c r="F30" s="21"/>
      <c r="G30" s="21"/>
      <c r="H30" s="21"/>
    </row>
    <row r="31" spans="2:8">
      <c r="B31" s="109" t="s">
        <v>774</v>
      </c>
      <c r="C31" s="110"/>
      <c r="D31" s="110"/>
      <c r="E31" s="110"/>
      <c r="F31" s="110"/>
      <c r="G31" s="110"/>
      <c r="H31" s="110"/>
    </row>
    <row r="32" spans="2:8">
      <c r="B32" s="100" t="s">
        <v>775</v>
      </c>
      <c r="C32" s="100"/>
      <c r="D32" s="100"/>
      <c r="E32" s="100"/>
      <c r="F32" s="100"/>
      <c r="G32" s="100"/>
      <c r="H32" s="100"/>
    </row>
    <row r="33" spans="2:8">
      <c r="B33" s="21"/>
      <c r="C33" s="21"/>
      <c r="D33" s="21"/>
      <c r="E33" s="21"/>
      <c r="F33" s="21"/>
      <c r="G33" s="21"/>
      <c r="H33" s="21"/>
    </row>
    <row r="34" spans="2:8" ht="31.95" customHeight="1">
      <c r="B34" s="152" t="s">
        <v>776</v>
      </c>
      <c r="C34" s="152"/>
      <c r="D34" s="152" t="s">
        <v>777</v>
      </c>
      <c r="E34" s="152"/>
      <c r="F34" s="152"/>
      <c r="G34" s="152"/>
      <c r="H34" s="21"/>
    </row>
    <row r="35" spans="2:8" ht="31.95" customHeight="1">
      <c r="B35" s="153"/>
      <c r="C35" s="153"/>
      <c r="D35" s="153" t="s">
        <v>778</v>
      </c>
      <c r="E35" s="153"/>
      <c r="F35" s="153" t="s">
        <v>779</v>
      </c>
      <c r="G35" s="153"/>
      <c r="H35" s="21"/>
    </row>
    <row r="36" spans="2:8" ht="19.95" customHeight="1">
      <c r="B36" s="133"/>
      <c r="C36" s="133"/>
      <c r="D36" s="133"/>
      <c r="E36" s="133"/>
      <c r="F36" s="133"/>
      <c r="G36" s="133"/>
      <c r="H36" s="21"/>
    </row>
    <row r="37" spans="2:8">
      <c r="B37" s="21"/>
      <c r="C37" s="21"/>
      <c r="D37" s="21"/>
      <c r="E37" s="21"/>
      <c r="F37" s="21"/>
      <c r="G37" s="21"/>
      <c r="H37" s="21"/>
    </row>
    <row r="38" spans="2:8">
      <c r="B38" s="21"/>
      <c r="C38" s="21"/>
      <c r="D38" s="21"/>
      <c r="E38" s="21"/>
      <c r="F38" s="21"/>
      <c r="G38" s="21"/>
      <c r="H38" s="21"/>
    </row>
    <row r="39" spans="2:8">
      <c r="B39" s="110" t="s">
        <v>755</v>
      </c>
      <c r="C39" s="110"/>
      <c r="D39" s="110"/>
      <c r="E39" s="110"/>
      <c r="F39" s="110"/>
      <c r="G39" s="110"/>
      <c r="H39" s="110"/>
    </row>
    <row r="40" spans="2:8">
      <c r="B40" s="100" t="s">
        <v>756</v>
      </c>
      <c r="C40" s="100"/>
      <c r="D40" s="100"/>
      <c r="E40" s="100"/>
      <c r="F40" s="100"/>
      <c r="G40" s="100"/>
      <c r="H40" s="100"/>
    </row>
    <row r="41" spans="2:8">
      <c r="B41" s="100" t="s">
        <v>757</v>
      </c>
      <c r="C41" s="100"/>
      <c r="D41" s="100"/>
      <c r="E41" s="100"/>
      <c r="F41" s="100"/>
      <c r="G41" s="100"/>
      <c r="H41" s="100"/>
    </row>
  </sheetData>
  <mergeCells count="24">
    <mergeCell ref="B29:H29"/>
    <mergeCell ref="B3:H4"/>
    <mergeCell ref="B6:H6"/>
    <mergeCell ref="B8:H9"/>
    <mergeCell ref="B11:H12"/>
    <mergeCell ref="B14:H15"/>
    <mergeCell ref="B17:H18"/>
    <mergeCell ref="B20:H21"/>
    <mergeCell ref="B23:H23"/>
    <mergeCell ref="B24:H24"/>
    <mergeCell ref="B26:H26"/>
    <mergeCell ref="B27:H27"/>
    <mergeCell ref="B41:H41"/>
    <mergeCell ref="B31:H31"/>
    <mergeCell ref="B32:H32"/>
    <mergeCell ref="B34:C35"/>
    <mergeCell ref="D34:G34"/>
    <mergeCell ref="D35:E35"/>
    <mergeCell ref="F35:G35"/>
    <mergeCell ref="B36:C36"/>
    <mergeCell ref="D36:E36"/>
    <mergeCell ref="F36:G36"/>
    <mergeCell ref="B39:H39"/>
    <mergeCell ref="B40:H40"/>
  </mergeCells>
  <phoneticPr fontId="6" type="noConversion"/>
  <printOptions horizontalCentered="1"/>
  <pageMargins left="0.39370138888888889" right="0.39370138888888889" top="0.27559097222222223" bottom="0.27559097222222223" header="0.15748055555555554" footer="0.15748055555555554"/>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7346"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0BB29C-1766-479D-8F3A-41FC500B0E93}">
  <sheetPr codeName="Sheet57"/>
  <dimension ref="A1:I45"/>
  <sheetViews>
    <sheetView workbookViewId="0"/>
  </sheetViews>
  <sheetFormatPr defaultRowHeight="17.399999999999999"/>
  <cols>
    <col min="1" max="1" width="3.19921875" customWidth="1"/>
    <col min="2" max="2" width="10.69921875" customWidth="1"/>
    <col min="3" max="9" width="9.69921875" customWidth="1"/>
  </cols>
  <sheetData>
    <row r="1" spans="1:9">
      <c r="A1" s="20"/>
    </row>
    <row r="3" spans="1:9">
      <c r="B3" s="109" t="str">
        <f>IF(기초자료입력!C4&lt;&gt;"",기초자료입력!C4,"○○학교")&amp;" 교복 구매 안내문"</f>
        <v>○○학교 교복 구매 안내문</v>
      </c>
      <c r="C3" s="110"/>
      <c r="D3" s="110"/>
      <c r="E3" s="110"/>
      <c r="F3" s="110"/>
      <c r="G3" s="110"/>
      <c r="H3" s="110"/>
      <c r="I3" s="21"/>
    </row>
    <row r="4" spans="1:9">
      <c r="B4" s="110"/>
      <c r="C4" s="110"/>
      <c r="D4" s="110"/>
      <c r="E4" s="110"/>
      <c r="F4" s="110"/>
      <c r="G4" s="110"/>
      <c r="H4" s="110"/>
      <c r="I4" s="21"/>
    </row>
    <row r="5" spans="1:9">
      <c r="B5" s="21"/>
      <c r="C5" s="21"/>
      <c r="D5" s="21"/>
      <c r="E5" s="21"/>
      <c r="F5" s="21"/>
      <c r="G5" s="21"/>
      <c r="H5" s="21"/>
      <c r="I5" s="21"/>
    </row>
    <row r="6" spans="1:9">
      <c r="B6" s="100" t="str">
        <f>"안녕하십니까? "&amp;IF(기초자료입력!C4&lt;&gt;"",기초자료입력!C4,"○○학교")&amp;" 입학을 진심으로 축하드립니다."</f>
        <v>안녕하십니까? ○○학교 입학을 진심으로 축하드립니다.</v>
      </c>
      <c r="C6" s="100"/>
      <c r="D6" s="100"/>
      <c r="E6" s="100"/>
      <c r="F6" s="100"/>
      <c r="G6" s="100"/>
      <c r="H6" s="100"/>
      <c r="I6" s="21"/>
    </row>
    <row r="7" spans="1:9">
      <c r="B7" s="21"/>
      <c r="C7" s="21"/>
      <c r="D7" s="21"/>
      <c r="E7" s="21"/>
      <c r="F7" s="21"/>
      <c r="G7" s="21"/>
      <c r="H7" s="21"/>
      <c r="I7" s="21"/>
    </row>
    <row r="8" spans="1:9" ht="30" customHeight="1">
      <c r="B8" s="103" t="s">
        <v>751</v>
      </c>
      <c r="C8" s="103"/>
      <c r="D8" s="103"/>
      <c r="E8" s="103"/>
      <c r="F8" s="103"/>
      <c r="G8" s="103"/>
      <c r="H8" s="103"/>
      <c r="I8" s="21"/>
    </row>
    <row r="9" spans="1:9">
      <c r="B9" s="103"/>
      <c r="C9" s="103"/>
      <c r="D9" s="103"/>
      <c r="E9" s="103"/>
      <c r="F9" s="103"/>
      <c r="G9" s="103"/>
      <c r="H9" s="103"/>
      <c r="I9" s="21"/>
    </row>
    <row r="10" spans="1:9">
      <c r="B10" s="21"/>
      <c r="C10" s="21"/>
      <c r="D10" s="21"/>
      <c r="E10" s="21"/>
      <c r="F10" s="21"/>
      <c r="G10" s="21"/>
      <c r="H10" s="21"/>
      <c r="I10" s="21"/>
    </row>
    <row r="11" spans="1:9" ht="60" customHeight="1">
      <c r="B11" s="103" t="str">
        <f>"우리 학교에서는 "&amp;IF(기초자료입력!C5&lt;&gt;"",기초자료입력!C5,"20○○")&amp;"년 ○월 ○일부터 교복을 착용하며, ○○○(연락처: ○○○-○○○-○○○)을 "&amp;IF(기초자료입력!C5&lt;&gt;"",기초자료입력!C5,"20○○")&amp;"학년도 신입생 교복 사업자로 선정하였고 치수측정기간은 ○월 ○일 ~ ○월 ○일이며 「교복 학교주관구매」로 구입하는 교복의 단가는 000,000원(동복 000원, 하복 000원)입니다."</f>
        <v>우리 학교에서는 20○○년 ○월 ○일부터 교복을 착용하며, ○○○(연락처: ○○○-○○○-○○○)을 20○○학년도 신입생 교복 사업자로 선정하였고 치수측정기간은 ○월 ○일 ~ ○월 ○일이며 「교복 학교주관구매」로 구입하는 교복의 단가는 000,000원(동복 000원, 하복 000원)입니다.</v>
      </c>
      <c r="C11" s="103"/>
      <c r="D11" s="103"/>
      <c r="E11" s="103"/>
      <c r="F11" s="103"/>
      <c r="G11" s="103"/>
      <c r="H11" s="103"/>
      <c r="I11" s="21"/>
    </row>
    <row r="12" spans="1:9">
      <c r="B12" s="103"/>
      <c r="C12" s="103"/>
      <c r="D12" s="103"/>
      <c r="E12" s="103"/>
      <c r="F12" s="103"/>
      <c r="G12" s="103"/>
      <c r="H12" s="103"/>
      <c r="I12" s="21"/>
    </row>
    <row r="13" spans="1:9">
      <c r="B13" s="21"/>
      <c r="C13" s="21"/>
      <c r="D13" s="21"/>
      <c r="E13" s="21"/>
      <c r="F13" s="21"/>
      <c r="G13" s="21"/>
      <c r="H13" s="21"/>
      <c r="I13" s="21"/>
    </row>
    <row r="14" spans="1:9" ht="30" customHeight="1">
      <c r="B14" s="103" t="s">
        <v>752</v>
      </c>
      <c r="C14" s="103"/>
      <c r="D14" s="103"/>
      <c r="E14" s="103"/>
      <c r="F14" s="103"/>
      <c r="G14" s="103"/>
      <c r="H14" s="103"/>
      <c r="I14" s="21"/>
    </row>
    <row r="15" spans="1:9">
      <c r="B15" s="103"/>
      <c r="C15" s="103"/>
      <c r="D15" s="103"/>
      <c r="E15" s="103"/>
      <c r="F15" s="103"/>
      <c r="G15" s="103"/>
      <c r="H15" s="103"/>
      <c r="I15" s="21"/>
    </row>
    <row r="16" spans="1:9">
      <c r="B16" s="21"/>
      <c r="C16" s="21"/>
      <c r="D16" s="21"/>
      <c r="E16" s="21"/>
      <c r="F16" s="21"/>
      <c r="G16" s="21"/>
      <c r="H16" s="21"/>
      <c r="I16" s="21"/>
    </row>
    <row r="17" spans="2:9" ht="30" customHeight="1">
      <c r="B17" s="103" t="str">
        <f>"정확한 교복 물량 파악을 위하여 신입생들은 아래의 &lt;교복 구매 신청서&gt;와 &lt;교복 신청 수량&gt;을 작성하여 "&amp;IF(기초자료입력!C18&lt;&gt;"",TEXT(기초자료입력!C18,"yyyy.mm.dd."),"○○년 ○월 ○일")&amp;"까지 학교로 반드시 제출하여 주시기 바랍니다."</f>
        <v>정확한 교복 물량 파악을 위하여 신입생들은 아래의 &lt;교복 구매 신청서&gt;와 &lt;교복 신청 수량&gt;을 작성하여 ○○년 ○월 ○일까지 학교로 반드시 제출하여 주시기 바랍니다.</v>
      </c>
      <c r="C17" s="103"/>
      <c r="D17" s="103"/>
      <c r="E17" s="103"/>
      <c r="F17" s="103"/>
      <c r="G17" s="103"/>
      <c r="H17" s="103"/>
      <c r="I17" s="21"/>
    </row>
    <row r="18" spans="2:9">
      <c r="B18" s="103"/>
      <c r="C18" s="103"/>
      <c r="D18" s="103"/>
      <c r="E18" s="103"/>
      <c r="F18" s="103"/>
      <c r="G18" s="103"/>
      <c r="H18" s="103"/>
      <c r="I18" s="21"/>
    </row>
    <row r="19" spans="2:9">
      <c r="B19" s="21"/>
      <c r="C19" s="21"/>
      <c r="D19" s="21"/>
      <c r="E19" s="21"/>
      <c r="F19" s="21"/>
      <c r="G19" s="21"/>
      <c r="H19" s="21"/>
      <c r="I19" s="21"/>
    </row>
    <row r="20" spans="2:9" ht="30" customHeight="1">
      <c r="B20" s="103" t="s">
        <v>753</v>
      </c>
      <c r="C20" s="103"/>
      <c r="D20" s="103"/>
      <c r="E20" s="103"/>
      <c r="F20" s="103"/>
      <c r="G20" s="103"/>
      <c r="H20" s="103"/>
      <c r="I20" s="21"/>
    </row>
    <row r="21" spans="2:9">
      <c r="B21" s="103"/>
      <c r="C21" s="103"/>
      <c r="D21" s="103"/>
      <c r="E21" s="103"/>
      <c r="F21" s="103"/>
      <c r="G21" s="103"/>
      <c r="H21" s="103"/>
      <c r="I21" s="21"/>
    </row>
    <row r="22" spans="2:9">
      <c r="B22" s="21"/>
      <c r="C22" s="21"/>
      <c r="D22" s="21"/>
      <c r="E22" s="21"/>
      <c r="F22" s="21"/>
      <c r="G22" s="21"/>
      <c r="H22" s="21"/>
      <c r="I22" s="21"/>
    </row>
    <row r="23" spans="2:9">
      <c r="B23" s="110" t="str">
        <f>IF(기초자료입력!C8&lt;&gt;"",TEXT(기초자료입력!C8,"yyyy. m. d."),"년  월  일")</f>
        <v>년  월  일</v>
      </c>
      <c r="C23" s="110"/>
      <c r="D23" s="110"/>
      <c r="E23" s="110"/>
      <c r="F23" s="110"/>
      <c r="G23" s="110"/>
      <c r="H23" s="110"/>
      <c r="I23" s="21"/>
    </row>
    <row r="24" spans="2:9">
      <c r="B24" s="109" t="str">
        <f>IF(기초자료입력!C4&lt;&gt;"",기초자료입력!C4&amp;"장","○○학교장")</f>
        <v>○○학교장</v>
      </c>
      <c r="C24" s="110"/>
      <c r="D24" s="110"/>
      <c r="E24" s="110"/>
      <c r="F24" s="110"/>
      <c r="G24" s="110"/>
      <c r="H24" s="110"/>
      <c r="I24" s="21"/>
    </row>
    <row r="25" spans="2:9">
      <c r="B25" s="21"/>
      <c r="C25" s="21"/>
      <c r="D25" s="21"/>
      <c r="E25" s="21"/>
      <c r="F25" s="21"/>
      <c r="G25" s="21"/>
      <c r="H25" s="21"/>
      <c r="I25" s="21"/>
    </row>
    <row r="26" spans="2:9">
      <c r="B26" s="110" t="s">
        <v>754</v>
      </c>
      <c r="C26" s="110"/>
      <c r="D26" s="110"/>
      <c r="E26" s="110"/>
      <c r="F26" s="110"/>
      <c r="G26" s="110"/>
      <c r="H26" s="110"/>
      <c r="I26" s="21"/>
    </row>
    <row r="27" spans="2:9">
      <c r="B27" s="21"/>
      <c r="C27" s="21"/>
      <c r="D27" s="21"/>
      <c r="E27" s="21"/>
      <c r="F27" s="21"/>
      <c r="G27" s="21"/>
      <c r="H27" s="21"/>
      <c r="I27" s="21"/>
    </row>
    <row r="28" spans="2:9">
      <c r="B28" s="109" t="str">
        <f>"&lt; "&amp;IF(기초자료입력!C5&lt;&gt;"",기초자료입력!C5,"20○○")&amp;"학년도 신입생 교복 구매 신청서 &gt;"</f>
        <v>&lt; 20○○학년도 신입생 교복 구매 신청서 &gt;</v>
      </c>
      <c r="C28" s="110"/>
      <c r="D28" s="110"/>
      <c r="E28" s="110"/>
      <c r="F28" s="110"/>
      <c r="G28" s="110"/>
      <c r="H28" s="110"/>
      <c r="I28" s="21"/>
    </row>
    <row r="29" spans="2:9">
      <c r="B29" s="110" t="s">
        <v>755</v>
      </c>
      <c r="C29" s="110"/>
      <c r="D29" s="110"/>
      <c r="E29" s="110"/>
      <c r="F29" s="110"/>
      <c r="G29" s="110"/>
      <c r="H29" s="110"/>
      <c r="I29" s="21"/>
    </row>
    <row r="30" spans="2:9">
      <c r="B30" s="100" t="s">
        <v>756</v>
      </c>
      <c r="C30" s="100"/>
      <c r="D30" s="100"/>
      <c r="E30" s="100"/>
      <c r="F30" s="100"/>
      <c r="G30" s="100"/>
      <c r="H30" s="100"/>
      <c r="I30" s="21"/>
    </row>
    <row r="31" spans="2:9">
      <c r="B31" s="100" t="s">
        <v>757</v>
      </c>
      <c r="C31" s="100"/>
      <c r="D31" s="100"/>
      <c r="E31" s="100"/>
      <c r="F31" s="100"/>
      <c r="G31" s="100"/>
      <c r="H31" s="100"/>
      <c r="I31" s="21"/>
    </row>
    <row r="32" spans="2:9">
      <c r="B32" s="21"/>
      <c r="C32" s="21"/>
      <c r="D32" s="21"/>
      <c r="E32" s="21"/>
      <c r="F32" s="21"/>
      <c r="G32" s="21"/>
      <c r="H32" s="21"/>
      <c r="I32" s="21"/>
    </row>
    <row r="33" spans="2:9">
      <c r="B33" s="88" t="s">
        <v>758</v>
      </c>
      <c r="C33" s="100"/>
      <c r="D33" s="100"/>
      <c r="E33" s="100"/>
      <c r="F33" s="100"/>
      <c r="G33" s="100"/>
      <c r="H33" s="100"/>
      <c r="I33" s="21"/>
    </row>
    <row r="34" spans="2:9">
      <c r="B34" s="100" t="s">
        <v>759</v>
      </c>
      <c r="C34" s="100"/>
      <c r="D34" s="100"/>
      <c r="E34" s="100"/>
      <c r="F34" s="100"/>
      <c r="G34" s="100"/>
      <c r="H34" s="100"/>
      <c r="I34" s="21"/>
    </row>
    <row r="35" spans="2:9">
      <c r="B35" s="63" t="s">
        <v>760</v>
      </c>
      <c r="C35" s="63" t="s">
        <v>48</v>
      </c>
      <c r="D35" s="63" t="s">
        <v>761</v>
      </c>
      <c r="E35" s="63" t="s">
        <v>762</v>
      </c>
      <c r="F35" s="63" t="s">
        <v>763</v>
      </c>
      <c r="G35" s="63" t="s">
        <v>48</v>
      </c>
      <c r="H35" s="63" t="s">
        <v>761</v>
      </c>
      <c r="I35" s="63" t="s">
        <v>762</v>
      </c>
    </row>
    <row r="36" spans="2:9">
      <c r="B36" s="29" t="s">
        <v>764</v>
      </c>
      <c r="C36" s="29"/>
      <c r="D36" s="29"/>
      <c r="E36" s="29"/>
      <c r="F36" s="29" t="s">
        <v>764</v>
      </c>
      <c r="G36" s="29"/>
      <c r="H36" s="29"/>
      <c r="I36" s="29"/>
    </row>
    <row r="37" spans="2:9">
      <c r="B37" s="29" t="s">
        <v>765</v>
      </c>
      <c r="C37" s="29"/>
      <c r="D37" s="29"/>
      <c r="E37" s="29"/>
      <c r="F37" s="29" t="s">
        <v>766</v>
      </c>
      <c r="G37" s="29"/>
      <c r="H37" s="29"/>
      <c r="I37" s="29"/>
    </row>
    <row r="38" spans="2:9">
      <c r="B38" s="29" t="s">
        <v>767</v>
      </c>
      <c r="C38" s="29"/>
      <c r="D38" s="29"/>
      <c r="E38" s="29"/>
      <c r="F38" s="29" t="s">
        <v>767</v>
      </c>
      <c r="G38" s="29"/>
      <c r="H38" s="29"/>
      <c r="I38" s="29"/>
    </row>
    <row r="39" spans="2:9">
      <c r="B39" s="29" t="s">
        <v>767</v>
      </c>
      <c r="C39" s="29"/>
      <c r="D39" s="29"/>
      <c r="E39" s="29"/>
      <c r="F39" s="29" t="s">
        <v>767</v>
      </c>
      <c r="G39" s="29"/>
      <c r="H39" s="29"/>
      <c r="I39" s="29"/>
    </row>
    <row r="40" spans="2:9">
      <c r="B40" s="29" t="s">
        <v>767</v>
      </c>
      <c r="C40" s="29"/>
      <c r="D40" s="29"/>
      <c r="E40" s="29"/>
      <c r="F40" s="29" t="s">
        <v>767</v>
      </c>
      <c r="G40" s="29"/>
      <c r="H40" s="29"/>
      <c r="I40" s="29"/>
    </row>
    <row r="41" spans="2:9">
      <c r="B41" s="29" t="s">
        <v>767</v>
      </c>
      <c r="C41" s="29"/>
      <c r="D41" s="29"/>
      <c r="E41" s="29"/>
      <c r="F41" s="29" t="s">
        <v>767</v>
      </c>
      <c r="G41" s="29"/>
      <c r="H41" s="29"/>
      <c r="I41" s="29"/>
    </row>
    <row r="42" spans="2:9">
      <c r="B42" s="29" t="s">
        <v>296</v>
      </c>
      <c r="C42" s="29"/>
      <c r="D42" s="29"/>
      <c r="E42" s="29"/>
      <c r="F42" s="29" t="s">
        <v>296</v>
      </c>
      <c r="G42" s="29"/>
      <c r="H42" s="29"/>
      <c r="I42" s="29"/>
    </row>
    <row r="43" spans="2:9">
      <c r="B43" s="21"/>
      <c r="C43" s="21"/>
      <c r="D43" s="21"/>
      <c r="E43" s="21"/>
      <c r="F43" s="21"/>
      <c r="G43" s="21"/>
      <c r="H43" s="21"/>
      <c r="I43" s="21"/>
    </row>
    <row r="44" spans="2:9">
      <c r="B44" s="86" t="s">
        <v>768</v>
      </c>
      <c r="C44" s="100"/>
      <c r="D44" s="100"/>
      <c r="E44" s="100"/>
      <c r="F44" s="100"/>
      <c r="G44" s="100"/>
      <c r="H44" s="100"/>
      <c r="I44" s="21"/>
    </row>
    <row r="45" spans="2:9">
      <c r="B45" s="109" t="str">
        <f>IF(기초자료입력!C4&lt;&gt;"",기초자료입력!C4&amp;"장 귀하","○○학교장 귀하")</f>
        <v>○○학교장 귀하</v>
      </c>
      <c r="C45" s="110"/>
      <c r="D45" s="110"/>
      <c r="E45" s="110"/>
      <c r="F45" s="110"/>
      <c r="G45" s="110"/>
      <c r="H45" s="110"/>
      <c r="I45" s="21"/>
    </row>
  </sheetData>
  <mergeCells count="18">
    <mergeCell ref="B17:H18"/>
    <mergeCell ref="B3:H4"/>
    <mergeCell ref="B6:H6"/>
    <mergeCell ref="B8:H9"/>
    <mergeCell ref="B11:H12"/>
    <mergeCell ref="B14:H15"/>
    <mergeCell ref="B45:H45"/>
    <mergeCell ref="B20:H21"/>
    <mergeCell ref="B23:H23"/>
    <mergeCell ref="B24:H24"/>
    <mergeCell ref="B26:H26"/>
    <mergeCell ref="B28:H28"/>
    <mergeCell ref="B29:H29"/>
    <mergeCell ref="B30:H30"/>
    <mergeCell ref="B31:H31"/>
    <mergeCell ref="B33:H33"/>
    <mergeCell ref="B34:H34"/>
    <mergeCell ref="B44:H44"/>
  </mergeCells>
  <phoneticPr fontId="6" type="noConversion"/>
  <printOptions horizontalCentered="1"/>
  <pageMargins left="0.39370138888888889" right="0.39370138888888889" top="0.23622083333333332" bottom="0.23622083333333332" header="0.11811041666666666" footer="0.11811041666666666"/>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8369"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8370"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9D89E4-0241-48EE-B759-172A9E57B0FA}">
  <sheetPr codeName="Sheet58"/>
  <dimension ref="A1:H25"/>
  <sheetViews>
    <sheetView workbookViewId="0"/>
  </sheetViews>
  <sheetFormatPr defaultRowHeight="17.399999999999999"/>
  <cols>
    <col min="1" max="1" width="3.19921875" customWidth="1"/>
    <col min="2" max="2" width="10.69921875" customWidth="1"/>
    <col min="3" max="8" width="9.69921875" customWidth="1"/>
  </cols>
  <sheetData>
    <row r="1" spans="1:8">
      <c r="A1" s="20"/>
    </row>
    <row r="2" spans="1:8">
      <c r="G2" s="144" t="str">
        <f>IF(기초자료입력!C4&lt;&gt;"",기초자료입력!C4,"○ ○ 학 교")</f>
        <v>○ ○ 학 교</v>
      </c>
      <c r="H2" s="94"/>
    </row>
    <row r="3" spans="1:8">
      <c r="B3" s="93" t="s">
        <v>780</v>
      </c>
      <c r="C3" s="94"/>
      <c r="D3" s="94"/>
      <c r="E3" s="94"/>
      <c r="F3" s="94"/>
      <c r="G3" s="94"/>
      <c r="H3" s="94"/>
    </row>
    <row r="4" spans="1:8">
      <c r="B4" s="94"/>
      <c r="C4" s="94"/>
      <c r="D4" s="94"/>
      <c r="E4" s="94"/>
      <c r="F4" s="94"/>
      <c r="G4" s="94"/>
      <c r="H4" s="94"/>
    </row>
    <row r="5" spans="1:8">
      <c r="B5" s="55" t="s">
        <v>13</v>
      </c>
      <c r="C5" s="37" t="str">
        <f>IF(기초자료입력!C9&lt;&gt;"",기초자료입력!C9,"")</f>
        <v/>
      </c>
      <c r="D5" s="37"/>
      <c r="E5" s="55" t="s">
        <v>291</v>
      </c>
      <c r="F5" s="37" t="str">
        <f>IF(기초자료입력!C8&lt;&gt;"",TEXT(기초자료입력!C8,"yyyy-mm-dd"),"")</f>
        <v/>
      </c>
      <c r="G5" s="37"/>
      <c r="H5" s="37"/>
    </row>
    <row r="6" spans="1:8">
      <c r="B6" s="37"/>
      <c r="C6" s="37"/>
      <c r="D6" s="37"/>
      <c r="E6" s="37"/>
      <c r="F6" s="37"/>
      <c r="G6" s="37"/>
      <c r="H6" s="37"/>
    </row>
    <row r="7" spans="1:8">
      <c r="B7" s="55" t="s">
        <v>292</v>
      </c>
      <c r="C7" s="87" t="s">
        <v>737</v>
      </c>
      <c r="D7" s="87"/>
      <c r="E7" s="87"/>
      <c r="F7" s="87"/>
      <c r="G7" s="87"/>
      <c r="H7" s="87"/>
    </row>
    <row r="8" spans="1:8">
      <c r="B8" s="55" t="s">
        <v>297</v>
      </c>
      <c r="C8" s="87"/>
      <c r="D8" s="87"/>
      <c r="E8" s="87"/>
      <c r="F8" s="87"/>
      <c r="G8" s="87"/>
      <c r="H8" s="87"/>
    </row>
    <row r="9" spans="1:8">
      <c r="B9" s="55" t="s">
        <v>293</v>
      </c>
      <c r="C9" s="89" t="str">
        <f>IF(기초자료입력!C22&lt;&gt;"",기초자료입력!C22,"교복 학교주관구매 만족도 설문조사 실시")</f>
        <v>교복 학교주관구매 만족도 설문조사 실시</v>
      </c>
      <c r="D9" s="87"/>
      <c r="E9" s="87"/>
      <c r="F9" s="87"/>
      <c r="G9" s="87"/>
      <c r="H9" s="87"/>
    </row>
    <row r="10" spans="1:8">
      <c r="B10" s="38"/>
      <c r="C10" s="38"/>
      <c r="D10" s="38"/>
      <c r="E10" s="38"/>
      <c r="F10" s="38"/>
      <c r="G10" s="38"/>
      <c r="H10" s="38"/>
    </row>
    <row r="11" spans="1:8">
      <c r="B11" s="88" t="s">
        <v>738</v>
      </c>
      <c r="C11" s="86"/>
      <c r="D11" s="86"/>
      <c r="E11" s="86"/>
      <c r="F11" s="86"/>
      <c r="G11" s="86"/>
      <c r="H11" s="86"/>
    </row>
    <row r="12" spans="1:8">
      <c r="B12" s="38"/>
      <c r="C12" s="38"/>
      <c r="D12" s="38"/>
      <c r="E12" s="38"/>
      <c r="F12" s="38"/>
      <c r="G12" s="38"/>
      <c r="H12" s="38"/>
    </row>
    <row r="13" spans="1:8" ht="30" customHeight="1">
      <c r="B13" s="104" t="s">
        <v>781</v>
      </c>
      <c r="C13" s="104"/>
      <c r="D13" s="104"/>
      <c r="E13" s="104"/>
      <c r="F13" s="104"/>
      <c r="G13" s="104"/>
      <c r="H13" s="104"/>
    </row>
    <row r="14" spans="1:8">
      <c r="B14" s="38"/>
      <c r="C14" s="38"/>
      <c r="D14" s="38"/>
      <c r="E14" s="38"/>
      <c r="F14" s="38"/>
      <c r="G14" s="38"/>
      <c r="H14" s="38"/>
    </row>
    <row r="15" spans="1:8">
      <c r="B15" s="53" t="s">
        <v>740</v>
      </c>
      <c r="C15" s="86" t="str">
        <f>IF(기초자료입력!C5&lt;&gt;"",기초자료입력!C5,"20○○")&amp;"학년도 교복 학교주관구매 참여 학생 및 학부모"</f>
        <v>20○○학년도 교복 학교주관구매 참여 학생 및 학부모</v>
      </c>
      <c r="D15" s="86"/>
      <c r="E15" s="86"/>
      <c r="F15" s="86"/>
      <c r="G15" s="86"/>
      <c r="H15" s="86"/>
    </row>
    <row r="16" spans="1:8" ht="28.05" customHeight="1">
      <c r="B16" s="53" t="s">
        <v>741</v>
      </c>
      <c r="C16" s="104" t="str">
        <f>IF(기초자료입력!C12&lt;&gt;"",기초자료입력!C12&amp;" 관련 가격, 품질, 구매절차 및 사후관리 등 전반에 걸친 만족도 조사","가격, 품질, 구매절차 및 사후관리 등 전반에 걸친 만족도 조사")</f>
        <v>가격, 품질, 구매절차 및 사후관리 등 전반에 걸친 만족도 조사</v>
      </c>
      <c r="D16" s="104"/>
      <c r="E16" s="104"/>
      <c r="F16" s="104"/>
      <c r="G16" s="104"/>
      <c r="H16" s="104"/>
    </row>
    <row r="17" spans="2:8">
      <c r="B17" s="38"/>
      <c r="C17" s="38"/>
      <c r="D17" s="38"/>
      <c r="E17" s="38"/>
      <c r="F17" s="38"/>
      <c r="G17" s="38"/>
      <c r="H17" s="38"/>
    </row>
    <row r="18" spans="2:8">
      <c r="B18" s="88" t="s">
        <v>782</v>
      </c>
      <c r="C18" s="86"/>
      <c r="D18" s="86"/>
      <c r="E18" s="86"/>
      <c r="F18" s="86"/>
      <c r="G18" s="86"/>
      <c r="H18" s="86"/>
    </row>
    <row r="19" spans="2:8">
      <c r="B19" s="38"/>
      <c r="C19" s="38"/>
      <c r="D19" s="38"/>
      <c r="E19" s="38"/>
      <c r="F19" s="38"/>
      <c r="G19" s="38"/>
      <c r="H19" s="38"/>
    </row>
    <row r="20" spans="2:8">
      <c r="B20" s="38"/>
      <c r="C20" s="38"/>
      <c r="D20" s="38"/>
      <c r="E20" s="38"/>
      <c r="F20" s="38"/>
      <c r="G20" s="38"/>
      <c r="H20" s="38"/>
    </row>
    <row r="21" spans="2:8">
      <c r="B21" s="38"/>
      <c r="C21" s="38"/>
      <c r="D21" s="38"/>
      <c r="E21" s="38"/>
      <c r="F21" s="38"/>
      <c r="G21" s="38"/>
      <c r="H21" s="38"/>
    </row>
    <row r="22" spans="2:8" ht="28.05" customHeight="1">
      <c r="B22" s="38"/>
      <c r="C22" s="38"/>
      <c r="D22" s="38"/>
      <c r="E22" s="38"/>
      <c r="F22" s="56" t="str">
        <f>"담당"&amp;CHAR(10)&amp;IF(기초자료입력!$C$10&lt;&gt;"",기초자료입력!$C$10,"")</f>
        <v xml:space="preserve">담당
</v>
      </c>
      <c r="G22" s="56" t="s">
        <v>304</v>
      </c>
      <c r="H22" s="56" t="str">
        <f>"교장"&amp;CHAR(10)&amp;IF(기초자료입력!$F$10&lt;&gt;"",기초자료입력!$F$10,"")</f>
        <v xml:space="preserve">교장
</v>
      </c>
    </row>
    <row r="23" spans="2:8">
      <c r="B23" s="53" t="s">
        <v>305</v>
      </c>
      <c r="C23" s="86" t="str">
        <f>IF(기초자료입력!C9&lt;&gt;"",기초자료입력!C9&amp;IF(기초자료입력!C8&lt;&gt;"","("&amp;TEXT(기초자료입력!C8,"yyyy.m.d.")&amp;")",""),"")</f>
        <v/>
      </c>
      <c r="D23" s="86"/>
      <c r="E23" s="86"/>
      <c r="F23" s="55" t="s">
        <v>306</v>
      </c>
      <c r="G23" s="87"/>
      <c r="H23" s="87"/>
    </row>
    <row r="24" spans="2:8">
      <c r="B24" s="53" t="s">
        <v>307</v>
      </c>
      <c r="C24" s="38"/>
      <c r="D24" s="53" t="s">
        <v>308</v>
      </c>
      <c r="E24" s="86" t="str">
        <f>IFERROR(INDEX(학교정보!$F$2:$F$791,MATCH(기초자료입력!$C$4,학교정보!$E$2:$E$791,0)),"")</f>
        <v/>
      </c>
      <c r="F24" s="87"/>
      <c r="G24" s="87"/>
      <c r="H24" s="87"/>
    </row>
    <row r="25" spans="2:8">
      <c r="B25" s="53" t="s">
        <v>309</v>
      </c>
      <c r="C25" s="38" t="str">
        <f>IFERROR(INDEX(학교정보!$G$2:$G$791,MATCH(기초자료입력!$C$4,학교정보!$E$2:$E$791,0)),"")</f>
        <v/>
      </c>
      <c r="D25" s="53" t="s">
        <v>310</v>
      </c>
      <c r="E25" s="38"/>
      <c r="F25" s="55" t="s">
        <v>311</v>
      </c>
      <c r="G25" s="87"/>
      <c r="H25" s="87"/>
    </row>
  </sheetData>
  <mergeCells count="14">
    <mergeCell ref="B11:H11"/>
    <mergeCell ref="G2:H2"/>
    <mergeCell ref="B3:H4"/>
    <mergeCell ref="C7:H7"/>
    <mergeCell ref="C8:H8"/>
    <mergeCell ref="C9:H9"/>
    <mergeCell ref="E24:H24"/>
    <mergeCell ref="G25:H25"/>
    <mergeCell ref="B13:H13"/>
    <mergeCell ref="C15:H15"/>
    <mergeCell ref="C16:H16"/>
    <mergeCell ref="B18:H18"/>
    <mergeCell ref="C23:E23"/>
    <mergeCell ref="G23:H23"/>
  </mergeCells>
  <phoneticPr fontId="6" type="noConversion"/>
  <printOptions horizontalCentered="1"/>
  <pageMargins left="0.39370138888888889" right="0.39370138888888889" top="0.39370138888888889" bottom="0.39370138888888889" header="0.19685069444444445" footer="0.19685069444444445"/>
  <pageSetup paperSize="9" fitToWidth="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9393" r:id="rId4" name="btn목록_서식선택">
              <controlPr defaultSize="0" print="0" autoFill="0" autoPict="0" macro="이동_서식선택출력">
                <anchor moveWithCells="1" sizeWithCells="1">
                  <from>
                    <xdr:col>13</xdr:col>
                    <xdr:colOff>0</xdr:colOff>
                    <xdr:row>0</xdr:row>
                    <xdr:rowOff>0</xdr:rowOff>
                  </from>
                  <to>
                    <xdr:col>14</xdr:col>
                    <xdr:colOff>594360</xdr:colOff>
                    <xdr:row>1</xdr:row>
                    <xdr:rowOff>7620</xdr:rowOff>
                  </to>
                </anchor>
              </controlPr>
            </control>
          </mc:Choice>
        </mc:AlternateContent>
        <mc:AlternateContent xmlns:mc="http://schemas.openxmlformats.org/markup-compatibility/2006">
          <mc:Choice Requires="x14">
            <control shapeId="59394" r:id="rId5" name="btn목록_계약방법">
              <controlPr defaultSize="0" print="0" autoFill="0" autoPict="0" macro="이동_계약방법안내">
                <anchor moveWithCells="1" sizeWithCells="1">
                  <from>
                    <xdr:col>14</xdr:col>
                    <xdr:colOff>662940</xdr:colOff>
                    <xdr:row>0</xdr:row>
                    <xdr:rowOff>0</xdr:rowOff>
                  </from>
                  <to>
                    <xdr:col>16</xdr:col>
                    <xdr:colOff>586740</xdr:colOff>
                    <xdr:row>1</xdr:row>
                    <xdr:rowOff>7620</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52235C-F9F2-4488-8981-0031C4E35146}">
  <sheetPr codeName="Sheet59"/>
  <dimension ref="A1:I35"/>
  <sheetViews>
    <sheetView workbookViewId="0"/>
  </sheetViews>
  <sheetFormatPr defaultRowHeight="17.399999999999999"/>
  <cols>
    <col min="1" max="1" width="3.19921875" customWidth="1"/>
    <col min="2" max="2" width="14.69921875" customWidth="1"/>
    <col min="3" max="3" width="6.69921875" customWidth="1"/>
    <col min="4" max="4" width="24.69921875" customWidth="1"/>
    <col min="5" max="9" width="7.69921875" customWidth="1"/>
  </cols>
  <sheetData>
    <row r="1" spans="1:9">
      <c r="A1" s="20"/>
    </row>
    <row r="3" spans="1:9">
      <c r="B3" s="93" t="str">
        <f>IF(기초자료입력!C22&lt;&gt;"",기초자료입력!C22,"교복 학교주관구매 만족도 조사(동복/하복)")</f>
        <v>교복 학교주관구매 만족도 조사(동복/하복)</v>
      </c>
      <c r="C3" s="116"/>
      <c r="D3" s="116"/>
      <c r="E3" s="116"/>
      <c r="F3" s="116"/>
      <c r="G3" s="116"/>
      <c r="H3" s="116"/>
      <c r="I3" s="116"/>
    </row>
    <row r="4" spans="1:9">
      <c r="B4" s="116"/>
      <c r="C4" s="116"/>
      <c r="D4" s="116"/>
      <c r="E4" s="116"/>
      <c r="F4" s="116"/>
      <c r="G4" s="116"/>
      <c r="H4" s="116"/>
      <c r="I4" s="116"/>
    </row>
    <row r="5" spans="1:9">
      <c r="B5" s="38"/>
      <c r="C5" s="38"/>
      <c r="D5" s="38"/>
      <c r="E5" s="38"/>
      <c r="F5" s="38"/>
      <c r="G5" s="38"/>
      <c r="H5" s="38"/>
      <c r="I5" s="38"/>
    </row>
    <row r="6" spans="1:9" ht="30" customHeight="1">
      <c r="B6" s="103" t="s">
        <v>783</v>
      </c>
      <c r="C6" s="103"/>
      <c r="D6" s="103"/>
      <c r="E6" s="103"/>
      <c r="F6" s="103"/>
      <c r="G6" s="103"/>
      <c r="H6" s="103"/>
      <c r="I6" s="103"/>
    </row>
    <row r="7" spans="1:9" ht="30" customHeight="1">
      <c r="B7" s="103" t="s">
        <v>784</v>
      </c>
      <c r="C7" s="103"/>
      <c r="D7" s="103"/>
      <c r="E7" s="103"/>
      <c r="F7" s="103"/>
      <c r="G7" s="103"/>
      <c r="H7" s="103"/>
      <c r="I7" s="103"/>
    </row>
    <row r="8" spans="1:9">
      <c r="B8" s="21"/>
      <c r="C8" s="21"/>
      <c r="D8" s="21"/>
      <c r="E8" s="21"/>
      <c r="F8" s="21"/>
      <c r="G8" s="21"/>
      <c r="H8" s="21"/>
      <c r="I8" s="21"/>
    </row>
    <row r="9" spans="1:9">
      <c r="B9" s="109" t="str">
        <f>IF(기초자료입력!C4&lt;&gt;"",기초자료입력!C4,"○○○학교")&amp;" 교복선정위원회"</f>
        <v>○○○학교 교복선정위원회</v>
      </c>
      <c r="C9" s="110"/>
      <c r="D9" s="110"/>
      <c r="E9" s="110"/>
      <c r="F9" s="110"/>
      <c r="G9" s="110"/>
      <c r="H9" s="110"/>
      <c r="I9" s="110"/>
    </row>
    <row r="10" spans="1:9">
      <c r="B10" s="110" t="str">
        <f>IF(기초자료입력!C5&lt;&gt;"",기초자료입력!C5,"20○○")&amp;"학년도 / 해당란에 「○」표로 기재"</f>
        <v>20○○학년도 / 해당란에 「○」표로 기재</v>
      </c>
      <c r="C10" s="110"/>
      <c r="D10" s="110"/>
      <c r="E10" s="110"/>
      <c r="F10" s="110"/>
      <c r="G10" s="110"/>
      <c r="H10" s="110"/>
      <c r="I10" s="110"/>
    </row>
    <row r="11" spans="1:9">
      <c r="B11" s="38"/>
      <c r="C11" s="38"/>
      <c r="D11" s="38"/>
      <c r="E11" s="38"/>
      <c r="F11" s="38"/>
      <c r="G11" s="38"/>
      <c r="H11" s="38"/>
      <c r="I11" s="38"/>
    </row>
    <row r="12" spans="1:9">
      <c r="B12" s="63" t="s">
        <v>785</v>
      </c>
      <c r="C12" s="63" t="s">
        <v>326</v>
      </c>
      <c r="D12" s="63" t="s">
        <v>786</v>
      </c>
      <c r="E12" s="63" t="s">
        <v>787</v>
      </c>
      <c r="F12" s="63" t="s">
        <v>788</v>
      </c>
      <c r="G12" s="63" t="s">
        <v>789</v>
      </c>
      <c r="H12" s="63" t="s">
        <v>790</v>
      </c>
      <c r="I12" s="63" t="s">
        <v>791</v>
      </c>
    </row>
    <row r="13" spans="1:9">
      <c r="B13" s="63"/>
      <c r="C13" s="63"/>
      <c r="D13" s="63"/>
      <c r="E13" s="63">
        <v>10</v>
      </c>
      <c r="F13" s="63">
        <v>8</v>
      </c>
      <c r="G13" s="63">
        <v>6</v>
      </c>
      <c r="H13" s="63">
        <v>4</v>
      </c>
      <c r="I13" s="63">
        <v>2</v>
      </c>
    </row>
    <row r="14" spans="1:9" ht="28.05" customHeight="1">
      <c r="B14" s="33" t="s">
        <v>792</v>
      </c>
      <c r="C14" s="37">
        <v>1</v>
      </c>
      <c r="D14" s="33" t="s">
        <v>793</v>
      </c>
      <c r="E14" s="37"/>
      <c r="F14" s="37"/>
      <c r="G14" s="37"/>
      <c r="H14" s="37"/>
      <c r="I14" s="37"/>
    </row>
    <row r="15" spans="1:9" ht="28.05" customHeight="1">
      <c r="B15" s="33" t="s">
        <v>794</v>
      </c>
      <c r="C15" s="37">
        <v>2</v>
      </c>
      <c r="D15" s="33" t="s">
        <v>795</v>
      </c>
      <c r="E15" s="37"/>
      <c r="F15" s="37"/>
      <c r="G15" s="37"/>
      <c r="H15" s="37"/>
      <c r="I15" s="37"/>
    </row>
    <row r="16" spans="1:9" ht="28.05" customHeight="1">
      <c r="B16" s="33"/>
      <c r="C16" s="37">
        <v>3</v>
      </c>
      <c r="D16" s="33" t="s">
        <v>796</v>
      </c>
      <c r="E16" s="37"/>
      <c r="F16" s="37"/>
      <c r="G16" s="37"/>
      <c r="H16" s="37"/>
      <c r="I16" s="37"/>
    </row>
    <row r="17" spans="2:9" ht="28.05" customHeight="1">
      <c r="B17" s="33"/>
      <c r="C17" s="37">
        <v>4</v>
      </c>
      <c r="D17" s="33" t="s">
        <v>797</v>
      </c>
      <c r="E17" s="37"/>
      <c r="F17" s="37"/>
      <c r="G17" s="37"/>
      <c r="H17" s="37"/>
      <c r="I17" s="37"/>
    </row>
    <row r="18" spans="2:9" ht="28.05" customHeight="1">
      <c r="B18" s="33"/>
      <c r="C18" s="37">
        <v>5</v>
      </c>
      <c r="D18" s="33" t="s">
        <v>798</v>
      </c>
      <c r="E18" s="37"/>
      <c r="F18" s="37"/>
      <c r="G18" s="37"/>
      <c r="H18" s="37"/>
      <c r="I18" s="37"/>
    </row>
    <row r="19" spans="2:9" ht="28.05" customHeight="1">
      <c r="B19" s="33" t="s">
        <v>799</v>
      </c>
      <c r="C19" s="37">
        <v>6</v>
      </c>
      <c r="D19" s="33" t="s">
        <v>800</v>
      </c>
      <c r="E19" s="37"/>
      <c r="F19" s="37"/>
      <c r="G19" s="37"/>
      <c r="H19" s="37"/>
      <c r="I19" s="37"/>
    </row>
    <row r="20" spans="2:9" ht="28.05" customHeight="1">
      <c r="B20" s="33" t="s">
        <v>801</v>
      </c>
      <c r="C20" s="37">
        <v>7</v>
      </c>
      <c r="D20" s="33" t="s">
        <v>802</v>
      </c>
      <c r="E20" s="37"/>
      <c r="F20" s="37"/>
      <c r="G20" s="37"/>
      <c r="H20" s="37"/>
      <c r="I20" s="37"/>
    </row>
    <row r="21" spans="2:9" ht="28.05" customHeight="1">
      <c r="B21" s="33"/>
      <c r="C21" s="37">
        <v>8</v>
      </c>
      <c r="D21" s="33" t="s">
        <v>803</v>
      </c>
      <c r="E21" s="37"/>
      <c r="F21" s="37"/>
      <c r="G21" s="37"/>
      <c r="H21" s="37"/>
      <c r="I21" s="37"/>
    </row>
    <row r="22" spans="2:9" ht="28.05" customHeight="1">
      <c r="B22" s="33"/>
      <c r="C22" s="37">
        <v>9</v>
      </c>
      <c r="D22" s="33" t="s">
        <v>804</v>
      </c>
      <c r="E22" s="37"/>
      <c r="F22" s="37"/>
      <c r="G22" s="37"/>
      <c r="H22" s="37"/>
      <c r="I22" s="37"/>
    </row>
    <row r="23" spans="2:9" ht="28.05" customHeight="1">
      <c r="B23" s="33"/>
      <c r="C23" s="37">
        <v>10</v>
      </c>
      <c r="D23" s="33" t="s">
        <v>805</v>
      </c>
      <c r="E23" s="37"/>
      <c r="F23" s="37"/>
      <c r="G23" s="37"/>
      <c r="H23" s="37"/>
      <c r="I23" s="37"/>
    </row>
    <row r="24" spans="2:9">
      <c r="B24" s="90" t="s">
        <v>806</v>
      </c>
      <c r="C24" s="90"/>
      <c r="D24" s="90"/>
      <c r="E24" s="29"/>
      <c r="F24" s="29"/>
      <c r="G24" s="29"/>
      <c r="H24" s="29"/>
      <c r="I24" s="29"/>
    </row>
    <row r="25" spans="2:9">
      <c r="B25" s="38"/>
      <c r="C25" s="38"/>
      <c r="D25" s="38"/>
      <c r="E25" s="38"/>
      <c r="F25" s="38"/>
      <c r="G25" s="38"/>
      <c r="H25" s="38"/>
      <c r="I25" s="38"/>
    </row>
    <row r="26" spans="2:9">
      <c r="B26" s="90" t="s">
        <v>807</v>
      </c>
      <c r="C26" s="90"/>
      <c r="D26" s="90"/>
      <c r="E26" s="90"/>
      <c r="F26" s="90"/>
      <c r="G26" s="90"/>
      <c r="H26" s="90" t="s">
        <v>808</v>
      </c>
      <c r="I26" s="90"/>
    </row>
    <row r="27" spans="2:9">
      <c r="B27" s="90" t="s">
        <v>809</v>
      </c>
      <c r="C27" s="90"/>
      <c r="D27" s="90"/>
      <c r="E27" s="90"/>
      <c r="F27" s="90"/>
      <c r="G27" s="90"/>
      <c r="H27" s="90" t="s">
        <v>810</v>
      </c>
      <c r="I27" s="90"/>
    </row>
    <row r="28" spans="2:9">
      <c r="B28" s="38"/>
      <c r="C28" s="38"/>
      <c r="D28" s="38"/>
      <c r="E28" s="38"/>
      <c r="F28" s="38"/>
      <c r="G28" s="38"/>
      <c r="H28" s="38"/>
      <c r="I28" s="38"/>
    </row>
    <row r="29" spans="2:9">
      <c r="B29" s="86" t="s">
        <v>811</v>
      </c>
      <c r="C29" s="86"/>
      <c r="D29" s="86"/>
      <c r="E29" s="86"/>
      <c r="F29" s="86"/>
      <c r="G29" s="86"/>
      <c r="H29" s="86"/>
      <c r="I29" s="86"/>
    </row>
    <row r="30" spans="2:9">
      <c r="B30" s="38"/>
      <c r="C30" s="38"/>
      <c r="D30" s="38"/>
      <c r="E30" s="38"/>
      <c r="F30" s="38"/>
      <c r="G30" s="38"/>
      <c r="H30" s="38"/>
      <c r="I30" s="38"/>
    </row>
    <row r="31" spans="2:9" ht="22.05" customHeight="1">
      <c r="B31" s="89" t="s">
        <v>812</v>
      </c>
      <c r="C31" s="89"/>
      <c r="D31" s="89"/>
      <c r="E31" s="89"/>
      <c r="F31" s="89"/>
      <c r="G31" s="89"/>
      <c r="H31" s="89"/>
      <c r="I31" s="89"/>
    </row>
    <row r="32" spans="2:9" ht="70.05" customHeight="1">
      <c r="B32" s="155"/>
      <c r="C32" s="155"/>
      <c r="D32" s="155"/>
      <c r="E32" s="155"/>
      <c r="F32" s="155"/>
      <c r="G32" s="155"/>
      <c r="H32" s="155"/>
      <c r="I32" s="155"/>
    </row>
    <row r="33" spans="2:9">
      <c r="B33" s="155"/>
      <c r="C33" s="155"/>
      <c r="D33" s="155"/>
      <c r="E33" s="155"/>
      <c r="F33" s="155"/>
      <c r="G33" s="155"/>
      <c r="H33" s="155"/>
      <c r="I33" s="155"/>
    </row>
    <row r="34" spans="2:9">
      <c r="B34" s="155"/>
      <c r="C34" s="155"/>
      <c r="D34" s="155"/>
      <c r="E34" s="155"/>
      <c r="F34" s="155"/>
      <c r="G34" s="155"/>
      <c r="H34" s="155"/>
      <c r="I34" s="155"/>
    </row>
    <row r="35" spans="2:9">
      <c r="B35" s="155"/>
      <c r="C35" s="155"/>
      <c r="D35" s="155"/>
      <c r="E35" s="155"/>
      <c r="F35" s="155"/>
      <c r="G35" s="155"/>
      <c r="H35" s="155"/>
      <c r="I35" s="155"/>
    </row>
  </sheetData>
  <sheetProtection sheet="1" objects="1" scenarios="1"/>
  <mergeCells count="13">
    <mergeCell ref="B24:D24"/>
    <mergeCell ref="B3:I4"/>
    <mergeCell ref="B6:I6"/>
    <mergeCell ref="B7:I7"/>
    <mergeCell ref="B9:I9"/>
    <mergeCell ref="B10:I10"/>
    <mergeCell ref="B32:I35"/>
    <mergeCell ref="B26:G26"/>
    <mergeCell ref="H26:I26"/>
    <mergeCell ref="B27:G27"/>
    <mergeCell ref="H27:I27"/>
    <mergeCell ref="B29:I29"/>
    <mergeCell ref="B31:I31"/>
  </mergeCells>
  <phoneticPr fontId="6" type="noConversion"/>
  <printOptions horizontalCentered="1"/>
  <pageMargins left="0.23622083333333332" right="0.23622083333333332" top="0.27559097222222223" bottom="0.27559097222222223" header="0.11811041666666666" footer="0.11811041666666666"/>
  <pageSetup paperSize="9" fitToWidth="0" fitToHeight="0"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C2C9C6-CA9E-4B87-8E12-76A3F572BFE5}">
  <sheetPr codeName="Sheet60"/>
  <dimension ref="A1:F1"/>
  <sheetViews>
    <sheetView workbookViewId="0"/>
  </sheetViews>
  <sheetFormatPr defaultRowHeight="17.399999999999999"/>
  <sheetData>
    <row r="1" spans="1:6">
      <c r="A1" s="3" t="s">
        <v>101</v>
      </c>
      <c r="B1" s="3" t="s">
        <v>102</v>
      </c>
      <c r="C1" s="3" t="s">
        <v>118</v>
      </c>
      <c r="D1" s="3" t="s">
        <v>119</v>
      </c>
      <c r="E1" s="3" t="s">
        <v>120</v>
      </c>
      <c r="F1" s="3" t="s">
        <v>121</v>
      </c>
    </row>
  </sheetData>
  <sheetProtection sheet="1" objects="1" scenarios="1"/>
  <autoFilter ref="A1:F1" xr:uid="{ADC2C9C6-CA9E-4B87-8E12-76A3F572BFE5}"/>
  <phoneticPr fontId="6" type="noConversion"/>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1CA601-A979-4F1C-92DC-6D17B5BF5CF4}">
  <sheetPr codeName="Sheet61"/>
  <dimension ref="A1:G1"/>
  <sheetViews>
    <sheetView workbookViewId="0"/>
  </sheetViews>
  <sheetFormatPr defaultRowHeight="17.399999999999999"/>
  <sheetData>
    <row r="1" spans="1:7">
      <c r="A1" s="3" t="s">
        <v>101</v>
      </c>
      <c r="B1" s="3" t="s">
        <v>102</v>
      </c>
      <c r="C1" s="3" t="s">
        <v>113</v>
      </c>
      <c r="D1" s="3" t="s">
        <v>114</v>
      </c>
      <c r="E1" s="3" t="s">
        <v>115</v>
      </c>
      <c r="F1" s="3" t="s">
        <v>116</v>
      </c>
      <c r="G1" s="3" t="s">
        <v>117</v>
      </c>
    </row>
  </sheetData>
  <sheetProtection sheet="1" objects="1" scenarios="1"/>
  <autoFilter ref="A1:G1" xr:uid="{031CA601-A979-4F1C-92DC-6D17B5BF5CF4}"/>
  <phoneticPr fontId="6" type="noConversion"/>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509CAB-61D4-4D25-80FD-B6C1484BAB1F}">
  <sheetPr codeName="Sheet62"/>
  <dimension ref="A1:F1"/>
  <sheetViews>
    <sheetView workbookViewId="0"/>
  </sheetViews>
  <sheetFormatPr defaultRowHeight="17.399999999999999"/>
  <sheetData>
    <row r="1" spans="1:6">
      <c r="A1" s="3" t="s">
        <v>101</v>
      </c>
      <c r="B1" s="3" t="s">
        <v>102</v>
      </c>
      <c r="C1" s="3" t="s">
        <v>109</v>
      </c>
      <c r="D1" s="3" t="s">
        <v>110</v>
      </c>
      <c r="E1" s="3" t="s">
        <v>111</v>
      </c>
      <c r="F1" s="3" t="s">
        <v>112</v>
      </c>
    </row>
  </sheetData>
  <sheetProtection sheet="1" objects="1" scenarios="1"/>
  <autoFilter ref="A1:F1" xr:uid="{B3509CAB-61D4-4D25-80FD-B6C1484BAB1F}"/>
  <phoneticPr fontId="6"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55</vt:i4>
      </vt:variant>
      <vt:variant>
        <vt:lpstr>이름 지정된 범위</vt:lpstr>
      </vt:variant>
      <vt:variant>
        <vt:i4>50</vt:i4>
      </vt:variant>
    </vt:vector>
  </HeadingPairs>
  <TitlesOfParts>
    <vt:vector size="105" baseType="lpstr">
      <vt:lpstr>사용설명서</vt:lpstr>
      <vt:lpstr>기초자료입력</vt:lpstr>
      <vt:lpstr>계약방법안내</vt:lpstr>
      <vt:lpstr>입찰계약절차안내</vt:lpstr>
      <vt:lpstr>서식선택_출력</vt:lpstr>
      <vt:lpstr>학교검색</vt:lpstr>
      <vt:lpstr>학교정보</vt:lpstr>
      <vt:lpstr>DB</vt:lpstr>
      <vt:lpstr>F-001_위원회구성기안</vt:lpstr>
      <vt:lpstr>F-002_위원수락확인서</vt:lpstr>
      <vt:lpstr>F-003_위원청렴보안서약서</vt:lpstr>
      <vt:lpstr>F-004_구매추진계획수립기안문</vt:lpstr>
      <vt:lpstr>F-005_구매추진계획안</vt:lpstr>
      <vt:lpstr>F-006_운영위원회심의안</vt:lpstr>
      <vt:lpstr>F-007_구매요청기안문</vt:lpstr>
      <vt:lpstr>F-008_교복사양서</vt:lpstr>
      <vt:lpstr>F-009_기초금액계약방법결정</vt:lpstr>
      <vt:lpstr>F-010_사전규격공개기안문</vt:lpstr>
      <vt:lpstr>F-011_입찰공고</vt:lpstr>
      <vt:lpstr>F-012_계약특수조건</vt:lpstr>
      <vt:lpstr>F-014_평가항목배점기준</vt:lpstr>
      <vt:lpstr>F-015_정량적평가</vt:lpstr>
      <vt:lpstr>F-016_정성적평가</vt:lpstr>
      <vt:lpstr>F-017_제출서류자기확인서</vt:lpstr>
      <vt:lpstr>F-018_정량적평가자기평점표</vt:lpstr>
      <vt:lpstr>F-019_입찰참가신청서</vt:lpstr>
      <vt:lpstr>F-020_입찰참가신고서</vt:lpstr>
      <vt:lpstr>F-021_교복납품제안서</vt:lpstr>
      <vt:lpstr>F-022_교복납품실적표</vt:lpstr>
      <vt:lpstr>F-023_교복제조사양서</vt:lpstr>
      <vt:lpstr>F-024_단가비율표</vt:lpstr>
      <vt:lpstr>F-025_교복AS계획서</vt:lpstr>
      <vt:lpstr>F-027_위임장</vt:lpstr>
      <vt:lpstr>F-029_개인정보제공동의서</vt:lpstr>
      <vt:lpstr>F-030_청렴계약이행서약서</vt:lpstr>
      <vt:lpstr>F-031_교복품목별금액표</vt:lpstr>
      <vt:lpstr>F-032_제안서접수결과</vt:lpstr>
      <vt:lpstr>F-033_제안서접수대장</vt:lpstr>
      <vt:lpstr>F-034_평가위원회개최</vt:lpstr>
      <vt:lpstr>F-035_정량평가결과</vt:lpstr>
      <vt:lpstr>F-036_제안서평가결과</vt:lpstr>
      <vt:lpstr>F-037_평가위원회참석등록부</vt:lpstr>
      <vt:lpstr>F-038_업체참가등록부</vt:lpstr>
      <vt:lpstr>F-039_업체별제안서평가표</vt:lpstr>
      <vt:lpstr>F-040_위원청렴보안서약서</vt:lpstr>
      <vt:lpstr>F-041_낙찰자결정</vt:lpstr>
      <vt:lpstr>F-042_낙찰자결정통보</vt:lpstr>
      <vt:lpstr>F-043_계약체결</vt:lpstr>
      <vt:lpstr>F-044_사전안내가정통신문안내</vt:lpstr>
      <vt:lpstr>F-045_사전안내가정통신문</vt:lpstr>
      <vt:lpstr>F-046_수요조사가정통신문안내</vt:lpstr>
      <vt:lpstr>F-047_수요조사가정통신문</vt:lpstr>
      <vt:lpstr>F-048_교복구매안내신청수량파악</vt:lpstr>
      <vt:lpstr>F-049_만족도설문조사실시</vt:lpstr>
      <vt:lpstr>F-050_만족도조사설문지</vt:lpstr>
      <vt:lpstr>'F-001_위원회구성기안'!Print_Area</vt:lpstr>
      <vt:lpstr>'F-002_위원수락확인서'!Print_Area</vt:lpstr>
      <vt:lpstr>'F-003_위원청렴보안서약서'!Print_Area</vt:lpstr>
      <vt:lpstr>'F-004_구매추진계획수립기안문'!Print_Area</vt:lpstr>
      <vt:lpstr>'F-005_구매추진계획안'!Print_Area</vt:lpstr>
      <vt:lpstr>'F-006_운영위원회심의안'!Print_Area</vt:lpstr>
      <vt:lpstr>'F-007_구매요청기안문'!Print_Area</vt:lpstr>
      <vt:lpstr>'F-008_교복사양서'!Print_Area</vt:lpstr>
      <vt:lpstr>'F-009_기초금액계약방법결정'!Print_Area</vt:lpstr>
      <vt:lpstr>'F-010_사전규격공개기안문'!Print_Area</vt:lpstr>
      <vt:lpstr>'F-011_입찰공고'!Print_Area</vt:lpstr>
      <vt:lpstr>'F-012_계약특수조건'!Print_Area</vt:lpstr>
      <vt:lpstr>'F-014_평가항목배점기준'!Print_Area</vt:lpstr>
      <vt:lpstr>'F-015_정량적평가'!Print_Area</vt:lpstr>
      <vt:lpstr>'F-016_정성적평가'!Print_Area</vt:lpstr>
      <vt:lpstr>'F-017_제출서류자기확인서'!Print_Area</vt:lpstr>
      <vt:lpstr>'F-018_정량적평가자기평점표'!Print_Area</vt:lpstr>
      <vt:lpstr>'F-019_입찰참가신청서'!Print_Area</vt:lpstr>
      <vt:lpstr>'F-020_입찰참가신고서'!Print_Area</vt:lpstr>
      <vt:lpstr>'F-021_교복납품제안서'!Print_Area</vt:lpstr>
      <vt:lpstr>'F-022_교복납품실적표'!Print_Area</vt:lpstr>
      <vt:lpstr>'F-023_교복제조사양서'!Print_Area</vt:lpstr>
      <vt:lpstr>'F-024_단가비율표'!Print_Area</vt:lpstr>
      <vt:lpstr>'F-025_교복AS계획서'!Print_Area</vt:lpstr>
      <vt:lpstr>'F-027_위임장'!Print_Area</vt:lpstr>
      <vt:lpstr>'F-029_개인정보제공동의서'!Print_Area</vt:lpstr>
      <vt:lpstr>'F-030_청렴계약이행서약서'!Print_Area</vt:lpstr>
      <vt:lpstr>'F-031_교복품목별금액표'!Print_Area</vt:lpstr>
      <vt:lpstr>'F-032_제안서접수결과'!Print_Area</vt:lpstr>
      <vt:lpstr>'F-033_제안서접수대장'!Print_Area</vt:lpstr>
      <vt:lpstr>'F-034_평가위원회개최'!Print_Area</vt:lpstr>
      <vt:lpstr>'F-035_정량평가결과'!Print_Area</vt:lpstr>
      <vt:lpstr>'F-036_제안서평가결과'!Print_Area</vt:lpstr>
      <vt:lpstr>'F-037_평가위원회참석등록부'!Print_Area</vt:lpstr>
      <vt:lpstr>'F-038_업체참가등록부'!Print_Area</vt:lpstr>
      <vt:lpstr>'F-039_업체별제안서평가표'!Print_Area</vt:lpstr>
      <vt:lpstr>'F-040_위원청렴보안서약서'!Print_Area</vt:lpstr>
      <vt:lpstr>'F-041_낙찰자결정'!Print_Area</vt:lpstr>
      <vt:lpstr>'F-042_낙찰자결정통보'!Print_Area</vt:lpstr>
      <vt:lpstr>'F-043_계약체결'!Print_Area</vt:lpstr>
      <vt:lpstr>'F-044_사전안내가정통신문안내'!Print_Area</vt:lpstr>
      <vt:lpstr>'F-045_사전안내가정통신문'!Print_Area</vt:lpstr>
      <vt:lpstr>'F-046_수요조사가정통신문안내'!Print_Area</vt:lpstr>
      <vt:lpstr>'F-047_수요조사가정통신문'!Print_Area</vt:lpstr>
      <vt:lpstr>'F-048_교복구매안내신청수량파악'!Print_Area</vt:lpstr>
      <vt:lpstr>'F-049_만족도설문조사실시'!Print_Area</vt:lpstr>
      <vt:lpstr>'F-050_만족도조사설문지'!Print_Area</vt:lpstr>
      <vt:lpstr>계약방법안내!Print_Area</vt:lpstr>
      <vt:lpstr>사용설명서!Print_Area</vt:lpstr>
      <vt:lpstr>학교명목록</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최익창</dc:creator>
  <cp:lastModifiedBy>최익창</cp:lastModifiedBy>
  <dcterms:created xsi:type="dcterms:W3CDTF">2026-09-23T21:38:02Z</dcterms:created>
  <dcterms:modified xsi:type="dcterms:W3CDTF">2026-09-23T21:50:44Z</dcterms:modified>
</cp:coreProperties>
</file>