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최익창\Downloads\나연수_26.9.10\"/>
    </mc:Choice>
  </mc:AlternateContent>
  <xr:revisionPtr revIDLastSave="0" documentId="8_{E35B1160-30D1-43AF-A181-F621916A5AA6}" xr6:coauthVersionLast="47" xr6:coauthVersionMax="47" xr10:uidLastSave="{00000000-0000-0000-0000-000000000000}"/>
  <bookViews>
    <workbookView xWindow="-108" yWindow="-108" windowWidth="23256" windowHeight="12576" xr2:uid="{FBE47935-56CC-4C6A-A6E5-EF1521D7DCF7}"/>
  </bookViews>
  <sheets>
    <sheet name="기초자료입력" sheetId="2" r:id="rId1"/>
    <sheet name="Sheet1" sheetId="1" r:id="rId2"/>
  </sheets>
  <externalReferences>
    <externalReference r:id="rId3"/>
    <externalReference r:id="rId4"/>
  </externalReferences>
  <definedNames>
    <definedName name="학교명목록">[1]학교정보!$E$2:$E$791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2" i="2" l="1"/>
  <c r="E81" i="2"/>
  <c r="E80" i="2"/>
  <c r="E79" i="2"/>
  <c r="E78" i="2"/>
  <c r="E77" i="2"/>
  <c r="E76" i="2"/>
  <c r="E75" i="2"/>
  <c r="E74" i="2"/>
  <c r="E73" i="2"/>
  <c r="E72" i="2"/>
  <c r="V56" i="2"/>
  <c r="U56" i="2"/>
  <c r="V55" i="2"/>
  <c r="U55" i="2"/>
  <c r="V54" i="2"/>
  <c r="U54" i="2"/>
  <c r="V53" i="2"/>
  <c r="U53" i="2"/>
  <c r="R53" i="2"/>
  <c r="M53" i="2"/>
  <c r="G53" i="2"/>
  <c r="V52" i="2"/>
  <c r="U52" i="2"/>
  <c r="R52" i="2"/>
  <c r="M52" i="2"/>
  <c r="G52" i="2"/>
  <c r="V51" i="2"/>
  <c r="U51" i="2"/>
  <c r="R51" i="2"/>
  <c r="M51" i="2"/>
  <c r="G51" i="2"/>
  <c r="V50" i="2"/>
  <c r="U50" i="2"/>
  <c r="R50" i="2"/>
  <c r="M50" i="2"/>
  <c r="G50" i="2"/>
  <c r="V49" i="2"/>
  <c r="U49" i="2"/>
  <c r="R49" i="2"/>
  <c r="M49" i="2"/>
  <c r="G49" i="2"/>
  <c r="V48" i="2"/>
  <c r="U48" i="2"/>
  <c r="R48" i="2"/>
  <c r="M48" i="2"/>
  <c r="G48" i="2"/>
  <c r="V47" i="2"/>
  <c r="U47" i="2"/>
  <c r="R47" i="2"/>
  <c r="M47" i="2"/>
  <c r="G47" i="2"/>
  <c r="V46" i="2"/>
  <c r="U46" i="2"/>
  <c r="R46" i="2"/>
  <c r="M46" i="2"/>
  <c r="G46" i="2"/>
  <c r="V45" i="2"/>
  <c r="U45" i="2"/>
  <c r="R45" i="2"/>
  <c r="M45" i="2"/>
  <c r="G45" i="2"/>
  <c r="V44" i="2"/>
  <c r="U44" i="2"/>
  <c r="R44" i="2"/>
  <c r="M44" i="2"/>
  <c r="G44" i="2"/>
  <c r="V43" i="2"/>
  <c r="U43" i="2"/>
  <c r="V42" i="2"/>
  <c r="U42" i="2"/>
  <c r="V41" i="2"/>
  <c r="U41" i="2"/>
  <c r="V40" i="2"/>
  <c r="U40" i="2"/>
  <c r="V39" i="2"/>
  <c r="U39" i="2"/>
  <c r="V38" i="2"/>
  <c r="U38" i="2"/>
  <c r="E38" i="2"/>
  <c r="V37" i="2"/>
  <c r="U37" i="2"/>
  <c r="E37" i="2"/>
  <c r="V36" i="2"/>
  <c r="U36" i="2"/>
  <c r="E36" i="2"/>
  <c r="V35" i="2"/>
  <c r="U35" i="2"/>
  <c r="E35" i="2"/>
  <c r="V34" i="2"/>
  <c r="U34" i="2"/>
  <c r="E34" i="2"/>
  <c r="V33" i="2"/>
  <c r="U33" i="2"/>
  <c r="E33" i="2"/>
  <c r="V32" i="2"/>
  <c r="U32" i="2"/>
  <c r="E32" i="2"/>
  <c r="V31" i="2"/>
  <c r="U31" i="2"/>
  <c r="E31" i="2"/>
  <c r="V30" i="2"/>
  <c r="U30" i="2"/>
  <c r="E30" i="2"/>
  <c r="V29" i="2"/>
  <c r="U29" i="2"/>
  <c r="E29" i="2"/>
  <c r="E39" i="2" s="1"/>
  <c r="V28" i="2"/>
  <c r="U28" i="2"/>
  <c r="V27" i="2"/>
  <c r="U27" i="2"/>
  <c r="V26" i="2"/>
  <c r="U26" i="2"/>
  <c r="V25" i="2"/>
  <c r="U25" i="2"/>
  <c r="V24" i="2"/>
  <c r="U24" i="2"/>
  <c r="V23" i="2"/>
  <c r="U23" i="2"/>
  <c r="V22" i="2"/>
  <c r="U22" i="2"/>
  <c r="V21" i="2"/>
  <c r="U21" i="2"/>
  <c r="V20" i="2"/>
  <c r="U20" i="2"/>
  <c r="V19" i="2"/>
  <c r="U19" i="2"/>
  <c r="V18" i="2"/>
  <c r="U18" i="2"/>
  <c r="V17" i="2"/>
  <c r="U17" i="2"/>
  <c r="V16" i="2"/>
  <c r="U16" i="2"/>
  <c r="V15" i="2"/>
  <c r="U15" i="2"/>
  <c r="V14" i="2"/>
  <c r="U14" i="2"/>
  <c r="V13" i="2"/>
  <c r="U13" i="2"/>
  <c r="V12" i="2"/>
  <c r="U12" i="2"/>
  <c r="V11" i="2"/>
  <c r="U11" i="2"/>
  <c r="V10" i="2"/>
  <c r="U10" i="2"/>
  <c r="V9" i="2"/>
  <c r="U9" i="2"/>
  <c r="V8" i="2"/>
  <c r="U8" i="2"/>
  <c r="V7" i="2"/>
  <c r="U7" i="2"/>
  <c r="V6" i="2"/>
  <c r="U6" i="2"/>
  <c r="V5" i="2"/>
  <c r="U5" i="2"/>
  <c r="F5" i="2"/>
  <c r="F4" i="2"/>
</calcChain>
</file>

<file path=xl/sharedStrings.xml><?xml version="1.0" encoding="utf-8"?>
<sst xmlns="http://schemas.openxmlformats.org/spreadsheetml/2006/main" count="106" uniqueCount="102">
  <si>
    <t>기초자료 입력 (공통 C-01~C-06 / 사업 B-01~B-07 / 문서별 D-01~D-05 / 반복 R-01~R-07)</t>
  </si>
  <si>
    <t>불러온 레코드 순번</t>
  </si>
  <si>
    <t>빠른 출력 선택 (서식선택_출력과 실시간 연동)</t>
  </si>
  <si>
    <t>불러올 레코드 선택:</t>
  </si>
  <si>
    <t>1. 공통 정보 (C)</t>
  </si>
  <si>
    <t>C-01</t>
  </si>
  <si>
    <t>학교명 *</t>
  </si>
  <si>
    <t>전주고등학교</t>
    <phoneticPr fontId="3" type="noConversion"/>
  </si>
  <si>
    <t>학교 주소(자동)</t>
  </si>
  <si>
    <t>선택</t>
  </si>
  <si>
    <t>Form ID</t>
  </si>
  <si>
    <t>서식명</t>
  </si>
  <si>
    <t>보기</t>
  </si>
  <si>
    <t>C-02</t>
  </si>
  <si>
    <t>학년도 *</t>
  </si>
  <si>
    <t>학교 전화(자동)</t>
  </si>
  <si>
    <t>C-03</t>
  </si>
  <si>
    <t>담당부서</t>
  </si>
  <si>
    <t>행정실</t>
    <phoneticPr fontId="3" type="noConversion"/>
  </si>
  <si>
    <t>C-04</t>
  </si>
  <si>
    <t>담당자 직위</t>
  </si>
  <si>
    <t>주무관</t>
    <phoneticPr fontId="3" type="noConversion"/>
  </si>
  <si>
    <t>C-05</t>
  </si>
  <si>
    <t>문서 발행일</t>
  </si>
  <si>
    <t>C-06</t>
  </si>
  <si>
    <t>문서번호</t>
  </si>
  <si>
    <t>전주고-24244(26.1.1.)</t>
    <phoneticPr fontId="3" type="noConversion"/>
  </si>
  <si>
    <t>C-08</t>
  </si>
  <si>
    <t>담당자 성명</t>
  </si>
  <si>
    <t>윤호</t>
    <phoneticPr fontId="3" type="noConversion"/>
  </si>
  <si>
    <t>C-07</t>
  </si>
  <si>
    <t>교장 성명(결재권자)</t>
  </si>
  <si>
    <t>김호</t>
    <phoneticPr fontId="3" type="noConversion"/>
  </si>
  <si>
    <t>2. 사업 정보 (B)</t>
  </si>
  <si>
    <t>B-01</t>
  </si>
  <si>
    <t>구매명 *</t>
  </si>
  <si>
    <t>전주고 교복구매건</t>
    <phoneticPr fontId="3" type="noConversion"/>
  </si>
  <si>
    <t>B-02</t>
  </si>
  <si>
    <t>구매 학년</t>
  </si>
  <si>
    <t>B-03</t>
  </si>
  <si>
    <t>계약방식 (계약방법안내에서 검토 후 반영)</t>
  </si>
  <si>
    <t>일반경쟁입찰</t>
    <phoneticPr fontId="3" type="noConversion"/>
  </si>
  <si>
    <t>B-04</t>
  </si>
  <si>
    <t>기초금액(원)</t>
  </si>
  <si>
    <t>B-05</t>
  </si>
  <si>
    <t>예정수량</t>
  </si>
  <si>
    <t>B-06</t>
  </si>
  <si>
    <t>납품기한</t>
  </si>
  <si>
    <t>B-07</t>
  </si>
  <si>
    <t>제출기한</t>
  </si>
  <si>
    <t>3. 문서별 정보 (D) — 서식 공통 기본값</t>
  </si>
  <si>
    <t>D-01</t>
  </si>
  <si>
    <t>수신</t>
  </si>
  <si>
    <t>D-02</t>
  </si>
  <si>
    <t>제목 *</t>
  </si>
  <si>
    <t>D-03</t>
  </si>
  <si>
    <t>관련문서</t>
  </si>
  <si>
    <t>D-04</t>
  </si>
  <si>
    <t>붙임 목록</t>
  </si>
  <si>
    <t>D-05</t>
  </si>
  <si>
    <t>안내문 본문</t>
  </si>
  <si>
    <t>4. 품목 반복행 (R-04 품목명 / R-05 수량 / R-06 단가 / K-01 금액 자동계산) — F-024 등에서 사용</t>
  </si>
  <si>
    <t>품목명</t>
  </si>
  <si>
    <t>수량</t>
  </si>
  <si>
    <t>단가(원)</t>
  </si>
  <si>
    <t>금액(자동, K-01)</t>
  </si>
  <si>
    <t>상의</t>
    <phoneticPr fontId="3" type="noConversion"/>
  </si>
  <si>
    <t>하의</t>
    <phoneticPr fontId="3" type="noConversion"/>
  </si>
  <si>
    <t>합계 (K-02)</t>
  </si>
  <si>
    <t>5. 업체 반복행 (R-03 업체명 / S열 R-08 대표자 성명 / X열 R-09 대표자 연락처) — C~F열은 F-015 학교 정량평가, H~L열은 F-016 학교 정성평가, N~Q열은 F-018 업체 자기평점이며 서로 혼용하지 않음</t>
  </si>
  <si>
    <t>업체명</t>
  </si>
  <si>
    <t>수행경험(10)</t>
  </si>
  <si>
    <t>공인인증(10)</t>
  </si>
  <si>
    <t>거리적접근성(15)</t>
  </si>
  <si>
    <t>상한가격(15)</t>
  </si>
  <si>
    <t>F-015 상태</t>
  </si>
  <si>
    <t>재질 등급(15)</t>
  </si>
  <si>
    <t>완성도 등급(10)</t>
  </si>
  <si>
    <t>A/S 등급(15)</t>
  </si>
  <si>
    <t>하자보상 등급(10)</t>
  </si>
  <si>
    <t>가감점(-15~5)</t>
  </si>
  <si>
    <t>F-016 상태</t>
  </si>
  <si>
    <t>자기 수행경험(10)</t>
  </si>
  <si>
    <t>자기 공인인증(10)</t>
  </si>
  <si>
    <t>자기 거리(15)</t>
  </si>
  <si>
    <t>자기 상한가격(15)</t>
  </si>
  <si>
    <t>F-018 상태</t>
  </si>
  <si>
    <t>대표자 성명(R-08)</t>
  </si>
  <si>
    <t>대표자 연락처(R-09)</t>
  </si>
  <si>
    <t>스마트</t>
    <phoneticPr fontId="3" type="noConversion"/>
  </si>
  <si>
    <t>탁월</t>
  </si>
  <si>
    <t>우수</t>
  </si>
  <si>
    <t>상상로</t>
    <phoneticPr fontId="3" type="noConversion"/>
  </si>
  <si>
    <t>6. 위원 반복행 (R-01 역할·직위 / R-02 위원 성명) — 연락처·서명은 계속 입력 금지</t>
  </si>
  <si>
    <t>역할·직위</t>
  </si>
  <si>
    <t>마스킹 식별표시 (위원 ○○/위원 **만 허용)</t>
  </si>
  <si>
    <t>7. 평가점수 반복행 (R-07 점수 / K-03 평가 총점 자동계산) — 업체·위원 식별정보는 입력하지 않음</t>
  </si>
  <si>
    <t>평가항목</t>
  </si>
  <si>
    <t>배점</t>
  </si>
  <si>
    <t>점수</t>
  </si>
  <si>
    <t>점수 상태</t>
  </si>
  <si>
    <t>평가 총점 (K-03)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</si>
</sst>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.mm\.dd\.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sz val="13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color rgb="FFA0A0A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E6E6E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5" fillId="0" borderId="1" xfId="0" applyFont="1" applyBorder="1">
      <alignment vertical="center"/>
    </xf>
    <xf numFmtId="1" fontId="0" fillId="2" borderId="0" xfId="0" applyNumberFormat="1" applyFill="1">
      <alignment vertical="center"/>
    </xf>
    <xf numFmtId="0" fontId="0" fillId="0" borderId="1" xfId="0" applyBorder="1">
      <alignment vertical="center"/>
    </xf>
    <xf numFmtId="176" fontId="0" fillId="2" borderId="0" xfId="0" applyNumberFormat="1" applyFill="1">
      <alignment vertical="center"/>
    </xf>
    <xf numFmtId="3" fontId="0" fillId="2" borderId="0" xfId="0" applyNumberFormat="1" applyFill="1">
      <alignment vertical="center"/>
    </xf>
    <xf numFmtId="0" fontId="0" fillId="2" borderId="0" xfId="0" applyFill="1" applyAlignment="1">
      <alignment vertical="top" wrapText="1"/>
    </xf>
    <xf numFmtId="0" fontId="0" fillId="0" borderId="0" xfId="0" applyAlignment="1">
      <alignment vertical="top" wrapText="1"/>
    </xf>
    <xf numFmtId="3" fontId="0" fillId="0" borderId="0" xfId="0" applyNumberFormat="1">
      <alignment vertical="center"/>
    </xf>
    <xf numFmtId="3" fontId="5" fillId="0" borderId="0" xfId="0" applyNumberFormat="1" applyFont="1">
      <alignment vertical="center"/>
    </xf>
    <xf numFmtId="1" fontId="0" fillId="0" borderId="0" xfId="0" applyNumberFormat="1">
      <alignment vertical="center"/>
    </xf>
    <xf numFmtId="49" fontId="0" fillId="2" borderId="0" xfId="0" applyNumberFormat="1" applyFill="1">
      <alignment vertical="center"/>
    </xf>
    <xf numFmtId="2" fontId="0" fillId="0" borderId="0" xfId="0" applyNumberFormat="1">
      <alignment vertical="center"/>
    </xf>
    <xf numFmtId="2" fontId="5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CheckBox" fmlaLink="[1]서식선택_출력!$A$5" lockText="1" noThreeD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CheckBox" fmlaLink="[1]서식선택_출력!$A$6" lockText="1" noThreeD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CheckBox" fmlaLink="[1]서식선택_출력!$A$7" lockText="1" noThreeD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CheckBox" fmlaLink="[1]서식선택_출력!$A$8" lockText="1" noThreeD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CheckBox" fmlaLink="[1]서식선택_출력!$A$9" lockText="1" noThreeD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CheckBox" fmlaLink="[1]서식선택_출력!$A$10" lockText="1" noThreeD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CheckBox" fmlaLink="[1]서식선택_출력!$A$11" lockText="1" noThreeD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CheckBox" fmlaLink="[1]서식선택_출력!$A$12" lockText="1" noThreeD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CheckBox" fmlaLink="[1]서식선택_출력!$A$13" lockText="1" noThreeD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CheckBox" fmlaLink="[1]서식선택_출력!$A$14" lockText="1" noThreeD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CheckBox" fmlaLink="[1]서식선택_출력!$A$15" lockText="1" noThreeD="1"/>
</file>

<file path=xl/ctrlProps/ctrlProp31.xml><?xml version="1.0" encoding="utf-8"?>
<formControlPr xmlns="http://schemas.microsoft.com/office/spreadsheetml/2009/9/main" objectType="Button" lockText="1"/>
</file>

<file path=xl/ctrlProps/ctrlProp32.xml><?xml version="1.0" encoding="utf-8"?>
<formControlPr xmlns="http://schemas.microsoft.com/office/spreadsheetml/2009/9/main" objectType="CheckBox" fmlaLink="[1]서식선택_출력!$A$16" lockText="1" noThreeD="1"/>
</file>

<file path=xl/ctrlProps/ctrlProp33.xml><?xml version="1.0" encoding="utf-8"?>
<formControlPr xmlns="http://schemas.microsoft.com/office/spreadsheetml/2009/9/main" objectType="Button" lockText="1"/>
</file>

<file path=xl/ctrlProps/ctrlProp34.xml><?xml version="1.0" encoding="utf-8"?>
<formControlPr xmlns="http://schemas.microsoft.com/office/spreadsheetml/2009/9/main" objectType="CheckBox" fmlaLink="[1]서식선택_출력!$A$17" lockText="1" noThreeD="1"/>
</file>

<file path=xl/ctrlProps/ctrlProp35.xml><?xml version="1.0" encoding="utf-8"?>
<formControlPr xmlns="http://schemas.microsoft.com/office/spreadsheetml/2009/9/main" objectType="CheckBox" fmlaLink="[1]서식선택_출력!$A$18" lockText="1" noThreeD="1"/>
</file>

<file path=xl/ctrlProps/ctrlProp36.xml><?xml version="1.0" encoding="utf-8"?>
<formControlPr xmlns="http://schemas.microsoft.com/office/spreadsheetml/2009/9/main" objectType="Button" lockText="1"/>
</file>

<file path=xl/ctrlProps/ctrlProp37.xml><?xml version="1.0" encoding="utf-8"?>
<formControlPr xmlns="http://schemas.microsoft.com/office/spreadsheetml/2009/9/main" objectType="CheckBox" fmlaLink="[1]서식선택_출력!$A$19" lockText="1" noThreeD="1"/>
</file>

<file path=xl/ctrlProps/ctrlProp38.xml><?xml version="1.0" encoding="utf-8"?>
<formControlPr xmlns="http://schemas.microsoft.com/office/spreadsheetml/2009/9/main" objectType="Button" lockText="1"/>
</file>

<file path=xl/ctrlProps/ctrlProp39.xml><?xml version="1.0" encoding="utf-8"?>
<formControlPr xmlns="http://schemas.microsoft.com/office/spreadsheetml/2009/9/main" objectType="CheckBox" fmlaLink="[1]서식선택_출력!$A$20" lockText="1" noThreeD="1"/>
</file>

<file path=xl/ctrlProps/ctrlProp40.xml><?xml version="1.0" encoding="utf-8"?>
<formControlPr xmlns="http://schemas.microsoft.com/office/spreadsheetml/2009/9/main" objectType="Button" lockText="1"/>
</file>

<file path=xl/ctrlProps/ctrlProp41.xml><?xml version="1.0" encoding="utf-8"?>
<formControlPr xmlns="http://schemas.microsoft.com/office/spreadsheetml/2009/9/main" objectType="CheckBox" fmlaLink="[1]서식선택_출력!$A$21" lockText="1" noThreeD="1"/>
</file>

<file path=xl/ctrlProps/ctrlProp42.xml><?xml version="1.0" encoding="utf-8"?>
<formControlPr xmlns="http://schemas.microsoft.com/office/spreadsheetml/2009/9/main" objectType="Button" lockText="1"/>
</file>

<file path=xl/ctrlProps/ctrlProp43.xml><?xml version="1.0" encoding="utf-8"?>
<formControlPr xmlns="http://schemas.microsoft.com/office/spreadsheetml/2009/9/main" objectType="CheckBox" fmlaLink="[1]서식선택_출력!$A$22" lockText="1" noThreeD="1"/>
</file>

<file path=xl/ctrlProps/ctrlProp44.xml><?xml version="1.0" encoding="utf-8"?>
<formControlPr xmlns="http://schemas.microsoft.com/office/spreadsheetml/2009/9/main" objectType="Button" lockText="1"/>
</file>

<file path=xl/ctrlProps/ctrlProp45.xml><?xml version="1.0" encoding="utf-8"?>
<formControlPr xmlns="http://schemas.microsoft.com/office/spreadsheetml/2009/9/main" objectType="CheckBox" fmlaLink="[1]서식선택_출력!$A$23" lockText="1" noThreeD="1"/>
</file>

<file path=xl/ctrlProps/ctrlProp46.xml><?xml version="1.0" encoding="utf-8"?>
<formControlPr xmlns="http://schemas.microsoft.com/office/spreadsheetml/2009/9/main" objectType="Button" lockText="1"/>
</file>

<file path=xl/ctrlProps/ctrlProp47.xml><?xml version="1.0" encoding="utf-8"?>
<formControlPr xmlns="http://schemas.microsoft.com/office/spreadsheetml/2009/9/main" objectType="CheckBox" fmlaLink="[1]서식선택_출력!$A$24" lockText="1" noThreeD="1"/>
</file>

<file path=xl/ctrlProps/ctrlProp48.xml><?xml version="1.0" encoding="utf-8"?>
<formControlPr xmlns="http://schemas.microsoft.com/office/spreadsheetml/2009/9/main" objectType="Button" lockText="1"/>
</file>

<file path=xl/ctrlProps/ctrlProp49.xml><?xml version="1.0" encoding="utf-8"?>
<formControlPr xmlns="http://schemas.microsoft.com/office/spreadsheetml/2009/9/main" objectType="CheckBox" fmlaLink="[1]서식선택_출력!$A$25" lockText="1" noThreeD="1"/>
</file>

<file path=xl/ctrlProps/ctrlProp50.xml><?xml version="1.0" encoding="utf-8"?>
<formControlPr xmlns="http://schemas.microsoft.com/office/spreadsheetml/2009/9/main" objectType="Button" lockText="1"/>
</file>

<file path=xl/ctrlProps/ctrlProp51.xml><?xml version="1.0" encoding="utf-8"?>
<formControlPr xmlns="http://schemas.microsoft.com/office/spreadsheetml/2009/9/main" objectType="CheckBox" fmlaLink="[1]서식선택_출력!$A$26" lockText="1" noThreeD="1"/>
</file>

<file path=xl/ctrlProps/ctrlProp52.xml><?xml version="1.0" encoding="utf-8"?>
<formControlPr xmlns="http://schemas.microsoft.com/office/spreadsheetml/2009/9/main" objectType="Button" lockText="1"/>
</file>

<file path=xl/ctrlProps/ctrlProp53.xml><?xml version="1.0" encoding="utf-8"?>
<formControlPr xmlns="http://schemas.microsoft.com/office/spreadsheetml/2009/9/main" objectType="CheckBox" fmlaLink="[1]서식선택_출력!$A$27" lockText="1" noThreeD="1"/>
</file>

<file path=xl/ctrlProps/ctrlProp54.xml><?xml version="1.0" encoding="utf-8"?>
<formControlPr xmlns="http://schemas.microsoft.com/office/spreadsheetml/2009/9/main" objectType="Button" lockText="1"/>
</file>

<file path=xl/ctrlProps/ctrlProp55.xml><?xml version="1.0" encoding="utf-8"?>
<formControlPr xmlns="http://schemas.microsoft.com/office/spreadsheetml/2009/9/main" objectType="CheckBox" fmlaLink="[1]서식선택_출력!$A$28" lockText="1" noThreeD="1"/>
</file>

<file path=xl/ctrlProps/ctrlProp56.xml><?xml version="1.0" encoding="utf-8"?>
<formControlPr xmlns="http://schemas.microsoft.com/office/spreadsheetml/2009/9/main" objectType="Button" lockText="1"/>
</file>

<file path=xl/ctrlProps/ctrlProp57.xml><?xml version="1.0" encoding="utf-8"?>
<formControlPr xmlns="http://schemas.microsoft.com/office/spreadsheetml/2009/9/main" objectType="CheckBox" fmlaLink="[1]서식선택_출력!$A$29" lockText="1" noThreeD="1"/>
</file>

<file path=xl/ctrlProps/ctrlProp58.xml><?xml version="1.0" encoding="utf-8"?>
<formControlPr xmlns="http://schemas.microsoft.com/office/spreadsheetml/2009/9/main" objectType="Button" lockText="1"/>
</file>

<file path=xl/ctrlProps/ctrlProp59.xml><?xml version="1.0" encoding="utf-8"?>
<formControlPr xmlns="http://schemas.microsoft.com/office/spreadsheetml/2009/9/main" objectType="CheckBox" fmlaLink="[1]서식선택_출력!$A$30" lockText="1" noThreeD="1"/>
</file>

<file path=xl/ctrlProps/ctrlProp60.xml><?xml version="1.0" encoding="utf-8"?>
<formControlPr xmlns="http://schemas.microsoft.com/office/spreadsheetml/2009/9/main" objectType="CheckBox" fmlaLink="[1]서식선택_출력!$A$31" lockText="1" noThreeD="1"/>
</file>

<file path=xl/ctrlProps/ctrlProp61.xml><?xml version="1.0" encoding="utf-8"?>
<formControlPr xmlns="http://schemas.microsoft.com/office/spreadsheetml/2009/9/main" objectType="Button" lockText="1"/>
</file>

<file path=xl/ctrlProps/ctrlProp62.xml><?xml version="1.0" encoding="utf-8"?>
<formControlPr xmlns="http://schemas.microsoft.com/office/spreadsheetml/2009/9/main" objectType="CheckBox" fmlaLink="[1]서식선택_출력!$A$32" lockText="1" noThreeD="1"/>
</file>

<file path=xl/ctrlProps/ctrlProp63.xml><?xml version="1.0" encoding="utf-8"?>
<formControlPr xmlns="http://schemas.microsoft.com/office/spreadsheetml/2009/9/main" objectType="CheckBox" fmlaLink="[1]서식선택_출력!$A$33" lockText="1" noThreeD="1"/>
</file>

<file path=xl/ctrlProps/ctrlProp64.xml><?xml version="1.0" encoding="utf-8"?>
<formControlPr xmlns="http://schemas.microsoft.com/office/spreadsheetml/2009/9/main" objectType="Button" lockText="1"/>
</file>

<file path=xl/ctrlProps/ctrlProp65.xml><?xml version="1.0" encoding="utf-8"?>
<formControlPr xmlns="http://schemas.microsoft.com/office/spreadsheetml/2009/9/main" objectType="CheckBox" fmlaLink="[1]서식선택_출력!$A$34" lockText="1" noThreeD="1"/>
</file>

<file path=xl/ctrlProps/ctrlProp66.xml><?xml version="1.0" encoding="utf-8"?>
<formControlPr xmlns="http://schemas.microsoft.com/office/spreadsheetml/2009/9/main" objectType="Button" lockText="1"/>
</file>

<file path=xl/ctrlProps/ctrlProp67.xml><?xml version="1.0" encoding="utf-8"?>
<formControlPr xmlns="http://schemas.microsoft.com/office/spreadsheetml/2009/9/main" objectType="CheckBox" fmlaLink="[1]서식선택_출력!$A$35" lockText="1" noThreeD="1"/>
</file>

<file path=xl/ctrlProps/ctrlProp68.xml><?xml version="1.0" encoding="utf-8"?>
<formControlPr xmlns="http://schemas.microsoft.com/office/spreadsheetml/2009/9/main" objectType="Button" lockText="1"/>
</file>

<file path=xl/ctrlProps/ctrlProp69.xml><?xml version="1.0" encoding="utf-8"?>
<formControlPr xmlns="http://schemas.microsoft.com/office/spreadsheetml/2009/9/main" objectType="CheckBox" fmlaLink="[1]서식선택_출력!$A$36" lockText="1" noThreeD="1"/>
</file>

<file path=xl/ctrlProps/ctrlProp70.xml><?xml version="1.0" encoding="utf-8"?>
<formControlPr xmlns="http://schemas.microsoft.com/office/spreadsheetml/2009/9/main" objectType="Button" lockText="1"/>
</file>

<file path=xl/ctrlProps/ctrlProp71.xml><?xml version="1.0" encoding="utf-8"?>
<formControlPr xmlns="http://schemas.microsoft.com/office/spreadsheetml/2009/9/main" objectType="CheckBox" fmlaLink="[1]서식선택_출력!$A$37" lockText="1" noThreeD="1"/>
</file>

<file path=xl/ctrlProps/ctrlProp72.xml><?xml version="1.0" encoding="utf-8"?>
<formControlPr xmlns="http://schemas.microsoft.com/office/spreadsheetml/2009/9/main" objectType="Button" lockText="1"/>
</file>

<file path=xl/ctrlProps/ctrlProp73.xml><?xml version="1.0" encoding="utf-8"?>
<formControlPr xmlns="http://schemas.microsoft.com/office/spreadsheetml/2009/9/main" objectType="CheckBox" fmlaLink="[1]서식선택_출력!$A$38" lockText="1" noThreeD="1"/>
</file>

<file path=xl/ctrlProps/ctrlProp74.xml><?xml version="1.0" encoding="utf-8"?>
<formControlPr xmlns="http://schemas.microsoft.com/office/spreadsheetml/2009/9/main" objectType="Button" lockText="1"/>
</file>

<file path=xl/ctrlProps/ctrlProp75.xml><?xml version="1.0" encoding="utf-8"?>
<formControlPr xmlns="http://schemas.microsoft.com/office/spreadsheetml/2009/9/main" objectType="CheckBox" fmlaLink="[1]서식선택_출력!$A$39" lockText="1" noThreeD="1"/>
</file>

<file path=xl/ctrlProps/ctrlProp76.xml><?xml version="1.0" encoding="utf-8"?>
<formControlPr xmlns="http://schemas.microsoft.com/office/spreadsheetml/2009/9/main" objectType="Button" lockText="1"/>
</file>

<file path=xl/ctrlProps/ctrlProp77.xml><?xml version="1.0" encoding="utf-8"?>
<formControlPr xmlns="http://schemas.microsoft.com/office/spreadsheetml/2009/9/main" objectType="CheckBox" fmlaLink="[1]서식선택_출력!$A$40" lockText="1" noThreeD="1"/>
</file>

<file path=xl/ctrlProps/ctrlProp78.xml><?xml version="1.0" encoding="utf-8"?>
<formControlPr xmlns="http://schemas.microsoft.com/office/spreadsheetml/2009/9/main" objectType="Button" lockText="1"/>
</file>

<file path=xl/ctrlProps/ctrlProp79.xml><?xml version="1.0" encoding="utf-8"?>
<formControlPr xmlns="http://schemas.microsoft.com/office/spreadsheetml/2009/9/main" objectType="CheckBox" fmlaLink="[1]서식선택_출력!$A$41" lockText="1" noThreeD="1"/>
</file>

<file path=xl/ctrlProps/ctrlProp80.xml><?xml version="1.0" encoding="utf-8"?>
<formControlPr xmlns="http://schemas.microsoft.com/office/spreadsheetml/2009/9/main" objectType="Button" lockText="1"/>
</file>

<file path=xl/ctrlProps/ctrlProp81.xml><?xml version="1.0" encoding="utf-8"?>
<formControlPr xmlns="http://schemas.microsoft.com/office/spreadsheetml/2009/9/main" objectType="CheckBox" fmlaLink="[1]서식선택_출력!$A$42" lockText="1" noThreeD="1"/>
</file>

<file path=xl/ctrlProps/ctrlProp82.xml><?xml version="1.0" encoding="utf-8"?>
<formControlPr xmlns="http://schemas.microsoft.com/office/spreadsheetml/2009/9/main" objectType="Button" lockText="1"/>
</file>

<file path=xl/ctrlProps/ctrlProp83.xml><?xml version="1.0" encoding="utf-8"?>
<formControlPr xmlns="http://schemas.microsoft.com/office/spreadsheetml/2009/9/main" objectType="CheckBox" fmlaLink="[1]서식선택_출력!$A$43" lockText="1" noThreeD="1"/>
</file>

<file path=xl/ctrlProps/ctrlProp84.xml><?xml version="1.0" encoding="utf-8"?>
<formControlPr xmlns="http://schemas.microsoft.com/office/spreadsheetml/2009/9/main" objectType="Button" lockText="1"/>
</file>

<file path=xl/ctrlProps/ctrlProp85.xml><?xml version="1.0" encoding="utf-8"?>
<formControlPr xmlns="http://schemas.microsoft.com/office/spreadsheetml/2009/9/main" objectType="CheckBox" fmlaLink="[1]서식선택_출력!$A$44" lockText="1" noThreeD="1"/>
</file>

<file path=xl/ctrlProps/ctrlProp86.xml><?xml version="1.0" encoding="utf-8"?>
<formControlPr xmlns="http://schemas.microsoft.com/office/spreadsheetml/2009/9/main" objectType="Button" lockText="1"/>
</file>

<file path=xl/ctrlProps/ctrlProp87.xml><?xml version="1.0" encoding="utf-8"?>
<formControlPr xmlns="http://schemas.microsoft.com/office/spreadsheetml/2009/9/main" objectType="CheckBox" fmlaLink="[1]서식선택_출력!$A$45" lockText="1" noThreeD="1"/>
</file>

<file path=xl/ctrlProps/ctrlProp88.xml><?xml version="1.0" encoding="utf-8"?>
<formControlPr xmlns="http://schemas.microsoft.com/office/spreadsheetml/2009/9/main" objectType="Button" lockText="1"/>
</file>

<file path=xl/ctrlProps/ctrlProp89.xml><?xml version="1.0" encoding="utf-8"?>
<formControlPr xmlns="http://schemas.microsoft.com/office/spreadsheetml/2009/9/main" objectType="CheckBox" fmlaLink="[1]서식선택_출력!$A$46" lockText="1" noThreeD="1"/>
</file>

<file path=xl/ctrlProps/ctrlProp90.xml><?xml version="1.0" encoding="utf-8"?>
<formControlPr xmlns="http://schemas.microsoft.com/office/spreadsheetml/2009/9/main" objectType="Button" lockText="1"/>
</file>

<file path=xl/ctrlProps/ctrlProp91.xml><?xml version="1.0" encoding="utf-8"?>
<formControlPr xmlns="http://schemas.microsoft.com/office/spreadsheetml/2009/9/main" objectType="CheckBox" fmlaLink="[1]서식선택_출력!$A$47" lockText="1" noThreeD="1"/>
</file>

<file path=xl/ctrlProps/ctrlProp92.xml><?xml version="1.0" encoding="utf-8"?>
<formControlPr xmlns="http://schemas.microsoft.com/office/spreadsheetml/2009/9/main" objectType="Button" lockText="1"/>
</file>

<file path=xl/ctrlProps/ctrlProp93.xml><?xml version="1.0" encoding="utf-8"?>
<formControlPr xmlns="http://schemas.microsoft.com/office/spreadsheetml/2009/9/main" objectType="CheckBox" fmlaLink="[1]서식선택_출력!$A$48" lockText="1" noThreeD="1"/>
</file>

<file path=xl/ctrlProps/ctrlProp94.xml><?xml version="1.0" encoding="utf-8"?>
<formControlPr xmlns="http://schemas.microsoft.com/office/spreadsheetml/2009/9/main" objectType="Button" lockText="1"/>
</file>

<file path=xl/ctrlProps/ctrlProp95.xml><?xml version="1.0" encoding="utf-8"?>
<formControlPr xmlns="http://schemas.microsoft.com/office/spreadsheetml/2009/9/main" objectType="CheckBox" fmlaLink="[1]서식선택_출력!$A$49" lockText="1" noThreeD="1"/>
</file>

<file path=xl/ctrlProps/ctrlProp96.xml><?xml version="1.0" encoding="utf-8"?>
<formControlPr xmlns="http://schemas.microsoft.com/office/spreadsheetml/2009/9/main" objectType="Button" lockText="1"/>
</file>

<file path=xl/ctrlProps/ctrlProp97.xml><?xml version="1.0" encoding="utf-8"?>
<formControlPr xmlns="http://schemas.microsoft.com/office/spreadsheetml/2009/9/main" objectType="CheckBox" fmlaLink="[1]서식선택_출력!$A$50" lockText="1" noThreeD="1"/>
</file>

<file path=xl/ctrlProps/ctrlProp98.xml><?xml version="1.0" encoding="utf-8"?>
<formControlPr xmlns="http://schemas.microsoft.com/office/spreadsheetml/2009/9/main" objectType="Button" lockText="1"/>
</file>

<file path=xl/ctrlProps/ctrlProp99.xml><?xml version="1.0" encoding="utf-8"?>
<formControlPr xmlns="http://schemas.microsoft.com/office/spreadsheetml/2009/9/main" objectType="CheckBox" fmlaLink="[1]서식선택_출력!$A$51" lockText="1" noThreeD="1"/>
</file>

<file path=xl/ctrlProps/ctrlProp100.xml><?xml version="1.0" encoding="utf-8"?>
<formControlPr xmlns="http://schemas.microsoft.com/office/spreadsheetml/2009/9/main" objectType="Button" lockText="1"/>
</file>

<file path=xl/ctrlProps/ctrlProp101.xml><?xml version="1.0" encoding="utf-8"?>
<formControlPr xmlns="http://schemas.microsoft.com/office/spreadsheetml/2009/9/main" objectType="CheckBox" fmlaLink="[1]서식선택_출력!$A$52" lockText="1" noThreeD="1"/>
</file>

<file path=xl/ctrlProps/ctrlProp102.xml><?xml version="1.0" encoding="utf-8"?>
<formControlPr xmlns="http://schemas.microsoft.com/office/spreadsheetml/2009/9/main" objectType="Button" lockText="1"/>
</file>

<file path=xl/ctrlProps/ctrlProp103.xml><?xml version="1.0" encoding="utf-8"?>
<formControlPr xmlns="http://schemas.microsoft.com/office/spreadsheetml/2009/9/main" objectType="CheckBox" fmlaLink="[1]서식선택_출력!$A$53" lockText="1" noThreeD="1"/>
</file>

<file path=xl/ctrlProps/ctrlProp104.xml><?xml version="1.0" encoding="utf-8"?>
<formControlPr xmlns="http://schemas.microsoft.com/office/spreadsheetml/2009/9/main" objectType="Button" lockText="1"/>
</file>

<file path=xl/ctrlProps/ctrlProp105.xml><?xml version="1.0" encoding="utf-8"?>
<formControlPr xmlns="http://schemas.microsoft.com/office/spreadsheetml/2009/9/main" objectType="CheckBox" fmlaLink="[1]서식선택_출력!$A$54" lockText="1" noThreeD="1"/>
</file>

<file path=xl/ctrlProps/ctrlProp106.xml><?xml version="1.0" encoding="utf-8"?>
<formControlPr xmlns="http://schemas.microsoft.com/office/spreadsheetml/2009/9/main" objectType="Button" lockText="1"/>
</file>

<file path=xl/ctrlProps/ctrlProp107.xml><?xml version="1.0" encoding="utf-8"?>
<formControlPr xmlns="http://schemas.microsoft.com/office/spreadsheetml/2009/9/main" objectType="CheckBox" fmlaLink="[1]서식선택_출력!$A$55" lockText="1" noThreeD="1"/>
</file>

<file path=xl/ctrlProps/ctrlProp108.xml><?xml version="1.0" encoding="utf-8"?>
<formControlPr xmlns="http://schemas.microsoft.com/office/spreadsheetml/2009/9/main" objectType="CheckBox" fmlaLink="[1]서식선택_출력!$A$56" lockText="1" noThreeD="1"/>
</file>

<file path=xl/ctrlProps/ctrlProp109.xml><?xml version="1.0" encoding="utf-8"?>
<formControlPr xmlns="http://schemas.microsoft.com/office/spreadsheetml/2009/9/main" objectType="CheckBox" fmlaLink="[2]서식선택_출력!$A$6" lockText="1" noThreeD="1"/>
</file>

<file path=xl/ctrlProps/ctrlProp110.xml><?xml version="1.0" encoding="utf-8"?>
<formControlPr xmlns="http://schemas.microsoft.com/office/spreadsheetml/2009/9/main" objectType="CheckBox" fmlaLink="[2]서식선택_출력!$A$7" lockText="1" noThreeD="1"/>
</file>

<file path=xl/ctrlProps/ctrlProp111.xml><?xml version="1.0" encoding="utf-8"?>
<formControlPr xmlns="http://schemas.microsoft.com/office/spreadsheetml/2009/9/main" objectType="Button" lockText="1"/>
</file>

<file path=xl/ctrlProps/ctrlProp112.xml><?xml version="1.0" encoding="utf-8"?>
<formControlPr xmlns="http://schemas.microsoft.com/office/spreadsheetml/2009/9/main" objectType="CheckBox" fmlaLink="[2]서식선택_출력!$A$8" lockText="1" noThreeD="1"/>
</file>

<file path=xl/ctrlProps/ctrlProp113.xml><?xml version="1.0" encoding="utf-8"?>
<formControlPr xmlns="http://schemas.microsoft.com/office/spreadsheetml/2009/9/main" objectType="Button" lockText="1"/>
</file>

<file path=xl/ctrlProps/ctrlProp114.xml><?xml version="1.0" encoding="utf-8"?>
<formControlPr xmlns="http://schemas.microsoft.com/office/spreadsheetml/2009/9/main" objectType="CheckBox" fmlaLink="[2]서식선택_출력!$A$9" lockText="1" noThreeD="1"/>
</file>

<file path=xl/ctrlProps/ctrlProp115.xml><?xml version="1.0" encoding="utf-8"?>
<formControlPr xmlns="http://schemas.microsoft.com/office/spreadsheetml/2009/9/main" objectType="Button" lockText="1"/>
</file>

<file path=xl/ctrlProps/ctrlProp116.xml><?xml version="1.0" encoding="utf-8"?>
<formControlPr xmlns="http://schemas.microsoft.com/office/spreadsheetml/2009/9/main" objectType="CheckBox" fmlaLink="[2]서식선택_출력!$A$10" lockText="1" noThreeD="1"/>
</file>

<file path=xl/ctrlProps/ctrlProp117.xml><?xml version="1.0" encoding="utf-8"?>
<formControlPr xmlns="http://schemas.microsoft.com/office/spreadsheetml/2009/9/main" objectType="Button" lockText="1"/>
</file>

<file path=xl/ctrlProps/ctrlProp118.xml><?xml version="1.0" encoding="utf-8"?>
<formControlPr xmlns="http://schemas.microsoft.com/office/spreadsheetml/2009/9/main" objectType="CheckBox" fmlaLink="[2]서식선택_출력!$A$11" lockText="1" noThreeD="1"/>
</file>

<file path=xl/ctrlProps/ctrlProp119.xml><?xml version="1.0" encoding="utf-8"?>
<formControlPr xmlns="http://schemas.microsoft.com/office/spreadsheetml/2009/9/main" objectType="Button" lockText="1"/>
</file>

<file path=xl/ctrlProps/ctrlProp120.xml><?xml version="1.0" encoding="utf-8"?>
<formControlPr xmlns="http://schemas.microsoft.com/office/spreadsheetml/2009/9/main" objectType="CheckBox" fmlaLink="[2]서식선택_출력!$A$12" lockText="1" noThreeD="1"/>
</file>

<file path=xl/ctrlProps/ctrlProp121.xml><?xml version="1.0" encoding="utf-8"?>
<formControlPr xmlns="http://schemas.microsoft.com/office/spreadsheetml/2009/9/main" objectType="Button" lockText="1"/>
</file>

<file path=xl/ctrlProps/ctrlProp122.xml><?xml version="1.0" encoding="utf-8"?>
<formControlPr xmlns="http://schemas.microsoft.com/office/spreadsheetml/2009/9/main" objectType="CheckBox" fmlaLink="[2]서식선택_출력!$A$13" lockText="1" noThreeD="1"/>
</file>

<file path=xl/ctrlProps/ctrlProp123.xml><?xml version="1.0" encoding="utf-8"?>
<formControlPr xmlns="http://schemas.microsoft.com/office/spreadsheetml/2009/9/main" objectType="Button" lockText="1"/>
</file>

<file path=xl/ctrlProps/ctrlProp124.xml><?xml version="1.0" encoding="utf-8"?>
<formControlPr xmlns="http://schemas.microsoft.com/office/spreadsheetml/2009/9/main" objectType="CheckBox" fmlaLink="[2]서식선택_출력!$A$14" lockText="1" noThreeD="1"/>
</file>

<file path=xl/ctrlProps/ctrlProp125.xml><?xml version="1.0" encoding="utf-8"?>
<formControlPr xmlns="http://schemas.microsoft.com/office/spreadsheetml/2009/9/main" objectType="Button" lockText="1"/>
</file>

<file path=xl/ctrlProps/ctrlProp126.xml><?xml version="1.0" encoding="utf-8"?>
<formControlPr xmlns="http://schemas.microsoft.com/office/spreadsheetml/2009/9/main" objectType="CheckBox" fmlaLink="[2]서식선택_출력!$A$15" lockText="1" noThreeD="1"/>
</file>

<file path=xl/ctrlProps/ctrlProp127.xml><?xml version="1.0" encoding="utf-8"?>
<formControlPr xmlns="http://schemas.microsoft.com/office/spreadsheetml/2009/9/main" objectType="Button" lockText="1"/>
</file>

<file path=xl/ctrlProps/ctrlProp128.xml><?xml version="1.0" encoding="utf-8"?>
<formControlPr xmlns="http://schemas.microsoft.com/office/spreadsheetml/2009/9/main" objectType="CheckBox" fmlaLink="[2]서식선택_출력!$A$16" lockText="1" noThreeD="1"/>
</file>

<file path=xl/ctrlProps/ctrlProp129.xml><?xml version="1.0" encoding="utf-8"?>
<formControlPr xmlns="http://schemas.microsoft.com/office/spreadsheetml/2009/9/main" objectType="Button" lockText="1"/>
</file>

<file path=xl/ctrlProps/ctrlProp130.xml><?xml version="1.0" encoding="utf-8"?>
<formControlPr xmlns="http://schemas.microsoft.com/office/spreadsheetml/2009/9/main" objectType="CheckBox" fmlaLink="[2]서식선택_출력!$A$17" lockText="1" noThreeD="1"/>
</file>

<file path=xl/ctrlProps/ctrlProp131.xml><?xml version="1.0" encoding="utf-8"?>
<formControlPr xmlns="http://schemas.microsoft.com/office/spreadsheetml/2009/9/main" objectType="CheckBox" fmlaLink="[2]서식선택_출력!$A$18" lockText="1" noThreeD="1"/>
</file>

<file path=xl/ctrlProps/ctrlProp132.xml><?xml version="1.0" encoding="utf-8"?>
<formControlPr xmlns="http://schemas.microsoft.com/office/spreadsheetml/2009/9/main" objectType="Button" lockText="1"/>
</file>

<file path=xl/ctrlProps/ctrlProp133.xml><?xml version="1.0" encoding="utf-8"?>
<formControlPr xmlns="http://schemas.microsoft.com/office/spreadsheetml/2009/9/main" objectType="CheckBox" fmlaLink="[2]서식선택_출력!$A$19" lockText="1" noThreeD="1"/>
</file>

<file path=xl/ctrlProps/ctrlProp134.xml><?xml version="1.0" encoding="utf-8"?>
<formControlPr xmlns="http://schemas.microsoft.com/office/spreadsheetml/2009/9/main" objectType="Button" lockText="1"/>
</file>

<file path=xl/ctrlProps/ctrlProp135.xml><?xml version="1.0" encoding="utf-8"?>
<formControlPr xmlns="http://schemas.microsoft.com/office/spreadsheetml/2009/9/main" objectType="CheckBox" fmlaLink="[2]서식선택_출력!$A$20" lockText="1" noThreeD="1"/>
</file>

<file path=xl/ctrlProps/ctrlProp136.xml><?xml version="1.0" encoding="utf-8"?>
<formControlPr xmlns="http://schemas.microsoft.com/office/spreadsheetml/2009/9/main" objectType="Button" lockText="1"/>
</file>

<file path=xl/ctrlProps/ctrlProp137.xml><?xml version="1.0" encoding="utf-8"?>
<formControlPr xmlns="http://schemas.microsoft.com/office/spreadsheetml/2009/9/main" objectType="CheckBox" fmlaLink="[2]서식선택_출력!$A$21" lockText="1" noThreeD="1"/>
</file>

<file path=xl/ctrlProps/ctrlProp138.xml><?xml version="1.0" encoding="utf-8"?>
<formControlPr xmlns="http://schemas.microsoft.com/office/spreadsheetml/2009/9/main" objectType="Button" lockText="1"/>
</file>

<file path=xl/ctrlProps/ctrlProp139.xml><?xml version="1.0" encoding="utf-8"?>
<formControlPr xmlns="http://schemas.microsoft.com/office/spreadsheetml/2009/9/main" objectType="CheckBox" fmlaLink="[2]서식선택_출력!$A$22" lockText="1" noThreeD="1"/>
</file>

<file path=xl/ctrlProps/ctrlProp140.xml><?xml version="1.0" encoding="utf-8"?>
<formControlPr xmlns="http://schemas.microsoft.com/office/spreadsheetml/2009/9/main" objectType="Button" lockText="1"/>
</file>

<file path=xl/ctrlProps/ctrlProp141.xml><?xml version="1.0" encoding="utf-8"?>
<formControlPr xmlns="http://schemas.microsoft.com/office/spreadsheetml/2009/9/main" objectType="CheckBox" fmlaLink="[2]서식선택_출력!$A$23" lockText="1" noThreeD="1"/>
</file>

<file path=xl/ctrlProps/ctrlProp142.xml><?xml version="1.0" encoding="utf-8"?>
<formControlPr xmlns="http://schemas.microsoft.com/office/spreadsheetml/2009/9/main" objectType="Button" lockText="1"/>
</file>

<file path=xl/ctrlProps/ctrlProp143.xml><?xml version="1.0" encoding="utf-8"?>
<formControlPr xmlns="http://schemas.microsoft.com/office/spreadsheetml/2009/9/main" objectType="CheckBox" fmlaLink="[2]서식선택_출력!$A$24" lockText="1" noThreeD="1"/>
</file>

<file path=xl/ctrlProps/ctrlProp144.xml><?xml version="1.0" encoding="utf-8"?>
<formControlPr xmlns="http://schemas.microsoft.com/office/spreadsheetml/2009/9/main" objectType="Button" lockText="1"/>
</file>

<file path=xl/ctrlProps/ctrlProp145.xml><?xml version="1.0" encoding="utf-8"?>
<formControlPr xmlns="http://schemas.microsoft.com/office/spreadsheetml/2009/9/main" objectType="CheckBox" fmlaLink="[2]서식선택_출력!$A$25" lockText="1" noThreeD="1"/>
</file>

<file path=xl/ctrlProps/ctrlProp146.xml><?xml version="1.0" encoding="utf-8"?>
<formControlPr xmlns="http://schemas.microsoft.com/office/spreadsheetml/2009/9/main" objectType="Button" lockText="1"/>
</file>

<file path=xl/ctrlProps/ctrlProp147.xml><?xml version="1.0" encoding="utf-8"?>
<formControlPr xmlns="http://schemas.microsoft.com/office/spreadsheetml/2009/9/main" objectType="CheckBox" fmlaLink="[2]서식선택_출력!$A$26" lockText="1" noThreeD="1"/>
</file>

<file path=xl/ctrlProps/ctrlProp148.xml><?xml version="1.0" encoding="utf-8"?>
<formControlPr xmlns="http://schemas.microsoft.com/office/spreadsheetml/2009/9/main" objectType="Button" lockText="1"/>
</file>

<file path=xl/ctrlProps/ctrlProp149.xml><?xml version="1.0" encoding="utf-8"?>
<formControlPr xmlns="http://schemas.microsoft.com/office/spreadsheetml/2009/9/main" objectType="CheckBox" fmlaLink="[2]서식선택_출력!$A$27" lockText="1" noThreeD="1"/>
</file>

<file path=xl/ctrlProps/ctrlProp150.xml><?xml version="1.0" encoding="utf-8"?>
<formControlPr xmlns="http://schemas.microsoft.com/office/spreadsheetml/2009/9/main" objectType="Button" lockText="1"/>
</file>

<file path=xl/ctrlProps/ctrlProp151.xml><?xml version="1.0" encoding="utf-8"?>
<formControlPr xmlns="http://schemas.microsoft.com/office/spreadsheetml/2009/9/main" objectType="CheckBox" fmlaLink="[2]서식선택_출력!$A$28" lockText="1" noThreeD="1"/>
</file>

<file path=xl/ctrlProps/ctrlProp152.xml><?xml version="1.0" encoding="utf-8"?>
<formControlPr xmlns="http://schemas.microsoft.com/office/spreadsheetml/2009/9/main" objectType="Button" lockText="1"/>
</file>

<file path=xl/ctrlProps/ctrlProp153.xml><?xml version="1.0" encoding="utf-8"?>
<formControlPr xmlns="http://schemas.microsoft.com/office/spreadsheetml/2009/9/main" objectType="CheckBox" fmlaLink="[2]서식선택_출력!$A$29" lockText="1" noThreeD="1"/>
</file>

<file path=xl/ctrlProps/ctrlProp154.xml><?xml version="1.0" encoding="utf-8"?>
<formControlPr xmlns="http://schemas.microsoft.com/office/spreadsheetml/2009/9/main" objectType="Button" lockText="1"/>
</file>

<file path=xl/ctrlProps/ctrlProp155.xml><?xml version="1.0" encoding="utf-8"?>
<formControlPr xmlns="http://schemas.microsoft.com/office/spreadsheetml/2009/9/main" objectType="CheckBox" fmlaLink="[2]서식선택_출력!$A$30" lockText="1" noThreeD="1"/>
</file>

<file path=xl/ctrlProps/ctrlProp156.xml><?xml version="1.0" encoding="utf-8"?>
<formControlPr xmlns="http://schemas.microsoft.com/office/spreadsheetml/2009/9/main" objectType="CheckBox" fmlaLink="[2]서식선택_출력!$A$31" lockText="1" noThreeD="1"/>
</file>

<file path=xl/ctrlProps/ctrlProp157.xml><?xml version="1.0" encoding="utf-8"?>
<formControlPr xmlns="http://schemas.microsoft.com/office/spreadsheetml/2009/9/main" objectType="Button" lockText="1"/>
</file>

<file path=xl/ctrlProps/ctrlProp158.xml><?xml version="1.0" encoding="utf-8"?>
<formControlPr xmlns="http://schemas.microsoft.com/office/spreadsheetml/2009/9/main" objectType="CheckBox" fmlaLink="[2]서식선택_출력!$A$32" lockText="1" noThreeD="1"/>
</file>

<file path=xl/ctrlProps/ctrlProp159.xml><?xml version="1.0" encoding="utf-8"?>
<formControlPr xmlns="http://schemas.microsoft.com/office/spreadsheetml/2009/9/main" objectType="CheckBox" fmlaLink="[2]서식선택_출력!$A$33" lockText="1" noThreeD="1"/>
</file>

<file path=xl/ctrlProps/ctrlProp160.xml><?xml version="1.0" encoding="utf-8"?>
<formControlPr xmlns="http://schemas.microsoft.com/office/spreadsheetml/2009/9/main" objectType="Button" lockText="1"/>
</file>

<file path=xl/ctrlProps/ctrlProp161.xml><?xml version="1.0" encoding="utf-8"?>
<formControlPr xmlns="http://schemas.microsoft.com/office/spreadsheetml/2009/9/main" objectType="CheckBox" fmlaLink="[2]서식선택_출력!$A$34" lockText="1" noThreeD="1"/>
</file>

<file path=xl/ctrlProps/ctrlProp162.xml><?xml version="1.0" encoding="utf-8"?>
<formControlPr xmlns="http://schemas.microsoft.com/office/spreadsheetml/2009/9/main" objectType="Button" lockText="1"/>
</file>

<file path=xl/ctrlProps/ctrlProp163.xml><?xml version="1.0" encoding="utf-8"?>
<formControlPr xmlns="http://schemas.microsoft.com/office/spreadsheetml/2009/9/main" objectType="CheckBox" fmlaLink="[2]서식선택_출력!$A$35" lockText="1" noThreeD="1"/>
</file>

<file path=xl/ctrlProps/ctrlProp164.xml><?xml version="1.0" encoding="utf-8"?>
<formControlPr xmlns="http://schemas.microsoft.com/office/spreadsheetml/2009/9/main" objectType="Button" lockText="1"/>
</file>

<file path=xl/ctrlProps/ctrlProp165.xml><?xml version="1.0" encoding="utf-8"?>
<formControlPr xmlns="http://schemas.microsoft.com/office/spreadsheetml/2009/9/main" objectType="CheckBox" fmlaLink="[2]서식선택_출력!$A$36" lockText="1" noThreeD="1"/>
</file>

<file path=xl/ctrlProps/ctrlProp166.xml><?xml version="1.0" encoding="utf-8"?>
<formControlPr xmlns="http://schemas.microsoft.com/office/spreadsheetml/2009/9/main" objectType="Button" lockText="1"/>
</file>

<file path=xl/ctrlProps/ctrlProp167.xml><?xml version="1.0" encoding="utf-8"?>
<formControlPr xmlns="http://schemas.microsoft.com/office/spreadsheetml/2009/9/main" objectType="CheckBox" fmlaLink="[2]서식선택_출력!$A$37" lockText="1" noThreeD="1"/>
</file>

<file path=xl/ctrlProps/ctrlProp168.xml><?xml version="1.0" encoding="utf-8"?>
<formControlPr xmlns="http://schemas.microsoft.com/office/spreadsheetml/2009/9/main" objectType="Button" lockText="1"/>
</file>

<file path=xl/ctrlProps/ctrlProp169.xml><?xml version="1.0" encoding="utf-8"?>
<formControlPr xmlns="http://schemas.microsoft.com/office/spreadsheetml/2009/9/main" objectType="CheckBox" fmlaLink="[2]서식선택_출력!$A$38" lockText="1" noThreeD="1"/>
</file>

<file path=xl/ctrlProps/ctrlProp170.xml><?xml version="1.0" encoding="utf-8"?>
<formControlPr xmlns="http://schemas.microsoft.com/office/spreadsheetml/2009/9/main" objectType="Button" lockText="1"/>
</file>

<file path=xl/ctrlProps/ctrlProp171.xml><?xml version="1.0" encoding="utf-8"?>
<formControlPr xmlns="http://schemas.microsoft.com/office/spreadsheetml/2009/9/main" objectType="CheckBox" fmlaLink="[2]서식선택_출력!$A$39" lockText="1" noThreeD="1"/>
</file>

<file path=xl/ctrlProps/ctrlProp172.xml><?xml version="1.0" encoding="utf-8"?>
<formControlPr xmlns="http://schemas.microsoft.com/office/spreadsheetml/2009/9/main" objectType="Button" lockText="1"/>
</file>

<file path=xl/ctrlProps/ctrlProp173.xml><?xml version="1.0" encoding="utf-8"?>
<formControlPr xmlns="http://schemas.microsoft.com/office/spreadsheetml/2009/9/main" objectType="CheckBox" fmlaLink="[2]서식선택_출력!$A$40" lockText="1" noThreeD="1"/>
</file>

<file path=xl/ctrlProps/ctrlProp174.xml><?xml version="1.0" encoding="utf-8"?>
<formControlPr xmlns="http://schemas.microsoft.com/office/spreadsheetml/2009/9/main" objectType="Button" lockText="1"/>
</file>

<file path=xl/ctrlProps/ctrlProp175.xml><?xml version="1.0" encoding="utf-8"?>
<formControlPr xmlns="http://schemas.microsoft.com/office/spreadsheetml/2009/9/main" objectType="CheckBox" fmlaLink="[2]서식선택_출력!$A$41" lockText="1" noThreeD="1"/>
</file>

<file path=xl/ctrlProps/ctrlProp176.xml><?xml version="1.0" encoding="utf-8"?>
<formControlPr xmlns="http://schemas.microsoft.com/office/spreadsheetml/2009/9/main" objectType="Button" lockText="1"/>
</file>

<file path=xl/ctrlProps/ctrlProp177.xml><?xml version="1.0" encoding="utf-8"?>
<formControlPr xmlns="http://schemas.microsoft.com/office/spreadsheetml/2009/9/main" objectType="CheckBox" fmlaLink="[2]서식선택_출력!$A$42" lockText="1" noThreeD="1"/>
</file>

<file path=xl/ctrlProps/ctrlProp178.xml><?xml version="1.0" encoding="utf-8"?>
<formControlPr xmlns="http://schemas.microsoft.com/office/spreadsheetml/2009/9/main" objectType="Button" lockText="1"/>
</file>

<file path=xl/ctrlProps/ctrlProp179.xml><?xml version="1.0" encoding="utf-8"?>
<formControlPr xmlns="http://schemas.microsoft.com/office/spreadsheetml/2009/9/main" objectType="CheckBox" fmlaLink="[2]서식선택_출력!$A$43" lockText="1" noThreeD="1"/>
</file>

<file path=xl/ctrlProps/ctrlProp180.xml><?xml version="1.0" encoding="utf-8"?>
<formControlPr xmlns="http://schemas.microsoft.com/office/spreadsheetml/2009/9/main" objectType="Button" lockText="1"/>
</file>

<file path=xl/ctrlProps/ctrlProp181.xml><?xml version="1.0" encoding="utf-8"?>
<formControlPr xmlns="http://schemas.microsoft.com/office/spreadsheetml/2009/9/main" objectType="CheckBox" fmlaLink="[2]서식선택_출력!$A$44" lockText="1" noThreeD="1"/>
</file>

<file path=xl/ctrlProps/ctrlProp182.xml><?xml version="1.0" encoding="utf-8"?>
<formControlPr xmlns="http://schemas.microsoft.com/office/spreadsheetml/2009/9/main" objectType="Button" lockText="1"/>
</file>

<file path=xl/ctrlProps/ctrlProp183.xml><?xml version="1.0" encoding="utf-8"?>
<formControlPr xmlns="http://schemas.microsoft.com/office/spreadsheetml/2009/9/main" objectType="CheckBox" fmlaLink="[2]서식선택_출력!$A$45" lockText="1" noThreeD="1"/>
</file>

<file path=xl/ctrlProps/ctrlProp184.xml><?xml version="1.0" encoding="utf-8"?>
<formControlPr xmlns="http://schemas.microsoft.com/office/spreadsheetml/2009/9/main" objectType="Button" lockText="1"/>
</file>

<file path=xl/ctrlProps/ctrlProp185.xml><?xml version="1.0" encoding="utf-8"?>
<formControlPr xmlns="http://schemas.microsoft.com/office/spreadsheetml/2009/9/main" objectType="CheckBox" fmlaLink="[2]서식선택_출력!$A$46" lockText="1" noThreeD="1"/>
</file>

<file path=xl/ctrlProps/ctrlProp186.xml><?xml version="1.0" encoding="utf-8"?>
<formControlPr xmlns="http://schemas.microsoft.com/office/spreadsheetml/2009/9/main" objectType="Button" lockText="1"/>
</file>

<file path=xl/ctrlProps/ctrlProp187.xml><?xml version="1.0" encoding="utf-8"?>
<formControlPr xmlns="http://schemas.microsoft.com/office/spreadsheetml/2009/9/main" objectType="CheckBox" fmlaLink="[2]서식선택_출력!$A$47" lockText="1" noThreeD="1"/>
</file>

<file path=xl/ctrlProps/ctrlProp188.xml><?xml version="1.0" encoding="utf-8"?>
<formControlPr xmlns="http://schemas.microsoft.com/office/spreadsheetml/2009/9/main" objectType="Button" lockText="1"/>
</file>

<file path=xl/ctrlProps/ctrlProp189.xml><?xml version="1.0" encoding="utf-8"?>
<formControlPr xmlns="http://schemas.microsoft.com/office/spreadsheetml/2009/9/main" objectType="CheckBox" fmlaLink="[2]서식선택_출력!$A$48" lockText="1" noThreeD="1"/>
</file>

<file path=xl/ctrlProps/ctrlProp190.xml><?xml version="1.0" encoding="utf-8"?>
<formControlPr xmlns="http://schemas.microsoft.com/office/spreadsheetml/2009/9/main" objectType="Button" lockText="1"/>
</file>

<file path=xl/ctrlProps/ctrlProp191.xml><?xml version="1.0" encoding="utf-8"?>
<formControlPr xmlns="http://schemas.microsoft.com/office/spreadsheetml/2009/9/main" objectType="CheckBox" fmlaLink="[2]서식선택_출력!$A$49" lockText="1" noThreeD="1"/>
</file>

<file path=xl/ctrlProps/ctrlProp192.xml><?xml version="1.0" encoding="utf-8"?>
<formControlPr xmlns="http://schemas.microsoft.com/office/spreadsheetml/2009/9/main" objectType="Button" lockText="1"/>
</file>

<file path=xl/ctrlProps/ctrlProp193.xml><?xml version="1.0" encoding="utf-8"?>
<formControlPr xmlns="http://schemas.microsoft.com/office/spreadsheetml/2009/9/main" objectType="CheckBox" fmlaLink="[2]서식선택_출력!$A$50" lockText="1" noThreeD="1"/>
</file>

<file path=xl/ctrlProps/ctrlProp194.xml><?xml version="1.0" encoding="utf-8"?>
<formControlPr xmlns="http://schemas.microsoft.com/office/spreadsheetml/2009/9/main" objectType="Button" lockText="1"/>
</file>

<file path=xl/ctrlProps/ctrlProp195.xml><?xml version="1.0" encoding="utf-8"?>
<formControlPr xmlns="http://schemas.microsoft.com/office/spreadsheetml/2009/9/main" objectType="CheckBox" fmlaLink="[2]서식선택_출력!$A$51" lockText="1" noThreeD="1"/>
</file>

<file path=xl/ctrlProps/ctrlProp196.xml><?xml version="1.0" encoding="utf-8"?>
<formControlPr xmlns="http://schemas.microsoft.com/office/spreadsheetml/2009/9/main" objectType="Button" lockText="1"/>
</file>

<file path=xl/ctrlProps/ctrlProp197.xml><?xml version="1.0" encoding="utf-8"?>
<formControlPr xmlns="http://schemas.microsoft.com/office/spreadsheetml/2009/9/main" objectType="CheckBox" fmlaLink="[2]서식선택_출력!$A$52" lockText="1" noThreeD="1"/>
</file>

<file path=xl/ctrlProps/ctrlProp198.xml><?xml version="1.0" encoding="utf-8"?>
<formControlPr xmlns="http://schemas.microsoft.com/office/spreadsheetml/2009/9/main" objectType="Button" lockText="1"/>
</file>

<file path=xl/ctrlProps/ctrlProp199.xml><?xml version="1.0" encoding="utf-8"?>
<formControlPr xmlns="http://schemas.microsoft.com/office/spreadsheetml/2009/9/main" objectType="CheckBox" fmlaLink="[2]서식선택_출력!$A$53" lockText="1" noThreeD="1"/>
</file>

<file path=xl/ctrlProps/ctrlProp200.xml><?xml version="1.0" encoding="utf-8"?>
<formControlPr xmlns="http://schemas.microsoft.com/office/spreadsheetml/2009/9/main" objectType="Button" lockText="1"/>
</file>

<file path=xl/ctrlProps/ctrlProp201.xml><?xml version="1.0" encoding="utf-8"?>
<formControlPr xmlns="http://schemas.microsoft.com/office/spreadsheetml/2009/9/main" objectType="CheckBox" fmlaLink="[2]서식선택_출력!$A$54" lockText="1" noThreeD="1"/>
</file>

<file path=xl/ctrlProps/ctrlProp202.xml><?xml version="1.0" encoding="utf-8"?>
<formControlPr xmlns="http://schemas.microsoft.com/office/spreadsheetml/2009/9/main" objectType="Button" lockText="1"/>
</file>

<file path=xl/ctrlProps/ctrlProp203.xml><?xml version="1.0" encoding="utf-8"?>
<formControlPr xmlns="http://schemas.microsoft.com/office/spreadsheetml/2009/9/main" objectType="CheckBox" fmlaLink="[2]서식선택_출력!$A$55" lockText="1" noThreeD="1"/>
</file>

<file path=xl/ctrlProps/ctrlProp204.xml><?xml version="1.0" encoding="utf-8"?>
<formControlPr xmlns="http://schemas.microsoft.com/office/spreadsheetml/2009/9/main" objectType="CheckBox" fmlaLink="[2]서식선택_출력!$A$56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541020</xdr:colOff>
          <xdr:row>0</xdr:row>
          <xdr:rowOff>121920</xdr:rowOff>
        </xdr:from>
        <xdr:to>
          <xdr:col>6</xdr:col>
          <xdr:colOff>289560</xdr:colOff>
          <xdr:row>1</xdr:row>
          <xdr:rowOff>167640</xdr:rowOff>
        </xdr:to>
        <xdr:sp macro="" textlink="">
          <xdr:nvSpPr>
            <xdr:cNvPr id="1025" name="btn초기화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B2BCFAF9-4E27-4DF9-AC0E-06F4049A42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초기화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411480</xdr:colOff>
          <xdr:row>0</xdr:row>
          <xdr:rowOff>121920</xdr:rowOff>
        </xdr:from>
        <xdr:to>
          <xdr:col>8</xdr:col>
          <xdr:colOff>91440</xdr:colOff>
          <xdr:row>1</xdr:row>
          <xdr:rowOff>167640</xdr:rowOff>
        </xdr:to>
        <xdr:sp macro="" textlink="">
          <xdr:nvSpPr>
            <xdr:cNvPr id="1026" name="btn저장하기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706F25CD-0DE7-4B6C-85BD-EAABF73D6A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저장하기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213360</xdr:colOff>
          <xdr:row>0</xdr:row>
          <xdr:rowOff>121920</xdr:rowOff>
        </xdr:from>
        <xdr:to>
          <xdr:col>9</xdr:col>
          <xdr:colOff>563880</xdr:colOff>
          <xdr:row>1</xdr:row>
          <xdr:rowOff>167640</xdr:rowOff>
        </xdr:to>
        <xdr:sp macro="" textlink="">
          <xdr:nvSpPr>
            <xdr:cNvPr id="1027" name="btn수정하기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77344CA5-0DEA-4D32-A7C7-37E1BCDB8E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수정하기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15240</xdr:colOff>
          <xdr:row>0</xdr:row>
          <xdr:rowOff>121920</xdr:rowOff>
        </xdr:from>
        <xdr:to>
          <xdr:col>11</xdr:col>
          <xdr:colOff>365760</xdr:colOff>
          <xdr:row>1</xdr:row>
          <xdr:rowOff>167640</xdr:rowOff>
        </xdr:to>
        <xdr:sp macro="" textlink="">
          <xdr:nvSpPr>
            <xdr:cNvPr id="1028" name="btn불러오기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1BBF29FF-CB88-4014-93AC-6C720B54E8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불러오기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0</xdr:colOff>
          <xdr:row>1</xdr:row>
          <xdr:rowOff>0</xdr:rowOff>
        </xdr:from>
        <xdr:to>
          <xdr:col>21</xdr:col>
          <xdr:colOff>548640</xdr:colOff>
          <xdr:row>2</xdr:row>
          <xdr:rowOff>83820</xdr:rowOff>
        </xdr:to>
        <xdr:sp macro="" textlink="">
          <xdr:nvSpPr>
            <xdr:cNvPr id="1029" name="btn빠른미리보기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FDF35EB5-D09F-48C2-833E-6A5EF53667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선택 서식 인쇄 미리보기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21</xdr:col>
          <xdr:colOff>678180</xdr:colOff>
          <xdr:row>1</xdr:row>
          <xdr:rowOff>0</xdr:rowOff>
        </xdr:from>
        <xdr:to>
          <xdr:col>22</xdr:col>
          <xdr:colOff>373380</xdr:colOff>
          <xdr:row>2</xdr:row>
          <xdr:rowOff>83820</xdr:rowOff>
        </xdr:to>
        <xdr:sp macro="" textlink="">
          <xdr:nvSpPr>
            <xdr:cNvPr id="1030" name="btn빠른PDF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D0EE6365-C4E3-4694-9F58-A3C69F7805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선택 서식 PDF 저장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495300</xdr:colOff>
          <xdr:row>1</xdr:row>
          <xdr:rowOff>0</xdr:rowOff>
        </xdr:from>
        <xdr:to>
          <xdr:col>24</xdr:col>
          <xdr:colOff>541020</xdr:colOff>
          <xdr:row>2</xdr:row>
          <xdr:rowOff>83820</xdr:rowOff>
        </xdr:to>
        <xdr:sp macro="" textlink="">
          <xdr:nvSpPr>
            <xdr:cNvPr id="1031" name="btn빠른HWPX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348D6E44-DE03-4A02-BAE1-3B5C3BBBEB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선택 서식 HWPX 작성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0</xdr:colOff>
          <xdr:row>1</xdr:row>
          <xdr:rowOff>0</xdr:rowOff>
        </xdr:from>
        <xdr:to>
          <xdr:col>27</xdr:col>
          <xdr:colOff>563880</xdr:colOff>
          <xdr:row>2</xdr:row>
          <xdr:rowOff>83820</xdr:rowOff>
        </xdr:to>
        <xdr:sp macro="" textlink="">
          <xdr:nvSpPr>
            <xdr:cNvPr id="1032" name="btn이동_계약방법안내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E6A37E51-B3DD-4812-B6D2-9D9658468A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계약방법안내로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28</xdr:col>
          <xdr:colOff>22860</xdr:colOff>
          <xdr:row>1</xdr:row>
          <xdr:rowOff>0</xdr:rowOff>
        </xdr:from>
        <xdr:to>
          <xdr:col>30</xdr:col>
          <xdr:colOff>586740</xdr:colOff>
          <xdr:row>2</xdr:row>
          <xdr:rowOff>83820</xdr:rowOff>
        </xdr:to>
        <xdr:sp macro="" textlink="">
          <xdr:nvSpPr>
            <xdr:cNvPr id="1033" name="btn이동_DB열기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4F4CD741-56AF-458F-A2B4-92AD877520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DB 열기(관리자용)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4</xdr:row>
          <xdr:rowOff>7620</xdr:rowOff>
        </xdr:from>
        <xdr:to>
          <xdr:col>19</xdr:col>
          <xdr:colOff>259080</xdr:colOff>
          <xdr:row>5</xdr:row>
          <xdr:rowOff>38100</xdr:rowOff>
        </xdr:to>
        <xdr:sp macro="" textlink="">
          <xdr:nvSpPr>
            <xdr:cNvPr id="1034" name="chkQuick_F-001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92A4A31F-ADDC-4C3A-A70C-C0EDB98816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4</xdr:row>
          <xdr:rowOff>15240</xdr:rowOff>
        </xdr:from>
        <xdr:to>
          <xdr:col>23</xdr:col>
          <xdr:colOff>60960</xdr:colOff>
          <xdr:row>4</xdr:row>
          <xdr:rowOff>205740</xdr:rowOff>
        </xdr:to>
        <xdr:sp macro="" textlink="">
          <xdr:nvSpPr>
            <xdr:cNvPr id="1035" name="btnQuickView_F-00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37F38A87-5189-46E3-A37D-6368CDDF37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5</xdr:row>
          <xdr:rowOff>7620</xdr:rowOff>
        </xdr:from>
        <xdr:to>
          <xdr:col>19</xdr:col>
          <xdr:colOff>259080</xdr:colOff>
          <xdr:row>6</xdr:row>
          <xdr:rowOff>38100</xdr:rowOff>
        </xdr:to>
        <xdr:sp macro="" textlink="">
          <xdr:nvSpPr>
            <xdr:cNvPr id="1036" name="chkQuick_F-00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D72B8B23-57D3-4DA4-B7FD-A8EDFB0E1C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5</xdr:row>
          <xdr:rowOff>15240</xdr:rowOff>
        </xdr:from>
        <xdr:to>
          <xdr:col>23</xdr:col>
          <xdr:colOff>60960</xdr:colOff>
          <xdr:row>5</xdr:row>
          <xdr:rowOff>205740</xdr:rowOff>
        </xdr:to>
        <xdr:sp macro="" textlink="">
          <xdr:nvSpPr>
            <xdr:cNvPr id="1037" name="btnQuickView_F-002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436A5F8F-38AD-4C27-AA22-B88EFCE75A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6</xdr:row>
          <xdr:rowOff>7620</xdr:rowOff>
        </xdr:from>
        <xdr:to>
          <xdr:col>19</xdr:col>
          <xdr:colOff>259080</xdr:colOff>
          <xdr:row>7</xdr:row>
          <xdr:rowOff>38100</xdr:rowOff>
        </xdr:to>
        <xdr:sp macro="" textlink="">
          <xdr:nvSpPr>
            <xdr:cNvPr id="1038" name="chkQuick_F-003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6299CC56-FB6D-4600-B337-427F2DD66D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6</xdr:row>
          <xdr:rowOff>15240</xdr:rowOff>
        </xdr:from>
        <xdr:to>
          <xdr:col>23</xdr:col>
          <xdr:colOff>60960</xdr:colOff>
          <xdr:row>6</xdr:row>
          <xdr:rowOff>205740</xdr:rowOff>
        </xdr:to>
        <xdr:sp macro="" textlink="">
          <xdr:nvSpPr>
            <xdr:cNvPr id="1039" name="btnQuickView_F-003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811D7F7F-B07F-4221-8B1E-19E112C597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7</xdr:row>
          <xdr:rowOff>7620</xdr:rowOff>
        </xdr:from>
        <xdr:to>
          <xdr:col>19</xdr:col>
          <xdr:colOff>259080</xdr:colOff>
          <xdr:row>8</xdr:row>
          <xdr:rowOff>38100</xdr:rowOff>
        </xdr:to>
        <xdr:sp macro="" textlink="">
          <xdr:nvSpPr>
            <xdr:cNvPr id="1040" name="chkQuick_F-004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83CF35C7-AEE7-4F3F-A520-F7E4FF4B53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7</xdr:row>
          <xdr:rowOff>15240</xdr:rowOff>
        </xdr:from>
        <xdr:to>
          <xdr:col>23</xdr:col>
          <xdr:colOff>60960</xdr:colOff>
          <xdr:row>7</xdr:row>
          <xdr:rowOff>205740</xdr:rowOff>
        </xdr:to>
        <xdr:sp macro="" textlink="">
          <xdr:nvSpPr>
            <xdr:cNvPr id="1041" name="btnQuickView_F-004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7E07894B-19AF-4A10-8A8C-9B71F29379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8</xdr:row>
          <xdr:rowOff>7620</xdr:rowOff>
        </xdr:from>
        <xdr:to>
          <xdr:col>19</xdr:col>
          <xdr:colOff>259080</xdr:colOff>
          <xdr:row>9</xdr:row>
          <xdr:rowOff>38100</xdr:rowOff>
        </xdr:to>
        <xdr:sp macro="" textlink="">
          <xdr:nvSpPr>
            <xdr:cNvPr id="1042" name="chkQuick_F-005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BAF2D4E5-043E-41E9-A933-FD0046965D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8</xdr:row>
          <xdr:rowOff>15240</xdr:rowOff>
        </xdr:from>
        <xdr:to>
          <xdr:col>23</xdr:col>
          <xdr:colOff>60960</xdr:colOff>
          <xdr:row>8</xdr:row>
          <xdr:rowOff>205740</xdr:rowOff>
        </xdr:to>
        <xdr:sp macro="" textlink="">
          <xdr:nvSpPr>
            <xdr:cNvPr id="1043" name="btnQuickView_F-005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95F5A57F-23CF-43EC-9A18-58088A5612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9</xdr:row>
          <xdr:rowOff>7620</xdr:rowOff>
        </xdr:from>
        <xdr:to>
          <xdr:col>19</xdr:col>
          <xdr:colOff>259080</xdr:colOff>
          <xdr:row>10</xdr:row>
          <xdr:rowOff>38100</xdr:rowOff>
        </xdr:to>
        <xdr:sp macro="" textlink="">
          <xdr:nvSpPr>
            <xdr:cNvPr id="1044" name="chkQuick_F-006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DEA6DA23-6F7A-44E8-A4B4-A26DF9EDCB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9</xdr:row>
          <xdr:rowOff>15240</xdr:rowOff>
        </xdr:from>
        <xdr:to>
          <xdr:col>23</xdr:col>
          <xdr:colOff>60960</xdr:colOff>
          <xdr:row>9</xdr:row>
          <xdr:rowOff>205740</xdr:rowOff>
        </xdr:to>
        <xdr:sp macro="" textlink="">
          <xdr:nvSpPr>
            <xdr:cNvPr id="1045" name="btnQuickView_F-006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BC17EE3F-6CE8-43F4-B014-12B6CAB63A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10</xdr:row>
          <xdr:rowOff>7620</xdr:rowOff>
        </xdr:from>
        <xdr:to>
          <xdr:col>19</xdr:col>
          <xdr:colOff>259080</xdr:colOff>
          <xdr:row>11</xdr:row>
          <xdr:rowOff>38100</xdr:rowOff>
        </xdr:to>
        <xdr:sp macro="" textlink="">
          <xdr:nvSpPr>
            <xdr:cNvPr id="1046" name="chkQuick_F-007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5B2CA926-0C39-4FBA-83B8-4B9F5D0B39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10</xdr:row>
          <xdr:rowOff>15240</xdr:rowOff>
        </xdr:from>
        <xdr:to>
          <xdr:col>23</xdr:col>
          <xdr:colOff>60960</xdr:colOff>
          <xdr:row>10</xdr:row>
          <xdr:rowOff>205740</xdr:rowOff>
        </xdr:to>
        <xdr:sp macro="" textlink="">
          <xdr:nvSpPr>
            <xdr:cNvPr id="1047" name="btnQuickView_F-007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708AC2A0-DAC8-48A0-89E9-772FA2B36D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11</xdr:row>
          <xdr:rowOff>7620</xdr:rowOff>
        </xdr:from>
        <xdr:to>
          <xdr:col>19</xdr:col>
          <xdr:colOff>259080</xdr:colOff>
          <xdr:row>12</xdr:row>
          <xdr:rowOff>38100</xdr:rowOff>
        </xdr:to>
        <xdr:sp macro="" textlink="">
          <xdr:nvSpPr>
            <xdr:cNvPr id="1048" name="chkQuick_F-008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D174A44A-5746-48F3-AEF2-2716BC6EAC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11</xdr:row>
          <xdr:rowOff>15240</xdr:rowOff>
        </xdr:from>
        <xdr:to>
          <xdr:col>23</xdr:col>
          <xdr:colOff>60960</xdr:colOff>
          <xdr:row>11</xdr:row>
          <xdr:rowOff>205740</xdr:rowOff>
        </xdr:to>
        <xdr:sp macro="" textlink="">
          <xdr:nvSpPr>
            <xdr:cNvPr id="1049" name="btnQuickView_F-008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F385F655-9306-4B52-8D1F-CB8C485453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12</xdr:row>
          <xdr:rowOff>7620</xdr:rowOff>
        </xdr:from>
        <xdr:to>
          <xdr:col>19</xdr:col>
          <xdr:colOff>259080</xdr:colOff>
          <xdr:row>13</xdr:row>
          <xdr:rowOff>38100</xdr:rowOff>
        </xdr:to>
        <xdr:sp macro="" textlink="">
          <xdr:nvSpPr>
            <xdr:cNvPr id="1050" name="chkQuick_F-009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822ED85E-4252-4268-837B-BFC8203396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12</xdr:row>
          <xdr:rowOff>15240</xdr:rowOff>
        </xdr:from>
        <xdr:to>
          <xdr:col>23</xdr:col>
          <xdr:colOff>60960</xdr:colOff>
          <xdr:row>12</xdr:row>
          <xdr:rowOff>205740</xdr:rowOff>
        </xdr:to>
        <xdr:sp macro="" textlink="">
          <xdr:nvSpPr>
            <xdr:cNvPr id="1051" name="btnQuickView_F-009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504663AC-CE63-45DC-BD5A-E086C03026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13</xdr:row>
          <xdr:rowOff>7620</xdr:rowOff>
        </xdr:from>
        <xdr:to>
          <xdr:col>19</xdr:col>
          <xdr:colOff>259080</xdr:colOff>
          <xdr:row>14</xdr:row>
          <xdr:rowOff>38100</xdr:rowOff>
        </xdr:to>
        <xdr:sp macro="" textlink="">
          <xdr:nvSpPr>
            <xdr:cNvPr id="1052" name="chkQuick_F-010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6AFE1A5D-41B2-44DE-9C0A-B52F780055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13</xdr:row>
          <xdr:rowOff>15240</xdr:rowOff>
        </xdr:from>
        <xdr:to>
          <xdr:col>23</xdr:col>
          <xdr:colOff>60960</xdr:colOff>
          <xdr:row>13</xdr:row>
          <xdr:rowOff>205740</xdr:rowOff>
        </xdr:to>
        <xdr:sp macro="" textlink="">
          <xdr:nvSpPr>
            <xdr:cNvPr id="1053" name="btnQuickView_F-010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D801EE29-EC44-4B18-9EE3-51DD0111FF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14</xdr:row>
          <xdr:rowOff>7620</xdr:rowOff>
        </xdr:from>
        <xdr:to>
          <xdr:col>19</xdr:col>
          <xdr:colOff>259080</xdr:colOff>
          <xdr:row>15</xdr:row>
          <xdr:rowOff>38100</xdr:rowOff>
        </xdr:to>
        <xdr:sp macro="" textlink="">
          <xdr:nvSpPr>
            <xdr:cNvPr id="1054" name="chkQuick_F-011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7E0B2152-448F-4DFF-84B8-7BFA971204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14</xdr:row>
          <xdr:rowOff>15240</xdr:rowOff>
        </xdr:from>
        <xdr:to>
          <xdr:col>23</xdr:col>
          <xdr:colOff>60960</xdr:colOff>
          <xdr:row>14</xdr:row>
          <xdr:rowOff>205740</xdr:rowOff>
        </xdr:to>
        <xdr:sp macro="" textlink="">
          <xdr:nvSpPr>
            <xdr:cNvPr id="1055" name="btnQuickView_F-01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753373DC-7BC7-4C9A-AC3B-D5D4759687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15</xdr:row>
          <xdr:rowOff>7620</xdr:rowOff>
        </xdr:from>
        <xdr:to>
          <xdr:col>19</xdr:col>
          <xdr:colOff>259080</xdr:colOff>
          <xdr:row>16</xdr:row>
          <xdr:rowOff>38100</xdr:rowOff>
        </xdr:to>
        <xdr:sp macro="" textlink="">
          <xdr:nvSpPr>
            <xdr:cNvPr id="1056" name="chkQuick_F-01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A6C9433B-73DE-4DA1-9EA5-13DBDD3316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15</xdr:row>
          <xdr:rowOff>15240</xdr:rowOff>
        </xdr:from>
        <xdr:to>
          <xdr:col>23</xdr:col>
          <xdr:colOff>60960</xdr:colOff>
          <xdr:row>15</xdr:row>
          <xdr:rowOff>205740</xdr:rowOff>
        </xdr:to>
        <xdr:sp macro="" textlink="">
          <xdr:nvSpPr>
            <xdr:cNvPr id="1057" name="btnQuickView_F-012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B9A5FCAB-8103-4760-9C37-ED2AF38D48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16</xdr:row>
          <xdr:rowOff>7620</xdr:rowOff>
        </xdr:from>
        <xdr:to>
          <xdr:col>19</xdr:col>
          <xdr:colOff>259080</xdr:colOff>
          <xdr:row>17</xdr:row>
          <xdr:rowOff>38100</xdr:rowOff>
        </xdr:to>
        <xdr:sp macro="" textlink="">
          <xdr:nvSpPr>
            <xdr:cNvPr id="1058" name="chkQuick_F-013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F1857DEE-7D8B-4CF8-920E-74EDFDEC05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17</xdr:row>
          <xdr:rowOff>7620</xdr:rowOff>
        </xdr:from>
        <xdr:to>
          <xdr:col>19</xdr:col>
          <xdr:colOff>259080</xdr:colOff>
          <xdr:row>18</xdr:row>
          <xdr:rowOff>38100</xdr:rowOff>
        </xdr:to>
        <xdr:sp macro="" textlink="">
          <xdr:nvSpPr>
            <xdr:cNvPr id="1059" name="chkQuick_F-014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DB83BD09-CC5E-48C5-8EB5-1D225D2E86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17</xdr:row>
          <xdr:rowOff>15240</xdr:rowOff>
        </xdr:from>
        <xdr:to>
          <xdr:col>23</xdr:col>
          <xdr:colOff>60960</xdr:colOff>
          <xdr:row>17</xdr:row>
          <xdr:rowOff>205740</xdr:rowOff>
        </xdr:to>
        <xdr:sp macro="" textlink="">
          <xdr:nvSpPr>
            <xdr:cNvPr id="1060" name="btnQuickView_F-014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CDEDA74-58D4-4570-92D7-AAECE6B109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18</xdr:row>
          <xdr:rowOff>7620</xdr:rowOff>
        </xdr:from>
        <xdr:to>
          <xdr:col>19</xdr:col>
          <xdr:colOff>259080</xdr:colOff>
          <xdr:row>19</xdr:row>
          <xdr:rowOff>38100</xdr:rowOff>
        </xdr:to>
        <xdr:sp macro="" textlink="">
          <xdr:nvSpPr>
            <xdr:cNvPr id="1061" name="chkQuick_F-015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11C58AFD-FCC4-47DF-849F-71BEFED86C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18</xdr:row>
          <xdr:rowOff>15240</xdr:rowOff>
        </xdr:from>
        <xdr:to>
          <xdr:col>23</xdr:col>
          <xdr:colOff>60960</xdr:colOff>
          <xdr:row>18</xdr:row>
          <xdr:rowOff>205740</xdr:rowOff>
        </xdr:to>
        <xdr:sp macro="" textlink="">
          <xdr:nvSpPr>
            <xdr:cNvPr id="1062" name="btnQuickView_F-015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707B2F82-83B4-4B4C-9CB1-7827C7EC17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19</xdr:row>
          <xdr:rowOff>7620</xdr:rowOff>
        </xdr:from>
        <xdr:to>
          <xdr:col>19</xdr:col>
          <xdr:colOff>259080</xdr:colOff>
          <xdr:row>20</xdr:row>
          <xdr:rowOff>38100</xdr:rowOff>
        </xdr:to>
        <xdr:sp macro="" textlink="">
          <xdr:nvSpPr>
            <xdr:cNvPr id="1063" name="chkQuick_F-016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C897BE22-5470-4E74-AC96-2498D16850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19</xdr:row>
          <xdr:rowOff>15240</xdr:rowOff>
        </xdr:from>
        <xdr:to>
          <xdr:col>23</xdr:col>
          <xdr:colOff>60960</xdr:colOff>
          <xdr:row>19</xdr:row>
          <xdr:rowOff>205740</xdr:rowOff>
        </xdr:to>
        <xdr:sp macro="" textlink="">
          <xdr:nvSpPr>
            <xdr:cNvPr id="1064" name="btnQuickView_F-016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24B19E5D-D32F-4911-A1DB-C3B25E9610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20</xdr:row>
          <xdr:rowOff>7620</xdr:rowOff>
        </xdr:from>
        <xdr:to>
          <xdr:col>19</xdr:col>
          <xdr:colOff>259080</xdr:colOff>
          <xdr:row>21</xdr:row>
          <xdr:rowOff>38100</xdr:rowOff>
        </xdr:to>
        <xdr:sp macro="" textlink="">
          <xdr:nvSpPr>
            <xdr:cNvPr id="1065" name="chkQuick_F-017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15A483A6-6B65-46FB-8E90-18572C3DF9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20</xdr:row>
          <xdr:rowOff>15240</xdr:rowOff>
        </xdr:from>
        <xdr:to>
          <xdr:col>23</xdr:col>
          <xdr:colOff>60960</xdr:colOff>
          <xdr:row>20</xdr:row>
          <xdr:rowOff>205740</xdr:rowOff>
        </xdr:to>
        <xdr:sp macro="" textlink="">
          <xdr:nvSpPr>
            <xdr:cNvPr id="1066" name="btnQuickView_F-017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A2EDFDA-3C19-4131-9AC0-4D12DA4779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21</xdr:row>
          <xdr:rowOff>7620</xdr:rowOff>
        </xdr:from>
        <xdr:to>
          <xdr:col>19</xdr:col>
          <xdr:colOff>259080</xdr:colOff>
          <xdr:row>22</xdr:row>
          <xdr:rowOff>38100</xdr:rowOff>
        </xdr:to>
        <xdr:sp macro="" textlink="">
          <xdr:nvSpPr>
            <xdr:cNvPr id="1067" name="chkQuick_F-018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12F63719-A6CB-4D01-9DDF-AFF5D1EB39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21</xdr:row>
          <xdr:rowOff>15240</xdr:rowOff>
        </xdr:from>
        <xdr:to>
          <xdr:col>23</xdr:col>
          <xdr:colOff>60960</xdr:colOff>
          <xdr:row>21</xdr:row>
          <xdr:rowOff>205740</xdr:rowOff>
        </xdr:to>
        <xdr:sp macro="" textlink="">
          <xdr:nvSpPr>
            <xdr:cNvPr id="1068" name="btnQuickView_F-018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6DCD0671-13A2-4883-8964-945A86CB1F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22</xdr:row>
          <xdr:rowOff>7620</xdr:rowOff>
        </xdr:from>
        <xdr:to>
          <xdr:col>19</xdr:col>
          <xdr:colOff>259080</xdr:colOff>
          <xdr:row>23</xdr:row>
          <xdr:rowOff>38100</xdr:rowOff>
        </xdr:to>
        <xdr:sp macro="" textlink="">
          <xdr:nvSpPr>
            <xdr:cNvPr id="1069" name="chkQuick_F-019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4AACF36-741E-4DAD-A137-201EC5E1E7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22</xdr:row>
          <xdr:rowOff>15240</xdr:rowOff>
        </xdr:from>
        <xdr:to>
          <xdr:col>23</xdr:col>
          <xdr:colOff>60960</xdr:colOff>
          <xdr:row>22</xdr:row>
          <xdr:rowOff>205740</xdr:rowOff>
        </xdr:to>
        <xdr:sp macro="" textlink="">
          <xdr:nvSpPr>
            <xdr:cNvPr id="1070" name="btnQuickView_F-019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6083644B-B459-483B-B745-355327E14A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23</xdr:row>
          <xdr:rowOff>7620</xdr:rowOff>
        </xdr:from>
        <xdr:to>
          <xdr:col>19</xdr:col>
          <xdr:colOff>259080</xdr:colOff>
          <xdr:row>24</xdr:row>
          <xdr:rowOff>38100</xdr:rowOff>
        </xdr:to>
        <xdr:sp macro="" textlink="">
          <xdr:nvSpPr>
            <xdr:cNvPr id="1071" name="chkQuick_F-020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98B30605-370B-435C-984B-E1C7A7AA1A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23</xdr:row>
          <xdr:rowOff>15240</xdr:rowOff>
        </xdr:from>
        <xdr:to>
          <xdr:col>23</xdr:col>
          <xdr:colOff>60960</xdr:colOff>
          <xdr:row>23</xdr:row>
          <xdr:rowOff>205740</xdr:rowOff>
        </xdr:to>
        <xdr:sp macro="" textlink="">
          <xdr:nvSpPr>
            <xdr:cNvPr id="1072" name="btnQuickView_F-020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4C2D8F2F-9D29-4B8C-B95D-21F221C3E3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24</xdr:row>
          <xdr:rowOff>7620</xdr:rowOff>
        </xdr:from>
        <xdr:to>
          <xdr:col>19</xdr:col>
          <xdr:colOff>259080</xdr:colOff>
          <xdr:row>24</xdr:row>
          <xdr:rowOff>259080</xdr:rowOff>
        </xdr:to>
        <xdr:sp macro="" textlink="">
          <xdr:nvSpPr>
            <xdr:cNvPr id="1073" name="chkQuick_F-021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D50DBEB8-7FA0-4904-AC24-ED223DBED2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24</xdr:row>
          <xdr:rowOff>281940</xdr:rowOff>
        </xdr:from>
        <xdr:to>
          <xdr:col>23</xdr:col>
          <xdr:colOff>60960</xdr:colOff>
          <xdr:row>24</xdr:row>
          <xdr:rowOff>472440</xdr:rowOff>
        </xdr:to>
        <xdr:sp macro="" textlink="">
          <xdr:nvSpPr>
            <xdr:cNvPr id="1074" name="btnQuickView_F-021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BF5AC521-64D4-41BA-9F9E-FAB23D5E7F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25</xdr:row>
          <xdr:rowOff>7620</xdr:rowOff>
        </xdr:from>
        <xdr:to>
          <xdr:col>19</xdr:col>
          <xdr:colOff>259080</xdr:colOff>
          <xdr:row>26</xdr:row>
          <xdr:rowOff>38100</xdr:rowOff>
        </xdr:to>
        <xdr:sp macro="" textlink="">
          <xdr:nvSpPr>
            <xdr:cNvPr id="1075" name="chkQuick_F-022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21AD728B-1FA5-4AD9-821D-6C5B1A8D78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25</xdr:row>
          <xdr:rowOff>15240</xdr:rowOff>
        </xdr:from>
        <xdr:to>
          <xdr:col>23</xdr:col>
          <xdr:colOff>60960</xdr:colOff>
          <xdr:row>25</xdr:row>
          <xdr:rowOff>205740</xdr:rowOff>
        </xdr:to>
        <xdr:sp macro="" textlink="">
          <xdr:nvSpPr>
            <xdr:cNvPr id="1076" name="btnQuickView_F-02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977E1660-053C-43B2-BACC-C918874373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26</xdr:row>
          <xdr:rowOff>7620</xdr:rowOff>
        </xdr:from>
        <xdr:to>
          <xdr:col>19</xdr:col>
          <xdr:colOff>259080</xdr:colOff>
          <xdr:row>27</xdr:row>
          <xdr:rowOff>38100</xdr:rowOff>
        </xdr:to>
        <xdr:sp macro="" textlink="">
          <xdr:nvSpPr>
            <xdr:cNvPr id="1077" name="chkQuick_F-02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73243642-CE50-44C2-9EA4-E294BDA5D4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26</xdr:row>
          <xdr:rowOff>15240</xdr:rowOff>
        </xdr:from>
        <xdr:to>
          <xdr:col>23</xdr:col>
          <xdr:colOff>60960</xdr:colOff>
          <xdr:row>26</xdr:row>
          <xdr:rowOff>205740</xdr:rowOff>
        </xdr:to>
        <xdr:sp macro="" textlink="">
          <xdr:nvSpPr>
            <xdr:cNvPr id="1078" name="btnQuickView_F-023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E5D66CE6-9F46-4720-B012-01C4E6FAC2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27</xdr:row>
          <xdr:rowOff>7620</xdr:rowOff>
        </xdr:from>
        <xdr:to>
          <xdr:col>19</xdr:col>
          <xdr:colOff>259080</xdr:colOff>
          <xdr:row>28</xdr:row>
          <xdr:rowOff>38100</xdr:rowOff>
        </xdr:to>
        <xdr:sp macro="" textlink="">
          <xdr:nvSpPr>
            <xdr:cNvPr id="1079" name="chkQuick_F-024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1C8FDC74-7BC9-4CE1-A59D-FFA5523B74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27</xdr:row>
          <xdr:rowOff>15240</xdr:rowOff>
        </xdr:from>
        <xdr:to>
          <xdr:col>23</xdr:col>
          <xdr:colOff>60960</xdr:colOff>
          <xdr:row>27</xdr:row>
          <xdr:rowOff>205740</xdr:rowOff>
        </xdr:to>
        <xdr:sp macro="" textlink="">
          <xdr:nvSpPr>
            <xdr:cNvPr id="1080" name="btnQuickView_F-024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938F5696-D23C-473E-B7DF-D8A709C18B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28</xdr:row>
          <xdr:rowOff>7620</xdr:rowOff>
        </xdr:from>
        <xdr:to>
          <xdr:col>19</xdr:col>
          <xdr:colOff>259080</xdr:colOff>
          <xdr:row>29</xdr:row>
          <xdr:rowOff>38100</xdr:rowOff>
        </xdr:to>
        <xdr:sp macro="" textlink="">
          <xdr:nvSpPr>
            <xdr:cNvPr id="1081" name="chkQuick_F-025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B39B1E32-23D0-4AA1-A03D-919A9E7CB8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28</xdr:row>
          <xdr:rowOff>15240</xdr:rowOff>
        </xdr:from>
        <xdr:to>
          <xdr:col>23</xdr:col>
          <xdr:colOff>60960</xdr:colOff>
          <xdr:row>28</xdr:row>
          <xdr:rowOff>205740</xdr:rowOff>
        </xdr:to>
        <xdr:sp macro="" textlink="">
          <xdr:nvSpPr>
            <xdr:cNvPr id="1082" name="btnQuickView_F-025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B3F561BB-9ECC-47B5-BDDD-E7405C9661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29</xdr:row>
          <xdr:rowOff>7620</xdr:rowOff>
        </xdr:from>
        <xdr:to>
          <xdr:col>19</xdr:col>
          <xdr:colOff>259080</xdr:colOff>
          <xdr:row>30</xdr:row>
          <xdr:rowOff>38100</xdr:rowOff>
        </xdr:to>
        <xdr:sp macro="" textlink="">
          <xdr:nvSpPr>
            <xdr:cNvPr id="1083" name="chkQuick_F-026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2D92D8DD-B32B-427B-80B2-1C3D0270B6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30</xdr:row>
          <xdr:rowOff>7620</xdr:rowOff>
        </xdr:from>
        <xdr:to>
          <xdr:col>19</xdr:col>
          <xdr:colOff>259080</xdr:colOff>
          <xdr:row>31</xdr:row>
          <xdr:rowOff>38100</xdr:rowOff>
        </xdr:to>
        <xdr:sp macro="" textlink="">
          <xdr:nvSpPr>
            <xdr:cNvPr id="1084" name="chkQuick_F-027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5A4681B0-442B-41B8-92B7-B908267560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30</xdr:row>
          <xdr:rowOff>15240</xdr:rowOff>
        </xdr:from>
        <xdr:to>
          <xdr:col>23</xdr:col>
          <xdr:colOff>60960</xdr:colOff>
          <xdr:row>30</xdr:row>
          <xdr:rowOff>205740</xdr:rowOff>
        </xdr:to>
        <xdr:sp macro="" textlink="">
          <xdr:nvSpPr>
            <xdr:cNvPr id="1085" name="btnQuickView_F-027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506E79BA-C74D-489B-AF69-3F27A93BB5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31</xdr:row>
          <xdr:rowOff>7620</xdr:rowOff>
        </xdr:from>
        <xdr:to>
          <xdr:col>19</xdr:col>
          <xdr:colOff>259080</xdr:colOff>
          <xdr:row>32</xdr:row>
          <xdr:rowOff>38100</xdr:rowOff>
        </xdr:to>
        <xdr:sp macro="" textlink="">
          <xdr:nvSpPr>
            <xdr:cNvPr id="1086" name="chkQuick_F-028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9D7DF5A8-9350-49BE-A036-917E704072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32</xdr:row>
          <xdr:rowOff>7620</xdr:rowOff>
        </xdr:from>
        <xdr:to>
          <xdr:col>19</xdr:col>
          <xdr:colOff>259080</xdr:colOff>
          <xdr:row>33</xdr:row>
          <xdr:rowOff>38100</xdr:rowOff>
        </xdr:to>
        <xdr:sp macro="" textlink="">
          <xdr:nvSpPr>
            <xdr:cNvPr id="1087" name="chkQuick_F-029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CCC17BC9-E56B-44FE-AC54-5CDCC3138E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32</xdr:row>
          <xdr:rowOff>15240</xdr:rowOff>
        </xdr:from>
        <xdr:to>
          <xdr:col>23</xdr:col>
          <xdr:colOff>60960</xdr:colOff>
          <xdr:row>32</xdr:row>
          <xdr:rowOff>205740</xdr:rowOff>
        </xdr:to>
        <xdr:sp macro="" textlink="">
          <xdr:nvSpPr>
            <xdr:cNvPr id="1088" name="btnQuickView_F-029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26CC9233-00B1-41DB-BC53-2CC9463183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33</xdr:row>
          <xdr:rowOff>7620</xdr:rowOff>
        </xdr:from>
        <xdr:to>
          <xdr:col>19</xdr:col>
          <xdr:colOff>259080</xdr:colOff>
          <xdr:row>34</xdr:row>
          <xdr:rowOff>38100</xdr:rowOff>
        </xdr:to>
        <xdr:sp macro="" textlink="">
          <xdr:nvSpPr>
            <xdr:cNvPr id="1089" name="chkQuick_F-030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3D5122BD-5DA2-4A35-8230-BE6E8B3468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33</xdr:row>
          <xdr:rowOff>15240</xdr:rowOff>
        </xdr:from>
        <xdr:to>
          <xdr:col>23</xdr:col>
          <xdr:colOff>60960</xdr:colOff>
          <xdr:row>33</xdr:row>
          <xdr:rowOff>205740</xdr:rowOff>
        </xdr:to>
        <xdr:sp macro="" textlink="">
          <xdr:nvSpPr>
            <xdr:cNvPr id="1090" name="btnQuickView_F-030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1673B7F2-6DAB-4957-86D7-DE8FE416A4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34</xdr:row>
          <xdr:rowOff>7620</xdr:rowOff>
        </xdr:from>
        <xdr:to>
          <xdr:col>19</xdr:col>
          <xdr:colOff>259080</xdr:colOff>
          <xdr:row>35</xdr:row>
          <xdr:rowOff>38100</xdr:rowOff>
        </xdr:to>
        <xdr:sp macro="" textlink="">
          <xdr:nvSpPr>
            <xdr:cNvPr id="1091" name="chkQuick_F-031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AA323F53-B15F-4468-8FF2-73BD8A9653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34</xdr:row>
          <xdr:rowOff>15240</xdr:rowOff>
        </xdr:from>
        <xdr:to>
          <xdr:col>23</xdr:col>
          <xdr:colOff>60960</xdr:colOff>
          <xdr:row>34</xdr:row>
          <xdr:rowOff>205740</xdr:rowOff>
        </xdr:to>
        <xdr:sp macro="" textlink="">
          <xdr:nvSpPr>
            <xdr:cNvPr id="1092" name="btnQuickView_F-031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A56B4CAC-C6CA-427C-B8F8-D1571D5BAB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35</xdr:row>
          <xdr:rowOff>7620</xdr:rowOff>
        </xdr:from>
        <xdr:to>
          <xdr:col>19</xdr:col>
          <xdr:colOff>259080</xdr:colOff>
          <xdr:row>36</xdr:row>
          <xdr:rowOff>38100</xdr:rowOff>
        </xdr:to>
        <xdr:sp macro="" textlink="">
          <xdr:nvSpPr>
            <xdr:cNvPr id="1093" name="chkQuick_F-032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2D39FCF9-6EB2-4039-B36E-E34B95603B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35</xdr:row>
          <xdr:rowOff>15240</xdr:rowOff>
        </xdr:from>
        <xdr:to>
          <xdr:col>23</xdr:col>
          <xdr:colOff>60960</xdr:colOff>
          <xdr:row>35</xdr:row>
          <xdr:rowOff>205740</xdr:rowOff>
        </xdr:to>
        <xdr:sp macro="" textlink="">
          <xdr:nvSpPr>
            <xdr:cNvPr id="1094" name="btnQuickView_F-032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4A67253B-4CC2-4CAA-A79B-713A2EE15F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36</xdr:row>
          <xdr:rowOff>7620</xdr:rowOff>
        </xdr:from>
        <xdr:to>
          <xdr:col>19</xdr:col>
          <xdr:colOff>259080</xdr:colOff>
          <xdr:row>37</xdr:row>
          <xdr:rowOff>38100</xdr:rowOff>
        </xdr:to>
        <xdr:sp macro="" textlink="">
          <xdr:nvSpPr>
            <xdr:cNvPr id="1095" name="chkQuick_F-033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C9CCF74C-B00C-49D1-886D-1F592F5E11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36</xdr:row>
          <xdr:rowOff>15240</xdr:rowOff>
        </xdr:from>
        <xdr:to>
          <xdr:col>23</xdr:col>
          <xdr:colOff>60960</xdr:colOff>
          <xdr:row>36</xdr:row>
          <xdr:rowOff>205740</xdr:rowOff>
        </xdr:to>
        <xdr:sp macro="" textlink="">
          <xdr:nvSpPr>
            <xdr:cNvPr id="1096" name="btnQuickView_F-033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A70B7FE3-D709-4259-A0F1-9CF74C37ED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37</xdr:row>
          <xdr:rowOff>7620</xdr:rowOff>
        </xdr:from>
        <xdr:to>
          <xdr:col>19</xdr:col>
          <xdr:colOff>259080</xdr:colOff>
          <xdr:row>38</xdr:row>
          <xdr:rowOff>38100</xdr:rowOff>
        </xdr:to>
        <xdr:sp macro="" textlink="">
          <xdr:nvSpPr>
            <xdr:cNvPr id="1097" name="chkQuick_F-034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B30C4152-9F2A-47F8-BB99-6FCF2184C0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37</xdr:row>
          <xdr:rowOff>15240</xdr:rowOff>
        </xdr:from>
        <xdr:to>
          <xdr:col>23</xdr:col>
          <xdr:colOff>60960</xdr:colOff>
          <xdr:row>37</xdr:row>
          <xdr:rowOff>205740</xdr:rowOff>
        </xdr:to>
        <xdr:sp macro="" textlink="">
          <xdr:nvSpPr>
            <xdr:cNvPr id="1098" name="btnQuickView_F-03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14DB0A2C-D6A8-4B54-86D4-6A763F7D56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38</xdr:row>
          <xdr:rowOff>7620</xdr:rowOff>
        </xdr:from>
        <xdr:to>
          <xdr:col>19</xdr:col>
          <xdr:colOff>259080</xdr:colOff>
          <xdr:row>39</xdr:row>
          <xdr:rowOff>38100</xdr:rowOff>
        </xdr:to>
        <xdr:sp macro="" textlink="">
          <xdr:nvSpPr>
            <xdr:cNvPr id="1099" name="chkQuick_F-03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3186C82D-5F11-4E48-895F-EC56954AD1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38</xdr:row>
          <xdr:rowOff>15240</xdr:rowOff>
        </xdr:from>
        <xdr:to>
          <xdr:col>23</xdr:col>
          <xdr:colOff>60960</xdr:colOff>
          <xdr:row>38</xdr:row>
          <xdr:rowOff>205740</xdr:rowOff>
        </xdr:to>
        <xdr:sp macro="" textlink="">
          <xdr:nvSpPr>
            <xdr:cNvPr id="1100" name="btnQuickView_F-035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938E721D-5940-4BDC-9319-D1738C7034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39</xdr:row>
          <xdr:rowOff>7620</xdr:rowOff>
        </xdr:from>
        <xdr:to>
          <xdr:col>19</xdr:col>
          <xdr:colOff>259080</xdr:colOff>
          <xdr:row>40</xdr:row>
          <xdr:rowOff>38100</xdr:rowOff>
        </xdr:to>
        <xdr:sp macro="" textlink="">
          <xdr:nvSpPr>
            <xdr:cNvPr id="1101" name="chkQuick_F-036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BA151549-D82A-448A-AC54-61408619AC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39</xdr:row>
          <xdr:rowOff>15240</xdr:rowOff>
        </xdr:from>
        <xdr:to>
          <xdr:col>23</xdr:col>
          <xdr:colOff>60960</xdr:colOff>
          <xdr:row>39</xdr:row>
          <xdr:rowOff>205740</xdr:rowOff>
        </xdr:to>
        <xdr:sp macro="" textlink="">
          <xdr:nvSpPr>
            <xdr:cNvPr id="1102" name="btnQuickView_F-036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9C9FD62D-F080-4343-9B10-C62A751FEA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40</xdr:row>
          <xdr:rowOff>7620</xdr:rowOff>
        </xdr:from>
        <xdr:to>
          <xdr:col>19</xdr:col>
          <xdr:colOff>259080</xdr:colOff>
          <xdr:row>41</xdr:row>
          <xdr:rowOff>38100</xdr:rowOff>
        </xdr:to>
        <xdr:sp macro="" textlink="">
          <xdr:nvSpPr>
            <xdr:cNvPr id="1103" name="chkQuick_F-037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615D2A8B-D9AF-4B3C-8444-870F477ABD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40</xdr:row>
          <xdr:rowOff>15240</xdr:rowOff>
        </xdr:from>
        <xdr:to>
          <xdr:col>23</xdr:col>
          <xdr:colOff>60960</xdr:colOff>
          <xdr:row>40</xdr:row>
          <xdr:rowOff>205740</xdr:rowOff>
        </xdr:to>
        <xdr:sp macro="" textlink="">
          <xdr:nvSpPr>
            <xdr:cNvPr id="1104" name="btnQuickView_F-037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99CE08F6-A522-4425-9CDA-AEF1925389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41</xdr:row>
          <xdr:rowOff>7620</xdr:rowOff>
        </xdr:from>
        <xdr:to>
          <xdr:col>19</xdr:col>
          <xdr:colOff>259080</xdr:colOff>
          <xdr:row>42</xdr:row>
          <xdr:rowOff>38100</xdr:rowOff>
        </xdr:to>
        <xdr:sp macro="" textlink="">
          <xdr:nvSpPr>
            <xdr:cNvPr id="1105" name="chkQuick_F-038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AEF3C60B-89AB-4C58-9AB1-1E7A52E07B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41</xdr:row>
          <xdr:rowOff>15240</xdr:rowOff>
        </xdr:from>
        <xdr:to>
          <xdr:col>23</xdr:col>
          <xdr:colOff>60960</xdr:colOff>
          <xdr:row>41</xdr:row>
          <xdr:rowOff>205740</xdr:rowOff>
        </xdr:to>
        <xdr:sp macro="" textlink="">
          <xdr:nvSpPr>
            <xdr:cNvPr id="1106" name="btnQuickView_F-038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1030CBE1-3A36-4E6F-9B2F-F74CC3E9A7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42</xdr:row>
          <xdr:rowOff>7620</xdr:rowOff>
        </xdr:from>
        <xdr:to>
          <xdr:col>19</xdr:col>
          <xdr:colOff>259080</xdr:colOff>
          <xdr:row>43</xdr:row>
          <xdr:rowOff>38100</xdr:rowOff>
        </xdr:to>
        <xdr:sp macro="" textlink="">
          <xdr:nvSpPr>
            <xdr:cNvPr id="1107" name="chkQuick_F-039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386655CD-2138-4A97-954B-53E6F5B74A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42</xdr:row>
          <xdr:rowOff>15240</xdr:rowOff>
        </xdr:from>
        <xdr:to>
          <xdr:col>23</xdr:col>
          <xdr:colOff>60960</xdr:colOff>
          <xdr:row>42</xdr:row>
          <xdr:rowOff>205740</xdr:rowOff>
        </xdr:to>
        <xdr:sp macro="" textlink="">
          <xdr:nvSpPr>
            <xdr:cNvPr id="1108" name="btnQuickView_F-039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4833AD96-635A-450A-9E12-802EEDA6A2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43</xdr:row>
          <xdr:rowOff>7620</xdr:rowOff>
        </xdr:from>
        <xdr:to>
          <xdr:col>19</xdr:col>
          <xdr:colOff>259080</xdr:colOff>
          <xdr:row>44</xdr:row>
          <xdr:rowOff>38100</xdr:rowOff>
        </xdr:to>
        <xdr:sp macro="" textlink="">
          <xdr:nvSpPr>
            <xdr:cNvPr id="1109" name="chkQuick_F-040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1EA7E102-CCD4-467E-853D-942619A927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43</xdr:row>
          <xdr:rowOff>15240</xdr:rowOff>
        </xdr:from>
        <xdr:to>
          <xdr:col>23</xdr:col>
          <xdr:colOff>60960</xdr:colOff>
          <xdr:row>43</xdr:row>
          <xdr:rowOff>205740</xdr:rowOff>
        </xdr:to>
        <xdr:sp macro="" textlink="">
          <xdr:nvSpPr>
            <xdr:cNvPr id="1110" name="btnQuickView_F-040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4F1DF73C-98E7-4392-AE57-ADC4CB2CBC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44</xdr:row>
          <xdr:rowOff>7620</xdr:rowOff>
        </xdr:from>
        <xdr:to>
          <xdr:col>19</xdr:col>
          <xdr:colOff>259080</xdr:colOff>
          <xdr:row>45</xdr:row>
          <xdr:rowOff>38100</xdr:rowOff>
        </xdr:to>
        <xdr:sp macro="" textlink="">
          <xdr:nvSpPr>
            <xdr:cNvPr id="1111" name="chkQuick_F-041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BDEE748E-2B4C-47FB-BEB6-6F05460E1C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44</xdr:row>
          <xdr:rowOff>15240</xdr:rowOff>
        </xdr:from>
        <xdr:to>
          <xdr:col>23</xdr:col>
          <xdr:colOff>60960</xdr:colOff>
          <xdr:row>44</xdr:row>
          <xdr:rowOff>205740</xdr:rowOff>
        </xdr:to>
        <xdr:sp macro="" textlink="">
          <xdr:nvSpPr>
            <xdr:cNvPr id="1112" name="btnQuickView_F-041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80B4AD58-D522-4531-A217-0697D1A17E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45</xdr:row>
          <xdr:rowOff>7620</xdr:rowOff>
        </xdr:from>
        <xdr:to>
          <xdr:col>19</xdr:col>
          <xdr:colOff>259080</xdr:colOff>
          <xdr:row>46</xdr:row>
          <xdr:rowOff>38100</xdr:rowOff>
        </xdr:to>
        <xdr:sp macro="" textlink="">
          <xdr:nvSpPr>
            <xdr:cNvPr id="1113" name="chkQuick_F-042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CBBC2641-F287-46FA-9941-135A617F44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45</xdr:row>
          <xdr:rowOff>15240</xdr:rowOff>
        </xdr:from>
        <xdr:to>
          <xdr:col>23</xdr:col>
          <xdr:colOff>60960</xdr:colOff>
          <xdr:row>45</xdr:row>
          <xdr:rowOff>205740</xdr:rowOff>
        </xdr:to>
        <xdr:sp macro="" textlink="">
          <xdr:nvSpPr>
            <xdr:cNvPr id="1114" name="btnQuickView_F-042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AF76D6D6-E6D6-472A-A4A3-B84C166551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46</xdr:row>
          <xdr:rowOff>7620</xdr:rowOff>
        </xdr:from>
        <xdr:to>
          <xdr:col>19</xdr:col>
          <xdr:colOff>259080</xdr:colOff>
          <xdr:row>47</xdr:row>
          <xdr:rowOff>38100</xdr:rowOff>
        </xdr:to>
        <xdr:sp macro="" textlink="">
          <xdr:nvSpPr>
            <xdr:cNvPr id="1115" name="chkQuick_F-043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521C0654-B99B-4723-BCF7-98A7AC9A6C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46</xdr:row>
          <xdr:rowOff>15240</xdr:rowOff>
        </xdr:from>
        <xdr:to>
          <xdr:col>23</xdr:col>
          <xdr:colOff>60960</xdr:colOff>
          <xdr:row>46</xdr:row>
          <xdr:rowOff>205740</xdr:rowOff>
        </xdr:to>
        <xdr:sp macro="" textlink="">
          <xdr:nvSpPr>
            <xdr:cNvPr id="1116" name="btnQuickView_F-043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257FA131-655F-4D33-88D7-886A5CED2C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47</xdr:row>
          <xdr:rowOff>7620</xdr:rowOff>
        </xdr:from>
        <xdr:to>
          <xdr:col>19</xdr:col>
          <xdr:colOff>259080</xdr:colOff>
          <xdr:row>48</xdr:row>
          <xdr:rowOff>38100</xdr:rowOff>
        </xdr:to>
        <xdr:sp macro="" textlink="">
          <xdr:nvSpPr>
            <xdr:cNvPr id="1117" name="chkQuick_F-044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8728948A-C729-46BE-8088-5A12D77798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47</xdr:row>
          <xdr:rowOff>15240</xdr:rowOff>
        </xdr:from>
        <xdr:to>
          <xdr:col>23</xdr:col>
          <xdr:colOff>60960</xdr:colOff>
          <xdr:row>47</xdr:row>
          <xdr:rowOff>205740</xdr:rowOff>
        </xdr:to>
        <xdr:sp macro="" textlink="">
          <xdr:nvSpPr>
            <xdr:cNvPr id="1118" name="btnQuickView_F-04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358AAADA-0F60-43F0-9EDE-681B682D1F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48</xdr:row>
          <xdr:rowOff>7620</xdr:rowOff>
        </xdr:from>
        <xdr:to>
          <xdr:col>19</xdr:col>
          <xdr:colOff>259080</xdr:colOff>
          <xdr:row>49</xdr:row>
          <xdr:rowOff>38100</xdr:rowOff>
        </xdr:to>
        <xdr:sp macro="" textlink="">
          <xdr:nvSpPr>
            <xdr:cNvPr id="1119" name="chkQuick_F-04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CDD5AAD1-8B2C-4EBA-A2E0-604E4C03CD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48</xdr:row>
          <xdr:rowOff>15240</xdr:rowOff>
        </xdr:from>
        <xdr:to>
          <xdr:col>23</xdr:col>
          <xdr:colOff>60960</xdr:colOff>
          <xdr:row>48</xdr:row>
          <xdr:rowOff>205740</xdr:rowOff>
        </xdr:to>
        <xdr:sp macro="" textlink="">
          <xdr:nvSpPr>
            <xdr:cNvPr id="1120" name="btnQuickView_F-045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A00D8990-E20E-4442-AB8C-DE1DA95C3F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49</xdr:row>
          <xdr:rowOff>7620</xdr:rowOff>
        </xdr:from>
        <xdr:to>
          <xdr:col>19</xdr:col>
          <xdr:colOff>259080</xdr:colOff>
          <xdr:row>50</xdr:row>
          <xdr:rowOff>38100</xdr:rowOff>
        </xdr:to>
        <xdr:sp macro="" textlink="">
          <xdr:nvSpPr>
            <xdr:cNvPr id="1121" name="chkQuick_F-046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7AF221CF-251D-4B8E-90E5-D77F7D5E78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49</xdr:row>
          <xdr:rowOff>15240</xdr:rowOff>
        </xdr:from>
        <xdr:to>
          <xdr:col>23</xdr:col>
          <xdr:colOff>60960</xdr:colOff>
          <xdr:row>49</xdr:row>
          <xdr:rowOff>205740</xdr:rowOff>
        </xdr:to>
        <xdr:sp macro="" textlink="">
          <xdr:nvSpPr>
            <xdr:cNvPr id="1122" name="btnQuickView_F-046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3690BDDD-C897-4E33-8CC2-4D740BB216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50</xdr:row>
          <xdr:rowOff>7620</xdr:rowOff>
        </xdr:from>
        <xdr:to>
          <xdr:col>19</xdr:col>
          <xdr:colOff>259080</xdr:colOff>
          <xdr:row>51</xdr:row>
          <xdr:rowOff>38100</xdr:rowOff>
        </xdr:to>
        <xdr:sp macro="" textlink="">
          <xdr:nvSpPr>
            <xdr:cNvPr id="1123" name="chkQuick_F-047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F330E3B6-76E4-4A72-B40B-BFB68AA11D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50</xdr:row>
          <xdr:rowOff>15240</xdr:rowOff>
        </xdr:from>
        <xdr:to>
          <xdr:col>23</xdr:col>
          <xdr:colOff>60960</xdr:colOff>
          <xdr:row>50</xdr:row>
          <xdr:rowOff>205740</xdr:rowOff>
        </xdr:to>
        <xdr:sp macro="" textlink="">
          <xdr:nvSpPr>
            <xdr:cNvPr id="1124" name="btnQuickView_F-047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F562A89A-6347-4AA4-8396-1859E8A7EB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51</xdr:row>
          <xdr:rowOff>7620</xdr:rowOff>
        </xdr:from>
        <xdr:to>
          <xdr:col>19</xdr:col>
          <xdr:colOff>259080</xdr:colOff>
          <xdr:row>52</xdr:row>
          <xdr:rowOff>38100</xdr:rowOff>
        </xdr:to>
        <xdr:sp macro="" textlink="">
          <xdr:nvSpPr>
            <xdr:cNvPr id="1125" name="chkQuick_F-048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5917338A-132B-48F0-B432-AAEA3C5790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51</xdr:row>
          <xdr:rowOff>15240</xdr:rowOff>
        </xdr:from>
        <xdr:to>
          <xdr:col>23</xdr:col>
          <xdr:colOff>60960</xdr:colOff>
          <xdr:row>51</xdr:row>
          <xdr:rowOff>205740</xdr:rowOff>
        </xdr:to>
        <xdr:sp macro="" textlink="">
          <xdr:nvSpPr>
            <xdr:cNvPr id="1126" name="btnQuickView_F-048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187483F9-BCDE-4C32-A785-46DB95E278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52</xdr:row>
          <xdr:rowOff>7620</xdr:rowOff>
        </xdr:from>
        <xdr:to>
          <xdr:col>19</xdr:col>
          <xdr:colOff>259080</xdr:colOff>
          <xdr:row>53</xdr:row>
          <xdr:rowOff>38100</xdr:rowOff>
        </xdr:to>
        <xdr:sp macro="" textlink="">
          <xdr:nvSpPr>
            <xdr:cNvPr id="1127" name="chkQuick_F-049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1A5D3289-B936-4609-B649-19E073C323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52</xdr:row>
          <xdr:rowOff>15240</xdr:rowOff>
        </xdr:from>
        <xdr:to>
          <xdr:col>23</xdr:col>
          <xdr:colOff>60960</xdr:colOff>
          <xdr:row>52</xdr:row>
          <xdr:rowOff>205740</xdr:rowOff>
        </xdr:to>
        <xdr:sp macro="" textlink="">
          <xdr:nvSpPr>
            <xdr:cNvPr id="1128" name="btnQuickView_F-049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5C1DD02-757C-4C65-AF18-127B9D7749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53</xdr:row>
          <xdr:rowOff>7620</xdr:rowOff>
        </xdr:from>
        <xdr:to>
          <xdr:col>19</xdr:col>
          <xdr:colOff>259080</xdr:colOff>
          <xdr:row>54</xdr:row>
          <xdr:rowOff>38100</xdr:rowOff>
        </xdr:to>
        <xdr:sp macro="" textlink="">
          <xdr:nvSpPr>
            <xdr:cNvPr id="1129" name="chkQuick_F-050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97E58667-4D8C-4A4C-B3AB-CD9A6A9199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53</xdr:row>
          <xdr:rowOff>15240</xdr:rowOff>
        </xdr:from>
        <xdr:to>
          <xdr:col>23</xdr:col>
          <xdr:colOff>60960</xdr:colOff>
          <xdr:row>53</xdr:row>
          <xdr:rowOff>205740</xdr:rowOff>
        </xdr:to>
        <xdr:sp macro="" textlink="">
          <xdr:nvSpPr>
            <xdr:cNvPr id="1130" name="btnQuickView_F-050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34FC5CAA-43F2-4150-A092-848F3DC72B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54</xdr:row>
          <xdr:rowOff>7620</xdr:rowOff>
        </xdr:from>
        <xdr:to>
          <xdr:col>19</xdr:col>
          <xdr:colOff>259080</xdr:colOff>
          <xdr:row>55</xdr:row>
          <xdr:rowOff>38100</xdr:rowOff>
        </xdr:to>
        <xdr:sp macro="" textlink="">
          <xdr:nvSpPr>
            <xdr:cNvPr id="1131" name="chkQuick_F-051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6EE5B21-05A7-4327-9D74-08E186D943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55</xdr:row>
          <xdr:rowOff>7620</xdr:rowOff>
        </xdr:from>
        <xdr:to>
          <xdr:col>19</xdr:col>
          <xdr:colOff>259080</xdr:colOff>
          <xdr:row>56</xdr:row>
          <xdr:rowOff>38100</xdr:rowOff>
        </xdr:to>
        <xdr:sp macro="" textlink="">
          <xdr:nvSpPr>
            <xdr:cNvPr id="1132" name="chkQuick_F-052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C66B31B8-0AD7-482C-897D-62C011BD5E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5</xdr:row>
          <xdr:rowOff>7620</xdr:rowOff>
        </xdr:from>
        <xdr:to>
          <xdr:col>19</xdr:col>
          <xdr:colOff>259080</xdr:colOff>
          <xdr:row>6</xdr:row>
          <xdr:rowOff>38100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AA8A9001-BC00-4149-BA7E-C04DC61161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6</xdr:row>
          <xdr:rowOff>7620</xdr:rowOff>
        </xdr:from>
        <xdr:to>
          <xdr:col>19</xdr:col>
          <xdr:colOff>259080</xdr:colOff>
          <xdr:row>7</xdr:row>
          <xdr:rowOff>38100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EDE6CF79-4955-4CBA-88B6-A2375CB1A3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6</xdr:row>
          <xdr:rowOff>15240</xdr:rowOff>
        </xdr:from>
        <xdr:to>
          <xdr:col>23</xdr:col>
          <xdr:colOff>60960</xdr:colOff>
          <xdr:row>6</xdr:row>
          <xdr:rowOff>205740</xdr:rowOff>
        </xdr:to>
        <xdr:sp macro="" textlink="">
          <xdr:nvSpPr>
            <xdr:cNvPr id="1135" name="Button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A160E407-27E6-4AAB-93A7-2A109CFD08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7</xdr:row>
          <xdr:rowOff>7620</xdr:rowOff>
        </xdr:from>
        <xdr:to>
          <xdr:col>19</xdr:col>
          <xdr:colOff>259080</xdr:colOff>
          <xdr:row>8</xdr:row>
          <xdr:rowOff>38100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A1F96953-F425-477F-ABE9-C1D8A9E90C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7</xdr:row>
          <xdr:rowOff>15240</xdr:rowOff>
        </xdr:from>
        <xdr:to>
          <xdr:col>23</xdr:col>
          <xdr:colOff>60960</xdr:colOff>
          <xdr:row>7</xdr:row>
          <xdr:rowOff>205740</xdr:rowOff>
        </xdr:to>
        <xdr:sp macro="" textlink="">
          <xdr:nvSpPr>
            <xdr:cNvPr id="1137" name="Button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D73800F2-5A56-44D6-A67B-C2493EF006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8</xdr:row>
          <xdr:rowOff>7620</xdr:rowOff>
        </xdr:from>
        <xdr:to>
          <xdr:col>19</xdr:col>
          <xdr:colOff>259080</xdr:colOff>
          <xdr:row>9</xdr:row>
          <xdr:rowOff>38100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8166C2F7-4099-48C7-BCB2-743F27CCD1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8</xdr:row>
          <xdr:rowOff>15240</xdr:rowOff>
        </xdr:from>
        <xdr:to>
          <xdr:col>23</xdr:col>
          <xdr:colOff>60960</xdr:colOff>
          <xdr:row>8</xdr:row>
          <xdr:rowOff>205740</xdr:rowOff>
        </xdr:to>
        <xdr:sp macro="" textlink="">
          <xdr:nvSpPr>
            <xdr:cNvPr id="1139" name="Button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C5BD4D6C-CA1C-4EA3-8336-57FA7566B7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9</xdr:row>
          <xdr:rowOff>7620</xdr:rowOff>
        </xdr:from>
        <xdr:to>
          <xdr:col>19</xdr:col>
          <xdr:colOff>259080</xdr:colOff>
          <xdr:row>10</xdr:row>
          <xdr:rowOff>38100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422F6ABC-C7ED-4D95-91FC-990DB6B6C6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9</xdr:row>
          <xdr:rowOff>15240</xdr:rowOff>
        </xdr:from>
        <xdr:to>
          <xdr:col>23</xdr:col>
          <xdr:colOff>60960</xdr:colOff>
          <xdr:row>9</xdr:row>
          <xdr:rowOff>205740</xdr:rowOff>
        </xdr:to>
        <xdr:sp macro="" textlink="">
          <xdr:nvSpPr>
            <xdr:cNvPr id="1141" name="Button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D596C14A-E9EC-4E33-9F7B-BF916F0BE1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10</xdr:row>
          <xdr:rowOff>7620</xdr:rowOff>
        </xdr:from>
        <xdr:to>
          <xdr:col>19</xdr:col>
          <xdr:colOff>259080</xdr:colOff>
          <xdr:row>11</xdr:row>
          <xdr:rowOff>38100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D56B1BD9-486A-4B71-9625-AC37833539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10</xdr:row>
          <xdr:rowOff>15240</xdr:rowOff>
        </xdr:from>
        <xdr:to>
          <xdr:col>23</xdr:col>
          <xdr:colOff>60960</xdr:colOff>
          <xdr:row>10</xdr:row>
          <xdr:rowOff>205740</xdr:rowOff>
        </xdr:to>
        <xdr:sp macro="" textlink="">
          <xdr:nvSpPr>
            <xdr:cNvPr id="1143" name="Button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7E257F0-CB38-44A4-BF18-705C974879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11</xdr:row>
          <xdr:rowOff>7620</xdr:rowOff>
        </xdr:from>
        <xdr:to>
          <xdr:col>19</xdr:col>
          <xdr:colOff>259080</xdr:colOff>
          <xdr:row>12</xdr:row>
          <xdr:rowOff>38100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CD3BFEB3-94FB-4EF1-ABD2-3FA1096948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11</xdr:row>
          <xdr:rowOff>15240</xdr:rowOff>
        </xdr:from>
        <xdr:to>
          <xdr:col>23</xdr:col>
          <xdr:colOff>60960</xdr:colOff>
          <xdr:row>11</xdr:row>
          <xdr:rowOff>205740</xdr:rowOff>
        </xdr:to>
        <xdr:sp macro="" textlink="">
          <xdr:nvSpPr>
            <xdr:cNvPr id="1145" name="Button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7F302F37-D9FF-4763-9895-2BDEBE83FC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12</xdr:row>
          <xdr:rowOff>7620</xdr:rowOff>
        </xdr:from>
        <xdr:to>
          <xdr:col>19</xdr:col>
          <xdr:colOff>259080</xdr:colOff>
          <xdr:row>13</xdr:row>
          <xdr:rowOff>38100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D33CB95C-BB54-4DD2-A269-6CD73AAC06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12</xdr:row>
          <xdr:rowOff>15240</xdr:rowOff>
        </xdr:from>
        <xdr:to>
          <xdr:col>23</xdr:col>
          <xdr:colOff>60960</xdr:colOff>
          <xdr:row>12</xdr:row>
          <xdr:rowOff>205740</xdr:rowOff>
        </xdr:to>
        <xdr:sp macro="" textlink="">
          <xdr:nvSpPr>
            <xdr:cNvPr id="1147" name="Button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92DC1F69-7F02-4D19-A6BA-9F67806915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13</xdr:row>
          <xdr:rowOff>7620</xdr:rowOff>
        </xdr:from>
        <xdr:to>
          <xdr:col>19</xdr:col>
          <xdr:colOff>259080</xdr:colOff>
          <xdr:row>14</xdr:row>
          <xdr:rowOff>38100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7408E21F-635A-4C44-AF9F-A7809ECF6E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13</xdr:row>
          <xdr:rowOff>15240</xdr:rowOff>
        </xdr:from>
        <xdr:to>
          <xdr:col>23</xdr:col>
          <xdr:colOff>60960</xdr:colOff>
          <xdr:row>13</xdr:row>
          <xdr:rowOff>205740</xdr:rowOff>
        </xdr:to>
        <xdr:sp macro="" textlink="">
          <xdr:nvSpPr>
            <xdr:cNvPr id="1149" name="Button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1F4203AC-A01F-4683-A025-FDC25A9A7B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14</xdr:row>
          <xdr:rowOff>7620</xdr:rowOff>
        </xdr:from>
        <xdr:to>
          <xdr:col>19</xdr:col>
          <xdr:colOff>259080</xdr:colOff>
          <xdr:row>15</xdr:row>
          <xdr:rowOff>38100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7BE611A0-4C45-4B50-9008-075BE0F040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14</xdr:row>
          <xdr:rowOff>15240</xdr:rowOff>
        </xdr:from>
        <xdr:to>
          <xdr:col>23</xdr:col>
          <xdr:colOff>60960</xdr:colOff>
          <xdr:row>14</xdr:row>
          <xdr:rowOff>205740</xdr:rowOff>
        </xdr:to>
        <xdr:sp macro="" textlink="">
          <xdr:nvSpPr>
            <xdr:cNvPr id="1151" name="Button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251F7122-7010-43D8-AE8F-5A82BAC6BA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15</xdr:row>
          <xdr:rowOff>7620</xdr:rowOff>
        </xdr:from>
        <xdr:to>
          <xdr:col>19</xdr:col>
          <xdr:colOff>259080</xdr:colOff>
          <xdr:row>16</xdr:row>
          <xdr:rowOff>38100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A9E82468-B508-4248-8425-F54B510049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15</xdr:row>
          <xdr:rowOff>15240</xdr:rowOff>
        </xdr:from>
        <xdr:to>
          <xdr:col>23</xdr:col>
          <xdr:colOff>60960</xdr:colOff>
          <xdr:row>15</xdr:row>
          <xdr:rowOff>205740</xdr:rowOff>
        </xdr:to>
        <xdr:sp macro="" textlink="">
          <xdr:nvSpPr>
            <xdr:cNvPr id="1153" name="Button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B9DA783B-57E6-40BD-BE84-8BFAEFB1BB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16</xdr:row>
          <xdr:rowOff>7620</xdr:rowOff>
        </xdr:from>
        <xdr:to>
          <xdr:col>19</xdr:col>
          <xdr:colOff>259080</xdr:colOff>
          <xdr:row>17</xdr:row>
          <xdr:rowOff>38100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C2DFADB0-5067-4542-BFAD-E7064DFDC7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17</xdr:row>
          <xdr:rowOff>7620</xdr:rowOff>
        </xdr:from>
        <xdr:to>
          <xdr:col>19</xdr:col>
          <xdr:colOff>259080</xdr:colOff>
          <xdr:row>18</xdr:row>
          <xdr:rowOff>38100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32985723-072E-42EA-888C-D20D8EC649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17</xdr:row>
          <xdr:rowOff>15240</xdr:rowOff>
        </xdr:from>
        <xdr:to>
          <xdr:col>23</xdr:col>
          <xdr:colOff>60960</xdr:colOff>
          <xdr:row>17</xdr:row>
          <xdr:rowOff>205740</xdr:rowOff>
        </xdr:to>
        <xdr:sp macro="" textlink="">
          <xdr:nvSpPr>
            <xdr:cNvPr id="1156" name="Button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AC9A84C3-B3C9-454C-9694-096E9897B0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18</xdr:row>
          <xdr:rowOff>7620</xdr:rowOff>
        </xdr:from>
        <xdr:to>
          <xdr:col>19</xdr:col>
          <xdr:colOff>259080</xdr:colOff>
          <xdr:row>19</xdr:row>
          <xdr:rowOff>38100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53BFD07C-95B4-46AB-9FBF-752DC4A754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18</xdr:row>
          <xdr:rowOff>15240</xdr:rowOff>
        </xdr:from>
        <xdr:to>
          <xdr:col>23</xdr:col>
          <xdr:colOff>60960</xdr:colOff>
          <xdr:row>18</xdr:row>
          <xdr:rowOff>205740</xdr:rowOff>
        </xdr:to>
        <xdr:sp macro="" textlink="">
          <xdr:nvSpPr>
            <xdr:cNvPr id="1158" name="Button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F4468FAB-D648-4CAF-B7C6-9B35EAE4E9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19</xdr:row>
          <xdr:rowOff>7620</xdr:rowOff>
        </xdr:from>
        <xdr:to>
          <xdr:col>19</xdr:col>
          <xdr:colOff>259080</xdr:colOff>
          <xdr:row>20</xdr:row>
          <xdr:rowOff>38100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B6B1734E-E083-41A9-B111-36B40F1D51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19</xdr:row>
          <xdr:rowOff>15240</xdr:rowOff>
        </xdr:from>
        <xdr:to>
          <xdr:col>23</xdr:col>
          <xdr:colOff>60960</xdr:colOff>
          <xdr:row>19</xdr:row>
          <xdr:rowOff>205740</xdr:rowOff>
        </xdr:to>
        <xdr:sp macro="" textlink="">
          <xdr:nvSpPr>
            <xdr:cNvPr id="1160" name="Button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6DE5FF16-1244-4F55-A310-47097282CD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20</xdr:row>
          <xdr:rowOff>7620</xdr:rowOff>
        </xdr:from>
        <xdr:to>
          <xdr:col>19</xdr:col>
          <xdr:colOff>259080</xdr:colOff>
          <xdr:row>21</xdr:row>
          <xdr:rowOff>38100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9CDA9AE3-CBC0-44F3-941F-A8DCB0D01E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20</xdr:row>
          <xdr:rowOff>15240</xdr:rowOff>
        </xdr:from>
        <xdr:to>
          <xdr:col>23</xdr:col>
          <xdr:colOff>60960</xdr:colOff>
          <xdr:row>20</xdr:row>
          <xdr:rowOff>205740</xdr:rowOff>
        </xdr:to>
        <xdr:sp macro="" textlink="">
          <xdr:nvSpPr>
            <xdr:cNvPr id="1162" name="Button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D3A72622-DDF6-4686-A50A-F9C8233C08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21</xdr:row>
          <xdr:rowOff>7620</xdr:rowOff>
        </xdr:from>
        <xdr:to>
          <xdr:col>19</xdr:col>
          <xdr:colOff>259080</xdr:colOff>
          <xdr:row>22</xdr:row>
          <xdr:rowOff>38100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E3A9EB28-1C1B-465E-B8AF-D53A9EB1D5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21</xdr:row>
          <xdr:rowOff>15240</xdr:rowOff>
        </xdr:from>
        <xdr:to>
          <xdr:col>23</xdr:col>
          <xdr:colOff>60960</xdr:colOff>
          <xdr:row>21</xdr:row>
          <xdr:rowOff>205740</xdr:rowOff>
        </xdr:to>
        <xdr:sp macro="" textlink="">
          <xdr:nvSpPr>
            <xdr:cNvPr id="1164" name="Button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EB6417A0-E9F8-4055-9101-ACCB1D62E2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22</xdr:row>
          <xdr:rowOff>7620</xdr:rowOff>
        </xdr:from>
        <xdr:to>
          <xdr:col>19</xdr:col>
          <xdr:colOff>259080</xdr:colOff>
          <xdr:row>23</xdr:row>
          <xdr:rowOff>38100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757707D4-91B5-40DB-B159-3556A5EF30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22</xdr:row>
          <xdr:rowOff>15240</xdr:rowOff>
        </xdr:from>
        <xdr:to>
          <xdr:col>23</xdr:col>
          <xdr:colOff>60960</xdr:colOff>
          <xdr:row>22</xdr:row>
          <xdr:rowOff>205740</xdr:rowOff>
        </xdr:to>
        <xdr:sp macro="" textlink="">
          <xdr:nvSpPr>
            <xdr:cNvPr id="1166" name="Button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322F1DBB-8C29-4B0B-8C6D-FBCB0A1027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23</xdr:row>
          <xdr:rowOff>7620</xdr:rowOff>
        </xdr:from>
        <xdr:to>
          <xdr:col>19</xdr:col>
          <xdr:colOff>259080</xdr:colOff>
          <xdr:row>24</xdr:row>
          <xdr:rowOff>38100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15D77685-8469-4092-8E22-C9349A93FE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23</xdr:row>
          <xdr:rowOff>15240</xdr:rowOff>
        </xdr:from>
        <xdr:to>
          <xdr:col>23</xdr:col>
          <xdr:colOff>60960</xdr:colOff>
          <xdr:row>23</xdr:row>
          <xdr:rowOff>205740</xdr:rowOff>
        </xdr:to>
        <xdr:sp macro="" textlink="">
          <xdr:nvSpPr>
            <xdr:cNvPr id="1168" name="Button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1E8E1041-E820-4DF0-8E72-9180A34DEA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24</xdr:row>
          <xdr:rowOff>7620</xdr:rowOff>
        </xdr:from>
        <xdr:to>
          <xdr:col>19</xdr:col>
          <xdr:colOff>259080</xdr:colOff>
          <xdr:row>24</xdr:row>
          <xdr:rowOff>259080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FC3EC483-B5CA-47B9-91A3-A0182C7248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24</xdr:row>
          <xdr:rowOff>281940</xdr:rowOff>
        </xdr:from>
        <xdr:to>
          <xdr:col>23</xdr:col>
          <xdr:colOff>60960</xdr:colOff>
          <xdr:row>24</xdr:row>
          <xdr:rowOff>472440</xdr:rowOff>
        </xdr:to>
        <xdr:sp macro="" textlink="">
          <xdr:nvSpPr>
            <xdr:cNvPr id="1170" name="Button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FF83FA80-2F87-4DD0-AAB6-6BCF6445A1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25</xdr:row>
          <xdr:rowOff>7620</xdr:rowOff>
        </xdr:from>
        <xdr:to>
          <xdr:col>19</xdr:col>
          <xdr:colOff>259080</xdr:colOff>
          <xdr:row>26</xdr:row>
          <xdr:rowOff>38100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26DEECE2-20A2-4D1E-A301-2424279822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25</xdr:row>
          <xdr:rowOff>15240</xdr:rowOff>
        </xdr:from>
        <xdr:to>
          <xdr:col>23</xdr:col>
          <xdr:colOff>60960</xdr:colOff>
          <xdr:row>25</xdr:row>
          <xdr:rowOff>205740</xdr:rowOff>
        </xdr:to>
        <xdr:sp macro="" textlink="">
          <xdr:nvSpPr>
            <xdr:cNvPr id="1172" name="Button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882461AC-6014-495B-8A8D-42B2EF4B02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26</xdr:row>
          <xdr:rowOff>7620</xdr:rowOff>
        </xdr:from>
        <xdr:to>
          <xdr:col>19</xdr:col>
          <xdr:colOff>259080</xdr:colOff>
          <xdr:row>27</xdr:row>
          <xdr:rowOff>38100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5E64F073-60C1-4B3E-A4F4-72AA0FFD67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26</xdr:row>
          <xdr:rowOff>15240</xdr:rowOff>
        </xdr:from>
        <xdr:to>
          <xdr:col>23</xdr:col>
          <xdr:colOff>60960</xdr:colOff>
          <xdr:row>26</xdr:row>
          <xdr:rowOff>205740</xdr:rowOff>
        </xdr:to>
        <xdr:sp macro="" textlink="">
          <xdr:nvSpPr>
            <xdr:cNvPr id="1174" name="Button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3C85EF3A-2895-4223-BF5F-D36DEBB3AE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27</xdr:row>
          <xdr:rowOff>7620</xdr:rowOff>
        </xdr:from>
        <xdr:to>
          <xdr:col>19</xdr:col>
          <xdr:colOff>259080</xdr:colOff>
          <xdr:row>28</xdr:row>
          <xdr:rowOff>38100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E593ADCC-351E-4A0F-82B2-43817ADAF8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27</xdr:row>
          <xdr:rowOff>15240</xdr:rowOff>
        </xdr:from>
        <xdr:to>
          <xdr:col>23</xdr:col>
          <xdr:colOff>60960</xdr:colOff>
          <xdr:row>27</xdr:row>
          <xdr:rowOff>205740</xdr:rowOff>
        </xdr:to>
        <xdr:sp macro="" textlink="">
          <xdr:nvSpPr>
            <xdr:cNvPr id="1176" name="Button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99BA3E7A-84D3-4E10-85E6-C95E0BAA44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28</xdr:row>
          <xdr:rowOff>7620</xdr:rowOff>
        </xdr:from>
        <xdr:to>
          <xdr:col>19</xdr:col>
          <xdr:colOff>259080</xdr:colOff>
          <xdr:row>29</xdr:row>
          <xdr:rowOff>38100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909002F2-0D6A-43DD-AA8F-93FCDD3282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28</xdr:row>
          <xdr:rowOff>15240</xdr:rowOff>
        </xdr:from>
        <xdr:to>
          <xdr:col>23</xdr:col>
          <xdr:colOff>60960</xdr:colOff>
          <xdr:row>28</xdr:row>
          <xdr:rowOff>205740</xdr:rowOff>
        </xdr:to>
        <xdr:sp macro="" textlink="">
          <xdr:nvSpPr>
            <xdr:cNvPr id="1178" name="Button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52792175-4845-40A3-84C7-93CA929BF5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29</xdr:row>
          <xdr:rowOff>7620</xdr:rowOff>
        </xdr:from>
        <xdr:to>
          <xdr:col>19</xdr:col>
          <xdr:colOff>259080</xdr:colOff>
          <xdr:row>30</xdr:row>
          <xdr:rowOff>38100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2CCE488C-94F2-4B33-B544-98ADC0DFFE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30</xdr:row>
          <xdr:rowOff>7620</xdr:rowOff>
        </xdr:from>
        <xdr:to>
          <xdr:col>19</xdr:col>
          <xdr:colOff>259080</xdr:colOff>
          <xdr:row>31</xdr:row>
          <xdr:rowOff>38100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EABACF3E-50E7-462A-9C5B-60E9B518E9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30</xdr:row>
          <xdr:rowOff>15240</xdr:rowOff>
        </xdr:from>
        <xdr:to>
          <xdr:col>23</xdr:col>
          <xdr:colOff>60960</xdr:colOff>
          <xdr:row>30</xdr:row>
          <xdr:rowOff>205740</xdr:rowOff>
        </xdr:to>
        <xdr:sp macro="" textlink="">
          <xdr:nvSpPr>
            <xdr:cNvPr id="1181" name="Button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40BA68D2-96B3-4F2F-9317-CE79ACA915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31</xdr:row>
          <xdr:rowOff>7620</xdr:rowOff>
        </xdr:from>
        <xdr:to>
          <xdr:col>19</xdr:col>
          <xdr:colOff>259080</xdr:colOff>
          <xdr:row>32</xdr:row>
          <xdr:rowOff>38100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878D2E54-381B-4606-922A-87956B6147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32</xdr:row>
          <xdr:rowOff>7620</xdr:rowOff>
        </xdr:from>
        <xdr:to>
          <xdr:col>19</xdr:col>
          <xdr:colOff>259080</xdr:colOff>
          <xdr:row>33</xdr:row>
          <xdr:rowOff>38100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D5914B3-575F-466D-A6CE-812F0B0AAA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32</xdr:row>
          <xdr:rowOff>15240</xdr:rowOff>
        </xdr:from>
        <xdr:to>
          <xdr:col>23</xdr:col>
          <xdr:colOff>60960</xdr:colOff>
          <xdr:row>32</xdr:row>
          <xdr:rowOff>205740</xdr:rowOff>
        </xdr:to>
        <xdr:sp macro="" textlink="">
          <xdr:nvSpPr>
            <xdr:cNvPr id="1184" name="Button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558F6295-B184-436E-A37B-5BEED325A3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33</xdr:row>
          <xdr:rowOff>7620</xdr:rowOff>
        </xdr:from>
        <xdr:to>
          <xdr:col>19</xdr:col>
          <xdr:colOff>259080</xdr:colOff>
          <xdr:row>34</xdr:row>
          <xdr:rowOff>38100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3CEE666F-F210-48B2-A09B-97C5EB8B5A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33</xdr:row>
          <xdr:rowOff>15240</xdr:rowOff>
        </xdr:from>
        <xdr:to>
          <xdr:col>23</xdr:col>
          <xdr:colOff>60960</xdr:colOff>
          <xdr:row>33</xdr:row>
          <xdr:rowOff>205740</xdr:rowOff>
        </xdr:to>
        <xdr:sp macro="" textlink="">
          <xdr:nvSpPr>
            <xdr:cNvPr id="1186" name="Button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8B9FE201-5010-4796-9375-69F81A76D6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34</xdr:row>
          <xdr:rowOff>7620</xdr:rowOff>
        </xdr:from>
        <xdr:to>
          <xdr:col>19</xdr:col>
          <xdr:colOff>259080</xdr:colOff>
          <xdr:row>35</xdr:row>
          <xdr:rowOff>38100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729F6ED8-F18B-457D-81AA-2501714BFB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34</xdr:row>
          <xdr:rowOff>15240</xdr:rowOff>
        </xdr:from>
        <xdr:to>
          <xdr:col>23</xdr:col>
          <xdr:colOff>60960</xdr:colOff>
          <xdr:row>34</xdr:row>
          <xdr:rowOff>205740</xdr:rowOff>
        </xdr:to>
        <xdr:sp macro="" textlink="">
          <xdr:nvSpPr>
            <xdr:cNvPr id="1188" name="Button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FA22F17D-DC7B-41B5-AFFF-CF66B8E288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35</xdr:row>
          <xdr:rowOff>7620</xdr:rowOff>
        </xdr:from>
        <xdr:to>
          <xdr:col>19</xdr:col>
          <xdr:colOff>259080</xdr:colOff>
          <xdr:row>36</xdr:row>
          <xdr:rowOff>38100</xdr:rowOff>
        </xdr:to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A24678A-6F5A-4233-B604-506F3DF85B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35</xdr:row>
          <xdr:rowOff>15240</xdr:rowOff>
        </xdr:from>
        <xdr:to>
          <xdr:col>23</xdr:col>
          <xdr:colOff>60960</xdr:colOff>
          <xdr:row>35</xdr:row>
          <xdr:rowOff>205740</xdr:rowOff>
        </xdr:to>
        <xdr:sp macro="" textlink="">
          <xdr:nvSpPr>
            <xdr:cNvPr id="1190" name="Button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54B36DF8-F2E0-4C19-BAF5-44BACB04AE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36</xdr:row>
          <xdr:rowOff>7620</xdr:rowOff>
        </xdr:from>
        <xdr:to>
          <xdr:col>19</xdr:col>
          <xdr:colOff>259080</xdr:colOff>
          <xdr:row>37</xdr:row>
          <xdr:rowOff>38100</xdr:rowOff>
        </xdr:to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A9D055AB-972B-4C15-AF70-4C800CDBB5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36</xdr:row>
          <xdr:rowOff>15240</xdr:rowOff>
        </xdr:from>
        <xdr:to>
          <xdr:col>23</xdr:col>
          <xdr:colOff>60960</xdr:colOff>
          <xdr:row>36</xdr:row>
          <xdr:rowOff>205740</xdr:rowOff>
        </xdr:to>
        <xdr:sp macro="" textlink="">
          <xdr:nvSpPr>
            <xdr:cNvPr id="1192" name="Button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D11FE22F-4B67-4996-A19D-7B11A88A5E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37</xdr:row>
          <xdr:rowOff>7620</xdr:rowOff>
        </xdr:from>
        <xdr:to>
          <xdr:col>19</xdr:col>
          <xdr:colOff>259080</xdr:colOff>
          <xdr:row>38</xdr:row>
          <xdr:rowOff>38100</xdr:rowOff>
        </xdr:to>
        <xdr:sp macro="" textlink="">
          <xdr:nvSpPr>
            <xdr:cNvPr id="1193" name="Check Box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A25098C8-3F48-4F16-B9E9-8C595444DA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37</xdr:row>
          <xdr:rowOff>15240</xdr:rowOff>
        </xdr:from>
        <xdr:to>
          <xdr:col>23</xdr:col>
          <xdr:colOff>60960</xdr:colOff>
          <xdr:row>37</xdr:row>
          <xdr:rowOff>205740</xdr:rowOff>
        </xdr:to>
        <xdr:sp macro="" textlink="">
          <xdr:nvSpPr>
            <xdr:cNvPr id="1194" name="Button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3BFCFC85-04BE-4D90-95D2-5950F5B932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38</xdr:row>
          <xdr:rowOff>7620</xdr:rowOff>
        </xdr:from>
        <xdr:to>
          <xdr:col>19</xdr:col>
          <xdr:colOff>259080</xdr:colOff>
          <xdr:row>39</xdr:row>
          <xdr:rowOff>38100</xdr:rowOff>
        </xdr:to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16004F10-0EF6-43FD-883E-D92F65AF0E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38</xdr:row>
          <xdr:rowOff>15240</xdr:rowOff>
        </xdr:from>
        <xdr:to>
          <xdr:col>23</xdr:col>
          <xdr:colOff>60960</xdr:colOff>
          <xdr:row>38</xdr:row>
          <xdr:rowOff>205740</xdr:rowOff>
        </xdr:to>
        <xdr:sp macro="" textlink="">
          <xdr:nvSpPr>
            <xdr:cNvPr id="1196" name="Button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E6AD9CD9-BF59-485A-9921-482241A264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39</xdr:row>
          <xdr:rowOff>7620</xdr:rowOff>
        </xdr:from>
        <xdr:to>
          <xdr:col>19</xdr:col>
          <xdr:colOff>259080</xdr:colOff>
          <xdr:row>40</xdr:row>
          <xdr:rowOff>38100</xdr:rowOff>
        </xdr:to>
        <xdr:sp macro="" textlink="">
          <xdr:nvSpPr>
            <xdr:cNvPr id="1197" name="Check Box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F246DF8C-2FFE-4779-BB72-2D604BCD6F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39</xdr:row>
          <xdr:rowOff>15240</xdr:rowOff>
        </xdr:from>
        <xdr:to>
          <xdr:col>23</xdr:col>
          <xdr:colOff>60960</xdr:colOff>
          <xdr:row>39</xdr:row>
          <xdr:rowOff>205740</xdr:rowOff>
        </xdr:to>
        <xdr:sp macro="" textlink="">
          <xdr:nvSpPr>
            <xdr:cNvPr id="1198" name="Button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B961236E-79F9-4537-A6B8-10BE8583A2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40</xdr:row>
          <xdr:rowOff>7620</xdr:rowOff>
        </xdr:from>
        <xdr:to>
          <xdr:col>19</xdr:col>
          <xdr:colOff>259080</xdr:colOff>
          <xdr:row>41</xdr:row>
          <xdr:rowOff>38100</xdr:rowOff>
        </xdr:to>
        <xdr:sp macro="" textlink="">
          <xdr:nvSpPr>
            <xdr:cNvPr id="1199" name="Check Box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6AB7C64F-1B14-41CB-8406-50E3CBEABC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40</xdr:row>
          <xdr:rowOff>15240</xdr:rowOff>
        </xdr:from>
        <xdr:to>
          <xdr:col>23</xdr:col>
          <xdr:colOff>60960</xdr:colOff>
          <xdr:row>40</xdr:row>
          <xdr:rowOff>205740</xdr:rowOff>
        </xdr:to>
        <xdr:sp macro="" textlink="">
          <xdr:nvSpPr>
            <xdr:cNvPr id="1200" name="Button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F1AE7C38-71A1-4B8E-B626-6FF09588AC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41</xdr:row>
          <xdr:rowOff>7620</xdr:rowOff>
        </xdr:from>
        <xdr:to>
          <xdr:col>19</xdr:col>
          <xdr:colOff>259080</xdr:colOff>
          <xdr:row>42</xdr:row>
          <xdr:rowOff>38100</xdr:rowOff>
        </xdr:to>
        <xdr:sp macro="" textlink="">
          <xdr:nvSpPr>
            <xdr:cNvPr id="1201" name="Check Box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A616B94A-D52E-4B90-A981-9581AB27B8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41</xdr:row>
          <xdr:rowOff>15240</xdr:rowOff>
        </xdr:from>
        <xdr:to>
          <xdr:col>23</xdr:col>
          <xdr:colOff>60960</xdr:colOff>
          <xdr:row>41</xdr:row>
          <xdr:rowOff>205740</xdr:rowOff>
        </xdr:to>
        <xdr:sp macro="" textlink="">
          <xdr:nvSpPr>
            <xdr:cNvPr id="1202" name="Button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C8EB24FC-FE1E-4512-90DC-DB34ECBD5D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42</xdr:row>
          <xdr:rowOff>7620</xdr:rowOff>
        </xdr:from>
        <xdr:to>
          <xdr:col>19</xdr:col>
          <xdr:colOff>259080</xdr:colOff>
          <xdr:row>43</xdr:row>
          <xdr:rowOff>38100</xdr:rowOff>
        </xdr:to>
        <xdr:sp macro="" textlink="">
          <xdr:nvSpPr>
            <xdr:cNvPr id="1203" name="Check Box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C103E5DE-4D3F-42ED-8054-A92A03048A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42</xdr:row>
          <xdr:rowOff>15240</xdr:rowOff>
        </xdr:from>
        <xdr:to>
          <xdr:col>23</xdr:col>
          <xdr:colOff>60960</xdr:colOff>
          <xdr:row>42</xdr:row>
          <xdr:rowOff>205740</xdr:rowOff>
        </xdr:to>
        <xdr:sp macro="" textlink="">
          <xdr:nvSpPr>
            <xdr:cNvPr id="1204" name="Button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9FAD24F6-CB31-423A-9735-FE022B4127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43</xdr:row>
          <xdr:rowOff>7620</xdr:rowOff>
        </xdr:from>
        <xdr:to>
          <xdr:col>19</xdr:col>
          <xdr:colOff>259080</xdr:colOff>
          <xdr:row>44</xdr:row>
          <xdr:rowOff>38100</xdr:rowOff>
        </xdr:to>
        <xdr:sp macro="" textlink="">
          <xdr:nvSpPr>
            <xdr:cNvPr id="1205" name="Check Box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9F452EA6-057D-42B2-9F86-800F53B00C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43</xdr:row>
          <xdr:rowOff>15240</xdr:rowOff>
        </xdr:from>
        <xdr:to>
          <xdr:col>23</xdr:col>
          <xdr:colOff>60960</xdr:colOff>
          <xdr:row>43</xdr:row>
          <xdr:rowOff>205740</xdr:rowOff>
        </xdr:to>
        <xdr:sp macro="" textlink="">
          <xdr:nvSpPr>
            <xdr:cNvPr id="1206" name="Button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7C6E179E-4DA9-4BF0-B751-A790C32635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44</xdr:row>
          <xdr:rowOff>7620</xdr:rowOff>
        </xdr:from>
        <xdr:to>
          <xdr:col>19</xdr:col>
          <xdr:colOff>259080</xdr:colOff>
          <xdr:row>45</xdr:row>
          <xdr:rowOff>38100</xdr:rowOff>
        </xdr:to>
        <xdr:sp macro="" textlink="">
          <xdr:nvSpPr>
            <xdr:cNvPr id="1207" name="Check Box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47761D8E-86DA-4E67-A8CA-8A7EEC3127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44</xdr:row>
          <xdr:rowOff>15240</xdr:rowOff>
        </xdr:from>
        <xdr:to>
          <xdr:col>23</xdr:col>
          <xdr:colOff>60960</xdr:colOff>
          <xdr:row>44</xdr:row>
          <xdr:rowOff>205740</xdr:rowOff>
        </xdr:to>
        <xdr:sp macro="" textlink="">
          <xdr:nvSpPr>
            <xdr:cNvPr id="1208" name="Button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53D889BC-8227-46FA-895E-4D491BB8F4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45</xdr:row>
          <xdr:rowOff>7620</xdr:rowOff>
        </xdr:from>
        <xdr:to>
          <xdr:col>19</xdr:col>
          <xdr:colOff>259080</xdr:colOff>
          <xdr:row>46</xdr:row>
          <xdr:rowOff>38100</xdr:rowOff>
        </xdr:to>
        <xdr:sp macro="" textlink="">
          <xdr:nvSpPr>
            <xdr:cNvPr id="1209" name="Check Box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CBA9FEC-C738-4BB5-A5A7-F2AB4F7B65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45</xdr:row>
          <xdr:rowOff>15240</xdr:rowOff>
        </xdr:from>
        <xdr:to>
          <xdr:col>23</xdr:col>
          <xdr:colOff>60960</xdr:colOff>
          <xdr:row>45</xdr:row>
          <xdr:rowOff>205740</xdr:rowOff>
        </xdr:to>
        <xdr:sp macro="" textlink="">
          <xdr:nvSpPr>
            <xdr:cNvPr id="1210" name="Button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FFFE7ACE-4CF8-42CB-92FA-2C754C99F2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46</xdr:row>
          <xdr:rowOff>7620</xdr:rowOff>
        </xdr:from>
        <xdr:to>
          <xdr:col>19</xdr:col>
          <xdr:colOff>259080</xdr:colOff>
          <xdr:row>47</xdr:row>
          <xdr:rowOff>38100</xdr:rowOff>
        </xdr:to>
        <xdr:sp macro="" textlink="">
          <xdr:nvSpPr>
            <xdr:cNvPr id="1211" name="Check Box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6BA8BFB3-7E34-41CE-B087-6A4539A52A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46</xdr:row>
          <xdr:rowOff>15240</xdr:rowOff>
        </xdr:from>
        <xdr:to>
          <xdr:col>23</xdr:col>
          <xdr:colOff>60960</xdr:colOff>
          <xdr:row>46</xdr:row>
          <xdr:rowOff>205740</xdr:rowOff>
        </xdr:to>
        <xdr:sp macro="" textlink="">
          <xdr:nvSpPr>
            <xdr:cNvPr id="1212" name="Button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23B0B865-7926-482B-94B3-9671BD13DE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47</xdr:row>
          <xdr:rowOff>7620</xdr:rowOff>
        </xdr:from>
        <xdr:to>
          <xdr:col>19</xdr:col>
          <xdr:colOff>259080</xdr:colOff>
          <xdr:row>48</xdr:row>
          <xdr:rowOff>38100</xdr:rowOff>
        </xdr:to>
        <xdr:sp macro="" textlink="">
          <xdr:nvSpPr>
            <xdr:cNvPr id="1213" name="Check Box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B1C78DB1-4196-448A-B082-B448FE450E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47</xdr:row>
          <xdr:rowOff>15240</xdr:rowOff>
        </xdr:from>
        <xdr:to>
          <xdr:col>23</xdr:col>
          <xdr:colOff>60960</xdr:colOff>
          <xdr:row>47</xdr:row>
          <xdr:rowOff>205740</xdr:rowOff>
        </xdr:to>
        <xdr:sp macro="" textlink="">
          <xdr:nvSpPr>
            <xdr:cNvPr id="1214" name="Button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C000117B-7E9A-419B-9BFE-4B2C9028FD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48</xdr:row>
          <xdr:rowOff>7620</xdr:rowOff>
        </xdr:from>
        <xdr:to>
          <xdr:col>19</xdr:col>
          <xdr:colOff>259080</xdr:colOff>
          <xdr:row>49</xdr:row>
          <xdr:rowOff>38100</xdr:rowOff>
        </xdr:to>
        <xdr:sp macro="" textlink="">
          <xdr:nvSpPr>
            <xdr:cNvPr id="1215" name="Check Box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C6DF235F-C956-4005-8952-A59EF0C4CF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48</xdr:row>
          <xdr:rowOff>15240</xdr:rowOff>
        </xdr:from>
        <xdr:to>
          <xdr:col>23</xdr:col>
          <xdr:colOff>60960</xdr:colOff>
          <xdr:row>48</xdr:row>
          <xdr:rowOff>205740</xdr:rowOff>
        </xdr:to>
        <xdr:sp macro="" textlink="">
          <xdr:nvSpPr>
            <xdr:cNvPr id="1216" name="Button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F8B8983F-63DF-4E76-AB8A-A31CE25E9D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49</xdr:row>
          <xdr:rowOff>7620</xdr:rowOff>
        </xdr:from>
        <xdr:to>
          <xdr:col>19</xdr:col>
          <xdr:colOff>259080</xdr:colOff>
          <xdr:row>50</xdr:row>
          <xdr:rowOff>38100</xdr:rowOff>
        </xdr:to>
        <xdr:sp macro="" textlink="">
          <xdr:nvSpPr>
            <xdr:cNvPr id="1217" name="Check Box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5525CF61-91E3-4FD0-AF50-A51A342B0F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49</xdr:row>
          <xdr:rowOff>15240</xdr:rowOff>
        </xdr:from>
        <xdr:to>
          <xdr:col>23</xdr:col>
          <xdr:colOff>60960</xdr:colOff>
          <xdr:row>49</xdr:row>
          <xdr:rowOff>205740</xdr:rowOff>
        </xdr:to>
        <xdr:sp macro="" textlink="">
          <xdr:nvSpPr>
            <xdr:cNvPr id="1218" name="Button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FAA88BF1-1083-4330-83BA-57BAF3C25C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50</xdr:row>
          <xdr:rowOff>7620</xdr:rowOff>
        </xdr:from>
        <xdr:to>
          <xdr:col>19</xdr:col>
          <xdr:colOff>259080</xdr:colOff>
          <xdr:row>51</xdr:row>
          <xdr:rowOff>38100</xdr:rowOff>
        </xdr:to>
        <xdr:sp macro="" textlink="">
          <xdr:nvSpPr>
            <xdr:cNvPr id="1219" name="Check Box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8CD0527B-C805-4412-9A3E-9B5A4AD151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50</xdr:row>
          <xdr:rowOff>15240</xdr:rowOff>
        </xdr:from>
        <xdr:to>
          <xdr:col>23</xdr:col>
          <xdr:colOff>60960</xdr:colOff>
          <xdr:row>50</xdr:row>
          <xdr:rowOff>205740</xdr:rowOff>
        </xdr:to>
        <xdr:sp macro="" textlink="">
          <xdr:nvSpPr>
            <xdr:cNvPr id="1220" name="Button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9BDE22F5-D3EF-4CF4-ADAF-45FA1B13CA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51</xdr:row>
          <xdr:rowOff>7620</xdr:rowOff>
        </xdr:from>
        <xdr:to>
          <xdr:col>19</xdr:col>
          <xdr:colOff>259080</xdr:colOff>
          <xdr:row>52</xdr:row>
          <xdr:rowOff>38100</xdr:rowOff>
        </xdr:to>
        <xdr:sp macro="" textlink="">
          <xdr:nvSpPr>
            <xdr:cNvPr id="1221" name="Check Box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49D9BC45-7426-4E49-AD1A-AFC65A3FCF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51</xdr:row>
          <xdr:rowOff>15240</xdr:rowOff>
        </xdr:from>
        <xdr:to>
          <xdr:col>23</xdr:col>
          <xdr:colOff>60960</xdr:colOff>
          <xdr:row>51</xdr:row>
          <xdr:rowOff>205740</xdr:rowOff>
        </xdr:to>
        <xdr:sp macro="" textlink="">
          <xdr:nvSpPr>
            <xdr:cNvPr id="1222" name="Button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72CAA20B-401C-4F09-9413-AA376CA77C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52</xdr:row>
          <xdr:rowOff>7620</xdr:rowOff>
        </xdr:from>
        <xdr:to>
          <xdr:col>19</xdr:col>
          <xdr:colOff>259080</xdr:colOff>
          <xdr:row>53</xdr:row>
          <xdr:rowOff>38100</xdr:rowOff>
        </xdr:to>
        <xdr:sp macro="" textlink="">
          <xdr:nvSpPr>
            <xdr:cNvPr id="1223" name="Check Box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89A77713-94CA-4524-9AA4-23093F2484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52</xdr:row>
          <xdr:rowOff>15240</xdr:rowOff>
        </xdr:from>
        <xdr:to>
          <xdr:col>23</xdr:col>
          <xdr:colOff>60960</xdr:colOff>
          <xdr:row>52</xdr:row>
          <xdr:rowOff>205740</xdr:rowOff>
        </xdr:to>
        <xdr:sp macro="" textlink="">
          <xdr:nvSpPr>
            <xdr:cNvPr id="1224" name="Button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91FA666F-F183-451E-A5E9-F6EA3A982E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53</xdr:row>
          <xdr:rowOff>7620</xdr:rowOff>
        </xdr:from>
        <xdr:to>
          <xdr:col>19</xdr:col>
          <xdr:colOff>259080</xdr:colOff>
          <xdr:row>54</xdr:row>
          <xdr:rowOff>38100</xdr:rowOff>
        </xdr:to>
        <xdr:sp macro="" textlink="">
          <xdr:nvSpPr>
            <xdr:cNvPr id="1225" name="Check Box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7CA45B8C-2503-4D5E-A43A-89E693CEAB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</xdr:colOff>
          <xdr:row>53</xdr:row>
          <xdr:rowOff>15240</xdr:rowOff>
        </xdr:from>
        <xdr:to>
          <xdr:col>23</xdr:col>
          <xdr:colOff>60960</xdr:colOff>
          <xdr:row>53</xdr:row>
          <xdr:rowOff>205740</xdr:rowOff>
        </xdr:to>
        <xdr:sp macro="" textlink="">
          <xdr:nvSpPr>
            <xdr:cNvPr id="1226" name="Button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DC6C6CA9-EF7A-4B6D-8373-0E9702EC74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보기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54</xdr:row>
          <xdr:rowOff>7620</xdr:rowOff>
        </xdr:from>
        <xdr:to>
          <xdr:col>19</xdr:col>
          <xdr:colOff>259080</xdr:colOff>
          <xdr:row>55</xdr:row>
          <xdr:rowOff>38100</xdr:rowOff>
        </xdr:to>
        <xdr:sp macro="" textlink="">
          <xdr:nvSpPr>
            <xdr:cNvPr id="1227" name="Check Box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733E9EE7-6885-4B9F-A1B2-B7A8AF8214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55</xdr:row>
          <xdr:rowOff>7620</xdr:rowOff>
        </xdr:from>
        <xdr:to>
          <xdr:col>19</xdr:col>
          <xdr:colOff>259080</xdr:colOff>
          <xdr:row>56</xdr:row>
          <xdr:rowOff>38100</xdr:rowOff>
        </xdr:to>
        <xdr:sp macro="" textlink="">
          <xdr:nvSpPr>
            <xdr:cNvPr id="1228" name="Check Box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AB103201-6FEB-4B56-A176-332B763BA5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rtifacts/excel/&#44368;&#48373;&#44396;&#47588;_&#44600;&#46972;&#51105;&#51060;_20260924_v1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rtifacts/excel/&#44368;&#48373;&#44396;&#47588;_&#44600;&#46972;&#51105;&#51060;_20260923_v1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사용설명서"/>
      <sheetName val="기초자료입력"/>
      <sheetName val="계약방법안내"/>
      <sheetName val="입찰계약절차안내"/>
      <sheetName val="서식선택_출력"/>
      <sheetName val="학교검색"/>
      <sheetName val="학교정보"/>
      <sheetName val="DB"/>
      <sheetName val="DB_품목"/>
      <sheetName val="DB_업체"/>
      <sheetName val="DB_위원"/>
      <sheetName val="DB_평가"/>
      <sheetName val="F-001_위원회구성기안"/>
      <sheetName val="F-002_위원수락확인서"/>
      <sheetName val="F-003_위원청렴보안서약서"/>
      <sheetName val="F-004_구매추진계획수립기안문"/>
      <sheetName val="F-005_구매추진계획안"/>
      <sheetName val="F-006_운영위원회심의안"/>
      <sheetName val="F-007_구매요청기안문"/>
      <sheetName val="F-008_교복사양서"/>
      <sheetName val="F-009_기초금액계약방법결정"/>
      <sheetName val="F-010_사전규격공개기안문"/>
      <sheetName val="F-011_입찰공고"/>
      <sheetName val="F-012_계약특수조건"/>
      <sheetName val="F-014_평가항목배점기준"/>
      <sheetName val="F-015_정량적평가"/>
      <sheetName val="F-016_정성적평가"/>
      <sheetName val="F-017_제출서류자기확인서"/>
      <sheetName val="F-018_정량적평가자기평점표"/>
      <sheetName val="F-019_입찰참가신청서"/>
      <sheetName val="F-020_입찰참가신고서"/>
      <sheetName val="F-021_교복납품제안서"/>
      <sheetName val="F-022_교복납품실적표"/>
      <sheetName val="F-023_교복제조사양서"/>
      <sheetName val="F-024_단가비율표"/>
      <sheetName val="F-025_교복AS계획서"/>
      <sheetName val="F-027_위임장"/>
      <sheetName val="F-029_개인정보제공동의서"/>
      <sheetName val="F-030_청렴계약이행서약서"/>
      <sheetName val="F-031_교복품목별금액표"/>
      <sheetName val="F-032_제안서접수결과"/>
      <sheetName val="F-033_제안서접수대장"/>
      <sheetName val="F-034_평가위원회개최"/>
      <sheetName val="F-035_정량평가결과"/>
      <sheetName val="F-036_제안서평가결과"/>
      <sheetName val="F-037_평가위원회참석등록부"/>
      <sheetName val="F-038_업체참가등록부"/>
      <sheetName val="F-039_업체별제안서평가표"/>
      <sheetName val="F-040_위원청렴보안서약서"/>
      <sheetName val="F-041_낙찰자결정"/>
      <sheetName val="F-042_낙찰자결정통보"/>
      <sheetName val="F-043_계약체결"/>
      <sheetName val="F-044_사전안내가정통신문안내"/>
      <sheetName val="F-045_사전안내가정통신문"/>
      <sheetName val="F-046_수요조사가정통신문안내"/>
      <sheetName val="F-047_수요조사가정통신문"/>
      <sheetName val="F-048_교복구매안내신청수량파악"/>
      <sheetName val="F-049_만족도설문조사실시"/>
      <sheetName val="F-050_만족도조사설문지"/>
      <sheetName val="DB_자기평점"/>
      <sheetName val="DB_정성평가"/>
      <sheetName val="DB_정량평가"/>
    </sheetNames>
    <sheetDataSet>
      <sheetData sheetId="0"/>
      <sheetData sheetId="1"/>
      <sheetData sheetId="2"/>
      <sheetData sheetId="3"/>
      <sheetData sheetId="4">
        <row r="5">
          <cell r="B5" t="str">
            <v>F-001</v>
          </cell>
          <cell r="C5" t="str">
            <v>교복선정위원회 구성 기안</v>
          </cell>
        </row>
        <row r="6">
          <cell r="B6" t="str">
            <v>F-002</v>
          </cell>
          <cell r="C6" t="str">
            <v>위원 수락 및 확인서</v>
          </cell>
        </row>
      </sheetData>
      <sheetData sheetId="5"/>
      <sheetData sheetId="6">
        <row r="2">
          <cell r="E2" t="str">
            <v>동암고등학교</v>
          </cell>
          <cell r="F2" t="str">
            <v>전주시 완산구 소태정4길 1</v>
          </cell>
          <cell r="G2" t="str">
            <v>223-5553</v>
          </cell>
        </row>
        <row r="3">
          <cell r="E3" t="str">
            <v>동암차돌학교</v>
          </cell>
          <cell r="F3" t="str">
            <v>전주시 완산구 천잠로 275</v>
          </cell>
          <cell r="G3" t="str">
            <v>223-4443</v>
          </cell>
        </row>
        <row r="4">
          <cell r="E4" t="str">
            <v>상산고등학교</v>
          </cell>
          <cell r="F4" t="str">
            <v>전주시 완산구 거마평로 130</v>
          </cell>
          <cell r="G4" t="str">
            <v>239-5320</v>
          </cell>
        </row>
        <row r="5">
          <cell r="E5" t="str">
            <v>서전주중학교</v>
          </cell>
          <cell r="F5" t="str">
            <v>전주시 완산구 거마평로 205</v>
          </cell>
          <cell r="G5" t="str">
            <v>221-1359</v>
          </cell>
        </row>
        <row r="6">
          <cell r="E6" t="str">
            <v>양현고등학교</v>
          </cell>
          <cell r="F6" t="str">
            <v>전주시 덕진구 틀못2길 9</v>
          </cell>
          <cell r="G6" t="str">
            <v>249-6103</v>
          </cell>
        </row>
        <row r="7">
          <cell r="E7" t="str">
            <v>완산고등학교</v>
          </cell>
          <cell r="F7" t="str">
            <v>전주시 완산구 능안자구길 55</v>
          </cell>
          <cell r="G7" t="str">
            <v>220-9202</v>
          </cell>
        </row>
        <row r="8">
          <cell r="E8" t="str">
            <v>완산여자고등학교</v>
          </cell>
          <cell r="F8" t="str">
            <v>전주시 완산구 덕적골1길 60</v>
          </cell>
          <cell r="G8" t="str">
            <v>227-4452</v>
          </cell>
        </row>
        <row r="9">
          <cell r="E9" t="str">
            <v>완산중학교</v>
          </cell>
          <cell r="F9" t="str">
            <v>전주시 완산구 덕적골1길 60</v>
          </cell>
          <cell r="G9" t="str">
            <v>227-0741</v>
          </cell>
        </row>
        <row r="10">
          <cell r="E10" t="str">
            <v>우석고등학교</v>
          </cell>
          <cell r="F10" t="str">
            <v>전주시 덕진구 쪽구름2길 22</v>
          </cell>
          <cell r="G10" t="str">
            <v>210-5202</v>
          </cell>
        </row>
        <row r="11">
          <cell r="E11" t="str">
            <v>유일여자고등학교</v>
          </cell>
          <cell r="F11" t="str">
            <v>전주시 덕진구 안덕원로 301</v>
          </cell>
          <cell r="G11" t="str">
            <v>245-3310</v>
          </cell>
        </row>
        <row r="12">
          <cell r="E12" t="str">
            <v>전라고등학교</v>
          </cell>
          <cell r="F12" t="str">
            <v>전주시 덕진구 솔내7길 25</v>
          </cell>
          <cell r="G12" t="str">
            <v>251-4902</v>
          </cell>
        </row>
        <row r="13">
          <cell r="E13" t="str">
            <v>전라중학교</v>
          </cell>
          <cell r="F13" t="str">
            <v>전주시 덕진구 세병로 196</v>
          </cell>
          <cell r="G13" t="str">
            <v>252-2758</v>
          </cell>
        </row>
        <row r="14">
          <cell r="E14" t="str">
            <v>전북대학교사범대학부설고등학교</v>
          </cell>
          <cell r="F14" t="str">
            <v>전주시 덕진구 백제대로 567</v>
          </cell>
          <cell r="G14" t="str">
            <v>270-3549</v>
          </cell>
        </row>
        <row r="15">
          <cell r="E15" t="str">
            <v>전북여자고등학교</v>
          </cell>
          <cell r="F15" t="str">
            <v>전주시 덕진구 여산로 232</v>
          </cell>
          <cell r="G15" t="str">
            <v>210-5901</v>
          </cell>
        </row>
        <row r="16">
          <cell r="E16" t="str">
            <v>전북중학교</v>
          </cell>
          <cell r="F16" t="str">
            <v>전주시 덕진구 쪽구름2길 22</v>
          </cell>
          <cell r="G16" t="str">
            <v>211-0993</v>
          </cell>
        </row>
        <row r="17">
          <cell r="E17" t="str">
            <v>전일고등학교</v>
          </cell>
          <cell r="F17" t="str">
            <v>전주시 완산구 우전로 249</v>
          </cell>
          <cell r="G17" t="str">
            <v>239-3005</v>
          </cell>
        </row>
        <row r="18">
          <cell r="E18" t="str">
            <v>전일중학교</v>
          </cell>
          <cell r="F18" t="str">
            <v>전주시 덕진구 모래내6길 36</v>
          </cell>
          <cell r="G18" t="str">
            <v>252-2709</v>
          </cell>
        </row>
        <row r="19">
          <cell r="E19" t="str">
            <v>전주고등학교</v>
          </cell>
          <cell r="F19" t="str">
            <v>전주시 완산구 권삼득로 2</v>
          </cell>
          <cell r="G19" t="str">
            <v>285-0212</v>
          </cell>
        </row>
        <row r="20">
          <cell r="E20" t="str">
            <v>전주곤지중학교</v>
          </cell>
          <cell r="F20" t="str">
            <v>전주시 완산구 매곡로 22</v>
          </cell>
          <cell r="G20" t="str">
            <v>230-2463</v>
          </cell>
        </row>
        <row r="21">
          <cell r="E21" t="str">
            <v>전주공업고등학교</v>
          </cell>
          <cell r="F21" t="str">
            <v>전주시 덕진구 여산로 101</v>
          </cell>
          <cell r="G21" t="str">
            <v>210-9334</v>
          </cell>
        </row>
        <row r="22">
          <cell r="E22" t="str">
            <v>전주교육대학교전주부설초등학교</v>
          </cell>
          <cell r="F22" t="str">
            <v>전주시 완산구 팔달로 74</v>
          </cell>
          <cell r="G22" t="str">
            <v>284-3198</v>
          </cell>
        </row>
        <row r="23">
          <cell r="E23" t="str">
            <v>전주근영여자고등학교</v>
          </cell>
          <cell r="F23" t="str">
            <v>전주시 완산구 영경1길 11</v>
          </cell>
          <cell r="G23" t="str">
            <v>223-8984</v>
          </cell>
        </row>
        <row r="24">
          <cell r="E24" t="str">
            <v>전주근영중학교</v>
          </cell>
          <cell r="F24" t="str">
            <v>전주시 완산구 영경1길 11</v>
          </cell>
          <cell r="G24" t="str">
            <v>223-8512</v>
          </cell>
        </row>
        <row r="25">
          <cell r="E25" t="str">
            <v>전주금암초등학교</v>
          </cell>
          <cell r="F25" t="str">
            <v>전주시 덕진구 권삼득로 210</v>
          </cell>
          <cell r="G25" t="str">
            <v>254-2274</v>
          </cell>
        </row>
        <row r="26">
          <cell r="E26" t="str">
            <v>전주금평초등학교</v>
          </cell>
          <cell r="F26" t="str">
            <v>전주시 덕진구 명주3길 16</v>
          </cell>
          <cell r="G26" t="str">
            <v>246-4119</v>
          </cell>
        </row>
        <row r="27">
          <cell r="E27" t="str">
            <v>전주기린중학교</v>
          </cell>
          <cell r="F27" t="str">
            <v>전주시 덕진구 동부대로 739</v>
          </cell>
          <cell r="G27" t="str">
            <v>245-5690</v>
          </cell>
        </row>
        <row r="28">
          <cell r="E28" t="str">
            <v>전주기린초등학교</v>
          </cell>
          <cell r="F28" t="str">
            <v>전주시 덕진구 견훤로 260</v>
          </cell>
          <cell r="G28" t="str">
            <v>241-7442</v>
          </cell>
        </row>
        <row r="29">
          <cell r="E29" t="str">
            <v>전주기전여자고등학교</v>
          </cell>
          <cell r="F29" t="str">
            <v>전주시 완산구 유연로 133</v>
          </cell>
          <cell r="G29" t="str">
            <v>236-8932</v>
          </cell>
        </row>
        <row r="30">
          <cell r="E30" t="str">
            <v>전주기전중학교</v>
          </cell>
          <cell r="F30" t="str">
            <v>전주시 완산구 유연로 133</v>
          </cell>
          <cell r="G30" t="str">
            <v>236-5082</v>
          </cell>
        </row>
        <row r="31">
          <cell r="E31" t="str">
            <v>전주남중학교</v>
          </cell>
          <cell r="F31" t="str">
            <v>전주시 완산구 덕적골2길 30</v>
          </cell>
          <cell r="G31" t="str">
            <v>282-6304</v>
          </cell>
        </row>
        <row r="32">
          <cell r="E32" t="str">
            <v>전주남초등학교</v>
          </cell>
          <cell r="F32" t="str">
            <v>전주시 완산구 장승배기로 376</v>
          </cell>
          <cell r="G32" t="str">
            <v>284-4064</v>
          </cell>
        </row>
        <row r="33">
          <cell r="E33" t="str">
            <v>전주늘품유치원</v>
          </cell>
          <cell r="F33" t="str">
            <v>전주시 덕진구 반룡로 158-9</v>
          </cell>
          <cell r="G33" t="str">
            <v>214-8791</v>
          </cell>
        </row>
        <row r="34">
          <cell r="E34" t="str">
            <v>전주대성초등학교</v>
          </cell>
          <cell r="F34" t="str">
            <v>전주시 완산구 고덕산1길 20</v>
          </cell>
          <cell r="G34" t="str">
            <v>284-9927</v>
          </cell>
        </row>
        <row r="35">
          <cell r="E35" t="str">
            <v>전주대정초등학교</v>
          </cell>
          <cell r="F35" t="str">
            <v>전주시 완산구 맏내로 57</v>
          </cell>
          <cell r="G35" t="str">
            <v>236-9551</v>
          </cell>
        </row>
        <row r="36">
          <cell r="E36" t="str">
            <v>전주대학교사범대학부설고등학교</v>
          </cell>
          <cell r="F36" t="str">
            <v>전주시 완산구 천잠로 313</v>
          </cell>
          <cell r="G36" t="str">
            <v>220-9501</v>
          </cell>
        </row>
        <row r="37">
          <cell r="E37" t="str">
            <v>전주덕일중학교</v>
          </cell>
          <cell r="F37" t="str">
            <v>전주시 덕진구 하가로 67</v>
          </cell>
          <cell r="G37" t="str">
            <v>249-2600</v>
          </cell>
        </row>
        <row r="38">
          <cell r="E38" t="str">
            <v>전주덕일초등학교</v>
          </cell>
          <cell r="F38" t="str">
            <v>전주시 덕진구 하가로 71</v>
          </cell>
          <cell r="G38" t="str">
            <v>279-3105</v>
          </cell>
        </row>
        <row r="39">
          <cell r="E39" t="str">
            <v>전주덕진중학교</v>
          </cell>
          <cell r="F39" t="str">
            <v>전주시 덕진구 기린대로 541-48</v>
          </cell>
          <cell r="G39" t="str">
            <v>276-1578</v>
          </cell>
        </row>
        <row r="40">
          <cell r="E40" t="str">
            <v>전주덕진초등학교</v>
          </cell>
          <cell r="F40" t="str">
            <v>전주시 덕진구 들사평로 61</v>
          </cell>
          <cell r="G40" t="str">
            <v>252-0871</v>
          </cell>
        </row>
        <row r="41">
          <cell r="E41" t="str">
            <v>전주동북초등학교</v>
          </cell>
          <cell r="F41" t="str">
            <v>전주시 덕진구 견훤왕궁로 227</v>
          </cell>
          <cell r="G41" t="str">
            <v>252-5368</v>
          </cell>
        </row>
        <row r="42">
          <cell r="E42" t="str">
            <v>전주동신초등학교</v>
          </cell>
          <cell r="F42" t="str">
            <v>전주시 덕진구 우아9길 1</v>
          </cell>
          <cell r="G42" t="str">
            <v>245-1527</v>
          </cell>
        </row>
        <row r="43">
          <cell r="E43" t="str">
            <v>전주동중학교</v>
          </cell>
          <cell r="F43" t="str">
            <v>전주시 덕진구 심방죽로 23</v>
          </cell>
          <cell r="G43" t="str">
            <v>246-1394</v>
          </cell>
        </row>
        <row r="44">
          <cell r="E44" t="str">
            <v>전주동초등학교</v>
          </cell>
          <cell r="F44" t="str">
            <v>전주시 완산구 물왕멀로 72</v>
          </cell>
          <cell r="G44" t="str">
            <v>285-0671</v>
          </cell>
        </row>
        <row r="45">
          <cell r="E45" t="str">
            <v>전주만성중학교</v>
          </cell>
          <cell r="F45" t="str">
            <v>전주시 덕진구 오공로 99</v>
          </cell>
          <cell r="G45" t="str">
            <v>717-3008</v>
          </cell>
        </row>
        <row r="46">
          <cell r="E46" t="str">
            <v>전주만성초등학교</v>
          </cell>
          <cell r="F46" t="str">
            <v>전주시 덕진구 중동로 32</v>
          </cell>
          <cell r="G46" t="str">
            <v>290-0900</v>
          </cell>
        </row>
        <row r="47">
          <cell r="E47" t="str">
            <v>전주만수초등학교</v>
          </cell>
          <cell r="F47" t="str">
            <v>전주시 덕진구 호성로 130</v>
          </cell>
          <cell r="G47" t="str">
            <v>247-7751</v>
          </cell>
        </row>
        <row r="48">
          <cell r="E48" t="str">
            <v>전주문정유치원</v>
          </cell>
          <cell r="F48" t="str">
            <v>전주시 완산구 구이로 1979</v>
          </cell>
          <cell r="G48" t="str">
            <v>237-5233</v>
          </cell>
        </row>
        <row r="49">
          <cell r="E49" t="str">
            <v>전주문정초등학교</v>
          </cell>
          <cell r="F49" t="str">
            <v>전주시 완산구 구이로 1979</v>
          </cell>
          <cell r="G49" t="str">
            <v>221-8097</v>
          </cell>
        </row>
        <row r="50">
          <cell r="E50" t="str">
            <v>전주문학초등학교</v>
          </cell>
          <cell r="F50" t="str">
            <v>전주시 완산구 문학로 30</v>
          </cell>
          <cell r="G50" t="str">
            <v>715-1032</v>
          </cell>
        </row>
        <row r="51">
          <cell r="E51" t="str">
            <v>전주미산초등학교</v>
          </cell>
          <cell r="F51" t="str">
            <v>전주시 덕진구 전미로 160</v>
          </cell>
          <cell r="G51" t="str">
            <v>253-7344</v>
          </cell>
        </row>
        <row r="52">
          <cell r="E52" t="str">
            <v>전주반월초등학교</v>
          </cell>
          <cell r="F52" t="str">
            <v>전주시 덕진구 혁신로 707</v>
          </cell>
          <cell r="G52" t="str">
            <v>212-4308</v>
          </cell>
        </row>
        <row r="53">
          <cell r="E53" t="str">
            <v>전주북일초등학교</v>
          </cell>
          <cell r="F53" t="str">
            <v>전주시 덕진구 견훤로 336</v>
          </cell>
          <cell r="G53" t="str">
            <v>242-4097</v>
          </cell>
        </row>
        <row r="54">
          <cell r="E54" t="str">
            <v>전주북초등학교</v>
          </cell>
          <cell r="F54" t="str">
            <v>전주시 덕진구 소리로 180</v>
          </cell>
          <cell r="G54" t="str">
            <v>241-5949</v>
          </cell>
        </row>
        <row r="55">
          <cell r="E55" t="str">
            <v>전주삼천남초등학교</v>
          </cell>
          <cell r="F55" t="str">
            <v>전주시 완산구 거마남로 65</v>
          </cell>
          <cell r="G55" t="str">
            <v>223-2911</v>
          </cell>
        </row>
        <row r="56">
          <cell r="E56" t="str">
            <v>전주삼천초등학교</v>
          </cell>
          <cell r="F56" t="str">
            <v>전주시 완산구 성지산로 38</v>
          </cell>
          <cell r="G56" t="str">
            <v>221-5808</v>
          </cell>
        </row>
        <row r="57">
          <cell r="E57" t="str">
            <v>전주새뜰유치원</v>
          </cell>
          <cell r="F57" t="str">
            <v>전주시 덕진구 중동 803</v>
          </cell>
          <cell r="G57" t="str">
            <v>717-3200</v>
          </cell>
        </row>
        <row r="58">
          <cell r="E58" t="str">
            <v>전주새솔유치원</v>
          </cell>
          <cell r="F58" t="str">
            <v>전주시 덕진구 화암1길 24</v>
          </cell>
          <cell r="G58" t="str">
            <v>274-6100</v>
          </cell>
        </row>
        <row r="59">
          <cell r="E59" t="str">
            <v>전주새연초등학교</v>
          </cell>
          <cell r="F59" t="str">
            <v>전주시 완산구 봉곡로 60</v>
          </cell>
          <cell r="G59" t="str">
            <v>270-8181</v>
          </cell>
        </row>
        <row r="60">
          <cell r="E60" t="str">
            <v>전주생명과학고등학교</v>
          </cell>
          <cell r="F60" t="str">
            <v>전주시 덕진구 안덕원로 195</v>
          </cell>
          <cell r="G60" t="str">
            <v>240-1712</v>
          </cell>
        </row>
        <row r="61">
          <cell r="E61" t="str">
            <v>전주서곡중학교</v>
          </cell>
          <cell r="F61" t="str">
            <v>전주시 완산구 서곡6길 23</v>
          </cell>
          <cell r="G61" t="str">
            <v>277-7832</v>
          </cell>
        </row>
        <row r="62">
          <cell r="E62" t="str">
            <v>전주서곡초등학교</v>
          </cell>
          <cell r="F62" t="str">
            <v>전주시 완산구 서곡7길 30</v>
          </cell>
          <cell r="G62" t="str">
            <v>278-8121</v>
          </cell>
        </row>
        <row r="63">
          <cell r="E63" t="str">
            <v>전주서문초등학교</v>
          </cell>
          <cell r="F63" t="str">
            <v>전주시 완산구 서신천변11길 19</v>
          </cell>
          <cell r="G63" t="str">
            <v>255-4383</v>
          </cell>
        </row>
        <row r="64">
          <cell r="E64" t="str">
            <v>전주서신중학교</v>
          </cell>
          <cell r="F64" t="str">
            <v>전주시 완산구 안터2길 40</v>
          </cell>
          <cell r="G64" t="str">
            <v>253-6617</v>
          </cell>
        </row>
        <row r="65">
          <cell r="E65" t="str">
            <v>전주서신초등학교</v>
          </cell>
          <cell r="F65" t="str">
            <v>전주시 완산구 전룡로 119</v>
          </cell>
          <cell r="G65" t="str">
            <v>254-5461</v>
          </cell>
        </row>
        <row r="66">
          <cell r="E66" t="str">
            <v>전주서원초등학교</v>
          </cell>
          <cell r="F66" t="str">
            <v>전주시 완산구 오두정길 45</v>
          </cell>
          <cell r="G66" t="str">
            <v>221-8056</v>
          </cell>
        </row>
        <row r="67">
          <cell r="E67" t="str">
            <v>전주서일초등학교</v>
          </cell>
          <cell r="F67" t="str">
            <v>전주시 완산구 새터로 73</v>
          </cell>
          <cell r="G67" t="str">
            <v>251-8991</v>
          </cell>
        </row>
        <row r="68">
          <cell r="E68" t="str">
            <v>전주서중학교</v>
          </cell>
          <cell r="F68" t="str">
            <v>전주시 완산구 당산로 2</v>
          </cell>
          <cell r="G68" t="str">
            <v>254-2667</v>
          </cell>
        </row>
        <row r="69">
          <cell r="E69" t="str">
            <v>전주서천초등학교</v>
          </cell>
          <cell r="F69" t="str">
            <v>전주시 완산구 당산로 9</v>
          </cell>
          <cell r="G69" t="str">
            <v>274-7075</v>
          </cell>
        </row>
        <row r="70">
          <cell r="E70" t="str">
            <v>전주선화학교</v>
          </cell>
          <cell r="F70" t="str">
            <v>전주시 완산구 효자로 39</v>
          </cell>
          <cell r="G70" t="str">
            <v>220-0508</v>
          </cell>
        </row>
        <row r="71">
          <cell r="E71" t="str">
            <v>전주성심여자고등학교</v>
          </cell>
          <cell r="F71" t="str">
            <v>전주시 완산구 경기전길 130</v>
          </cell>
          <cell r="G71" t="str">
            <v>232-2513</v>
          </cell>
        </row>
        <row r="72">
          <cell r="E72" t="str">
            <v>전주성심여자중학교</v>
          </cell>
          <cell r="F72" t="str">
            <v>전주시 완산구 경기전길 130</v>
          </cell>
          <cell r="G72" t="str">
            <v>232-0131</v>
          </cell>
        </row>
        <row r="73">
          <cell r="E73" t="str">
            <v>전주성현유치원</v>
          </cell>
          <cell r="F73" t="str">
            <v>전주시 덕진구 만성남로 39-7</v>
          </cell>
          <cell r="G73" t="str">
            <v>213-0511</v>
          </cell>
        </row>
        <row r="74">
          <cell r="E74" t="str">
            <v>전주솔내고등학교</v>
          </cell>
          <cell r="F74" t="str">
            <v>전주시 덕진구 송천중앙로 170</v>
          </cell>
          <cell r="G74" t="str">
            <v>270-8208</v>
          </cell>
        </row>
        <row r="75">
          <cell r="E75" t="str">
            <v>전주솔내유치원</v>
          </cell>
          <cell r="F75" t="str">
            <v>전주시 덕진구 백석4길 22</v>
          </cell>
          <cell r="G75" t="str">
            <v>254-3771</v>
          </cell>
        </row>
        <row r="76">
          <cell r="E76" t="str">
            <v>전주솔빛중학교</v>
          </cell>
          <cell r="F76" t="str">
            <v>전주시 덕진구 솔내6길 33</v>
          </cell>
          <cell r="G76" t="str">
            <v>254-9912</v>
          </cell>
        </row>
        <row r="77">
          <cell r="E77" t="str">
            <v>전주송북초등학교</v>
          </cell>
          <cell r="F77" t="str">
            <v>전주시 덕진구 천마산로 16</v>
          </cell>
          <cell r="G77" t="str">
            <v>251-5811</v>
          </cell>
        </row>
        <row r="78">
          <cell r="E78" t="str">
            <v>전주송원초등학교</v>
          </cell>
          <cell r="F78" t="str">
            <v>전주시 덕진구 와룡로 25</v>
          </cell>
          <cell r="G78" t="str">
            <v>251-7155</v>
          </cell>
        </row>
        <row r="79">
          <cell r="E79" t="str">
            <v>전주송천초등학교</v>
          </cell>
          <cell r="F79" t="str">
            <v>전주시 덕진구 송천1길 10</v>
          </cell>
          <cell r="G79" t="str">
            <v>252-2616</v>
          </cell>
        </row>
        <row r="80">
          <cell r="E80" t="str">
            <v>전주신동초등학교</v>
          </cell>
          <cell r="F80" t="str">
            <v>전주시 덕진구 솔내로 211</v>
          </cell>
          <cell r="G80" t="str">
            <v>278-4011</v>
          </cell>
        </row>
        <row r="81">
          <cell r="E81" t="str">
            <v>전주신성초등학교</v>
          </cell>
          <cell r="F81" t="str">
            <v>전주시 완산구 평화8길 16-36</v>
          </cell>
          <cell r="G81" t="str">
            <v>225-6902</v>
          </cell>
        </row>
        <row r="82">
          <cell r="E82" t="str">
            <v>전주신일중학교</v>
          </cell>
          <cell r="F82" t="str">
            <v>전주시 완산구 견훤왕궁2길 8</v>
          </cell>
          <cell r="G82" t="str">
            <v>288-3450</v>
          </cell>
        </row>
        <row r="83">
          <cell r="E83" t="str">
            <v>전주신흥고등학교</v>
          </cell>
          <cell r="F83" t="str">
            <v>전주시 완산구 서원로 399</v>
          </cell>
          <cell r="G83" t="str">
            <v>232-7101</v>
          </cell>
        </row>
        <row r="84">
          <cell r="E84" t="str">
            <v>전주신흥중학교</v>
          </cell>
          <cell r="F84" t="str">
            <v>전주시 완산구 서원로 399</v>
          </cell>
          <cell r="G84" t="str">
            <v>287-2112</v>
          </cell>
        </row>
        <row r="85">
          <cell r="E85" t="str">
            <v>전주아름유치원</v>
          </cell>
          <cell r="F85" t="str">
            <v>전주시 덕진구 정여립로 874</v>
          </cell>
          <cell r="G85" t="str">
            <v>279-6709</v>
          </cell>
        </row>
        <row r="86">
          <cell r="E86" t="str">
            <v>전주아중중학교</v>
          </cell>
          <cell r="F86" t="str">
            <v>전주시 덕진구 중상보로 16</v>
          </cell>
          <cell r="G86" t="str">
            <v>240-7913</v>
          </cell>
        </row>
        <row r="87">
          <cell r="E87" t="str">
            <v>전주아중초등학교</v>
          </cell>
          <cell r="F87" t="str">
            <v>전주시 덕진구 인교5길 23</v>
          </cell>
          <cell r="G87" t="str">
            <v>241-7742</v>
          </cell>
        </row>
        <row r="88">
          <cell r="E88" t="str">
            <v>전주양지중학교</v>
          </cell>
          <cell r="F88" t="str">
            <v>전주시 완산구 양지2길 11-16</v>
          </cell>
          <cell r="G88" t="str">
            <v>226-0052</v>
          </cell>
        </row>
        <row r="89">
          <cell r="E89" t="str">
            <v>전주양지초등학교</v>
          </cell>
          <cell r="F89" t="str">
            <v>전주시 완산구 양지2길 11-26</v>
          </cell>
          <cell r="G89" t="str">
            <v>226-2692</v>
          </cell>
        </row>
        <row r="90">
          <cell r="E90" t="str">
            <v>전주양현중학교</v>
          </cell>
          <cell r="F90" t="str">
            <v>전주시 덕진구 만성북4길 10</v>
          </cell>
          <cell r="G90" t="str">
            <v>717-8600</v>
          </cell>
        </row>
        <row r="91">
          <cell r="E91" t="str">
            <v>전주양현초등학교</v>
          </cell>
          <cell r="F91" t="str">
            <v>전주시 덕진구 만성서로 96</v>
          </cell>
          <cell r="G91" t="str">
            <v>717-1700</v>
          </cell>
        </row>
        <row r="92">
          <cell r="E92" t="str">
            <v>전주여울초등학교</v>
          </cell>
          <cell r="F92" t="str">
            <v>전주시 완산구 고사평8길 11</v>
          </cell>
          <cell r="G92" t="str">
            <v>255-9077</v>
          </cell>
        </row>
        <row r="93">
          <cell r="E93" t="str">
            <v>전주여자고등학교</v>
          </cell>
          <cell r="F93" t="str">
            <v>전주시 덕진구 모래내6길 14</v>
          </cell>
          <cell r="G93" t="str">
            <v>710-5561</v>
          </cell>
        </row>
        <row r="94">
          <cell r="E94" t="str">
            <v>전주여자상업고등학교</v>
          </cell>
          <cell r="F94" t="str">
            <v>전주시 완산구 따박골2길 21</v>
          </cell>
          <cell r="G94" t="str">
            <v>220-6401</v>
          </cell>
        </row>
        <row r="95">
          <cell r="E95" t="str">
            <v>전주영생고등학교</v>
          </cell>
          <cell r="F95" t="str">
            <v>전주시 완산구 천잠로 333</v>
          </cell>
          <cell r="G95" t="str">
            <v>220-3500</v>
          </cell>
        </row>
        <row r="96">
          <cell r="E96" t="str">
            <v>전주오송중학교</v>
          </cell>
          <cell r="F96" t="str">
            <v>전주시 덕진구 천마산로 69</v>
          </cell>
          <cell r="G96" t="str">
            <v>250-4301</v>
          </cell>
        </row>
        <row r="97">
          <cell r="E97" t="str">
            <v>전주오송초등학교</v>
          </cell>
          <cell r="F97" t="str">
            <v>전주시 덕진구 천마산로 87</v>
          </cell>
          <cell r="G97" t="str">
            <v>251-6472</v>
          </cell>
        </row>
        <row r="98">
          <cell r="E98" t="str">
            <v>전주온고을중학교</v>
          </cell>
          <cell r="F98" t="str">
            <v>전주시 덕진구 무삼지로 26</v>
          </cell>
          <cell r="G98" t="str">
            <v>245-5219</v>
          </cell>
        </row>
        <row r="99">
          <cell r="E99" t="str">
            <v>전주온빛중학교</v>
          </cell>
          <cell r="F99" t="str">
            <v>전주시 덕진구 틀못4길 10</v>
          </cell>
          <cell r="G99" t="str">
            <v>214-8452</v>
          </cell>
        </row>
        <row r="100">
          <cell r="E100" t="str">
            <v>전주온빛초등학교</v>
          </cell>
          <cell r="F100" t="str">
            <v>전주시 덕진구 틀못3길 7</v>
          </cell>
          <cell r="G100" t="str">
            <v>249-6602</v>
          </cell>
        </row>
        <row r="101">
          <cell r="E101" t="str">
            <v>전주온샘유치원</v>
          </cell>
          <cell r="F101" t="str">
            <v>전주시 덕진구 심방죽로 24</v>
          </cell>
          <cell r="G101" t="str">
            <v>242-5412</v>
          </cell>
        </row>
        <row r="102">
          <cell r="E102" t="str">
            <v>전주완산서초등학교</v>
          </cell>
          <cell r="F102" t="str">
            <v>전주시 완산구 안행로 127</v>
          </cell>
          <cell r="G102" t="str">
            <v>284-9303</v>
          </cell>
        </row>
        <row r="103">
          <cell r="E103" t="str">
            <v>전주완산초등학교</v>
          </cell>
          <cell r="F103" t="str">
            <v>전주시 완산구 매곡로 22</v>
          </cell>
          <cell r="G103" t="str">
            <v>284-8844</v>
          </cell>
        </row>
        <row r="104">
          <cell r="E104" t="str">
            <v>전주용덕초등학교</v>
          </cell>
          <cell r="F104" t="str">
            <v>전주시 덕진구 용덕길 30</v>
          </cell>
          <cell r="G104" t="str">
            <v>211-1626</v>
          </cell>
        </row>
        <row r="105">
          <cell r="E105" t="str">
            <v>전주용소중학교</v>
          </cell>
          <cell r="F105" t="str">
            <v>전주시 덕진구 송천로 112</v>
          </cell>
          <cell r="G105" t="str">
            <v>270-0366</v>
          </cell>
        </row>
        <row r="106">
          <cell r="E106" t="str">
            <v>전주용소초등학교</v>
          </cell>
          <cell r="F106" t="str">
            <v>전주시 덕진구 송천4길 38</v>
          </cell>
          <cell r="G106" t="str">
            <v>270-0200</v>
          </cell>
        </row>
        <row r="107">
          <cell r="E107" t="str">
            <v>전주용와초등학교</v>
          </cell>
          <cell r="F107" t="str">
            <v>전주시 완산구 장승배기로 14</v>
          </cell>
          <cell r="G107" t="str">
            <v>237-3142</v>
          </cell>
        </row>
        <row r="108">
          <cell r="E108" t="str">
            <v>전주용흥중학교</v>
          </cell>
          <cell r="F108" t="str">
            <v>전주시 완산구 장승배기로 12</v>
          </cell>
          <cell r="G108" t="str">
            <v>237-2732</v>
          </cell>
        </row>
        <row r="109">
          <cell r="E109" t="str">
            <v>전주용흥초등학교</v>
          </cell>
          <cell r="F109" t="str">
            <v>전주시 완산구 삼천천변1길 16</v>
          </cell>
          <cell r="G109" t="str">
            <v>227-4636</v>
          </cell>
        </row>
        <row r="110">
          <cell r="E110" t="str">
            <v>전주우림중학교</v>
          </cell>
          <cell r="F110" t="str">
            <v>전주시 완산구 우전로 119</v>
          </cell>
          <cell r="G110" t="str">
            <v>220-4910</v>
          </cell>
        </row>
        <row r="111">
          <cell r="E111" t="str">
            <v>전주우림초등학교</v>
          </cell>
          <cell r="F111" t="str">
            <v>전주시 완산구 소태정로 21</v>
          </cell>
          <cell r="G111" t="str">
            <v>715-1052</v>
          </cell>
        </row>
        <row r="112">
          <cell r="E112" t="str">
            <v>전주우아중학교</v>
          </cell>
          <cell r="F112" t="str">
            <v>전주시 덕진구 호성로 6</v>
          </cell>
          <cell r="G112" t="str">
            <v>241-2652</v>
          </cell>
        </row>
        <row r="113">
          <cell r="E113" t="str">
            <v>전주우전중학교</v>
          </cell>
          <cell r="F113" t="str">
            <v>전주시 완산구 쑥고개로 375-28</v>
          </cell>
          <cell r="G113" t="str">
            <v>222-8933</v>
          </cell>
        </row>
        <row r="114">
          <cell r="E114" t="str">
            <v>전주우전초등학교</v>
          </cell>
          <cell r="F114" t="str">
            <v>전주시 완산구 우전2길 11</v>
          </cell>
          <cell r="G114" t="str">
            <v>221-9892</v>
          </cell>
        </row>
        <row r="115">
          <cell r="E115" t="str">
            <v>전주원동초등학교</v>
          </cell>
          <cell r="F115" t="str">
            <v>전주시 덕진구 원동로 3</v>
          </cell>
          <cell r="G115" t="str">
            <v>212-9119</v>
          </cell>
        </row>
        <row r="116">
          <cell r="E116" t="str">
            <v>전주유치원</v>
          </cell>
          <cell r="F116" t="str">
            <v>전주시 완산구 대동로 33</v>
          </cell>
          <cell r="G116" t="str">
            <v>253-9561</v>
          </cell>
        </row>
        <row r="117">
          <cell r="E117" t="str">
            <v>전주유화학교</v>
          </cell>
          <cell r="F117" t="str">
            <v>전주시 덕진구 모래내6길 26-16</v>
          </cell>
          <cell r="G117" t="str">
            <v>253-1238</v>
          </cell>
        </row>
        <row r="118">
          <cell r="E118" t="str">
            <v>전주은화학교</v>
          </cell>
          <cell r="F118" t="str">
            <v>전주시 완산구 효자로 28-20</v>
          </cell>
          <cell r="G118" t="str">
            <v>220-0902</v>
          </cell>
        </row>
        <row r="119">
          <cell r="E119" t="str">
            <v>전주인봉초등학교</v>
          </cell>
          <cell r="F119" t="str">
            <v>전주시 덕진구 무삼지로 7</v>
          </cell>
          <cell r="G119" t="str">
            <v>240-1908</v>
          </cell>
        </row>
        <row r="120">
          <cell r="E120" t="str">
            <v>전주인후초등학교</v>
          </cell>
          <cell r="F120" t="str">
            <v>전주시 덕진구 무삼지로 67</v>
          </cell>
          <cell r="G120" t="str">
            <v>244-8983</v>
          </cell>
        </row>
        <row r="121">
          <cell r="E121" t="str">
            <v>전주자연초등학교</v>
          </cell>
          <cell r="F121" t="str">
            <v>전주시 덕진구 세병로 150</v>
          </cell>
          <cell r="G121" t="str">
            <v>717-2300</v>
          </cell>
        </row>
        <row r="122">
          <cell r="E122" t="str">
            <v>전주장동초등학교</v>
          </cell>
          <cell r="F122" t="str">
            <v>전주시 덕진구 원장동안길 73</v>
          </cell>
          <cell r="G122" t="str">
            <v>211-9494</v>
          </cell>
        </row>
        <row r="123">
          <cell r="E123" t="str">
            <v>전주전라초등학교</v>
          </cell>
          <cell r="F123" t="str">
            <v>전주시 덕진구 심방죽로 24</v>
          </cell>
          <cell r="G123" t="str">
            <v>246-7356</v>
          </cell>
        </row>
        <row r="124">
          <cell r="E124" t="str">
            <v>전주전일초등학교</v>
          </cell>
          <cell r="F124" t="str">
            <v>전주시 덕진구 태진로 98</v>
          </cell>
          <cell r="G124" t="str">
            <v>251-7121</v>
          </cell>
        </row>
        <row r="125">
          <cell r="E125" t="str">
            <v>전주제일고등학교</v>
          </cell>
          <cell r="F125" t="str">
            <v>전주시 완산구 관선5길 15</v>
          </cell>
          <cell r="G125" t="str">
            <v>284-3161</v>
          </cell>
        </row>
        <row r="126">
          <cell r="E126" t="str">
            <v>전주조촌초등학교</v>
          </cell>
          <cell r="F126" t="str">
            <v>전주시 덕진구 쪽구름로 39</v>
          </cell>
          <cell r="G126" t="str">
            <v>211-1574</v>
          </cell>
        </row>
        <row r="127">
          <cell r="E127" t="str">
            <v>전주중산초등학교</v>
          </cell>
          <cell r="F127" t="str">
            <v>전주시 완산구 중산중앙로 9-10</v>
          </cell>
          <cell r="G127" t="str">
            <v>220-6500</v>
          </cell>
        </row>
        <row r="128">
          <cell r="E128" t="str">
            <v>전주중앙여자고등학교</v>
          </cell>
          <cell r="F128" t="str">
            <v>전주시 덕진구 석소로 25</v>
          </cell>
          <cell r="G128" t="str">
            <v>240-1822</v>
          </cell>
        </row>
        <row r="129">
          <cell r="E129" t="str">
            <v>전주중앙중학교</v>
          </cell>
          <cell r="F129" t="str">
            <v>전주시 덕진구 공북2길 20</v>
          </cell>
          <cell r="G129" t="str">
            <v>252-2364</v>
          </cell>
        </row>
        <row r="130">
          <cell r="E130" t="str">
            <v>전주중앙초등학교</v>
          </cell>
          <cell r="F130" t="str">
            <v>전주시 완산구 경기전길 99</v>
          </cell>
          <cell r="G130" t="str">
            <v>282-6003</v>
          </cell>
        </row>
        <row r="131">
          <cell r="E131" t="str">
            <v>전주중인초등학교</v>
          </cell>
          <cell r="F131" t="str">
            <v>전주시 완산구 중인1길 80</v>
          </cell>
          <cell r="G131" t="str">
            <v>222-5971</v>
          </cell>
        </row>
        <row r="132">
          <cell r="E132" t="str">
            <v>전주중학교</v>
          </cell>
          <cell r="F132" t="str">
            <v>전주시 덕진구 솔내5길 9</v>
          </cell>
          <cell r="G132" t="str">
            <v>273-1916</v>
          </cell>
        </row>
        <row r="133">
          <cell r="E133" t="str">
            <v>전주지곡초등학교</v>
          </cell>
          <cell r="F133" t="str">
            <v>전주시 완산구 평화로 85</v>
          </cell>
          <cell r="G133" t="str">
            <v>280-0505</v>
          </cell>
        </row>
        <row r="134">
          <cell r="E134" t="str">
            <v>전주진북초등학교</v>
          </cell>
          <cell r="F134" t="str">
            <v>전주시 덕진구 진북1길 11</v>
          </cell>
          <cell r="G134" t="str">
            <v>252-1102</v>
          </cell>
        </row>
        <row r="135">
          <cell r="E135" t="str">
            <v>전주초등학교</v>
          </cell>
          <cell r="F135" t="str">
            <v>전주시 완산구 대동로 33</v>
          </cell>
          <cell r="G135" t="str">
            <v>254-2373</v>
          </cell>
        </row>
        <row r="136">
          <cell r="E136" t="str">
            <v>전주초포초등학교</v>
          </cell>
          <cell r="F136" t="str">
            <v>전주시 덕진구 초포로 171</v>
          </cell>
          <cell r="G136" t="str">
            <v>253-8151</v>
          </cell>
        </row>
        <row r="137">
          <cell r="E137" t="str">
            <v>전주팔복초등학교</v>
          </cell>
          <cell r="F137" t="str">
            <v>전주시 덕진구 팔과정로 181</v>
          </cell>
          <cell r="G137" t="str">
            <v>211-2774</v>
          </cell>
        </row>
        <row r="138">
          <cell r="E138" t="str">
            <v>전주평화중학교</v>
          </cell>
          <cell r="F138" t="str">
            <v>전주시 완산구 평화로 74</v>
          </cell>
          <cell r="G138" t="str">
            <v>221-8793</v>
          </cell>
        </row>
        <row r="139">
          <cell r="E139" t="str">
            <v>전주평화초등학교</v>
          </cell>
          <cell r="F139" t="str">
            <v>전주시 완산구 꽃밭정로 65</v>
          </cell>
          <cell r="G139" t="str">
            <v>284-9500</v>
          </cell>
        </row>
        <row r="140">
          <cell r="E140" t="str">
            <v>전주푸른샘유치원</v>
          </cell>
          <cell r="F140" t="str">
            <v>전주시 완산구 홍산로 80</v>
          </cell>
          <cell r="G140" t="str">
            <v>714-2511</v>
          </cell>
        </row>
        <row r="141">
          <cell r="E141" t="str">
            <v>전주풍남유치원</v>
          </cell>
          <cell r="F141" t="str">
            <v>전주시 완산구 견훤왕궁로 16</v>
          </cell>
          <cell r="G141" t="str">
            <v>286-2162</v>
          </cell>
        </row>
        <row r="142">
          <cell r="E142" t="str">
            <v>전주풍남중학교</v>
          </cell>
          <cell r="F142" t="str">
            <v>전주시 완산구 거마평로 83</v>
          </cell>
          <cell r="G142" t="str">
            <v>223-3502</v>
          </cell>
        </row>
        <row r="143">
          <cell r="E143" t="str">
            <v>전주풍남초등학교</v>
          </cell>
          <cell r="F143" t="str">
            <v>전주시 완산구 견훤왕궁로 16</v>
          </cell>
          <cell r="G143" t="str">
            <v>286-4281</v>
          </cell>
        </row>
        <row r="144">
          <cell r="E144" t="str">
            <v>전주하가초등학교</v>
          </cell>
          <cell r="F144" t="str">
            <v>전주시 덕진구 경동로 11</v>
          </cell>
          <cell r="G144" t="str">
            <v>272-1067</v>
          </cell>
        </row>
        <row r="145">
          <cell r="E145" t="str">
            <v>전주한들초등학교</v>
          </cell>
          <cell r="F145" t="str">
            <v>전주시 완산구 화산천변8길 10</v>
          </cell>
          <cell r="G145" t="str">
            <v>227-1851</v>
          </cell>
        </row>
        <row r="146">
          <cell r="E146" t="str">
            <v>전주한일고등학교</v>
          </cell>
          <cell r="F146" t="str">
            <v>전주시 완산구 백제대로 442</v>
          </cell>
          <cell r="G146" t="str">
            <v>274-2162</v>
          </cell>
        </row>
        <row r="147">
          <cell r="E147" t="str">
            <v>전주해성고등학교</v>
          </cell>
          <cell r="F147" t="str">
            <v>전주시 완산구 계룡산길 88</v>
          </cell>
          <cell r="G147" t="str">
            <v>224-6110</v>
          </cell>
        </row>
        <row r="148">
          <cell r="E148" t="str">
            <v>전주해성중학교</v>
          </cell>
          <cell r="F148" t="str">
            <v>전주시 완산구 계룡산길 88</v>
          </cell>
          <cell r="G148" t="str">
            <v>237-1974</v>
          </cell>
        </row>
        <row r="149">
          <cell r="E149" t="str">
            <v>전주호성중학교</v>
          </cell>
          <cell r="F149" t="str">
            <v>전주시 덕진구 배미실마을길 23</v>
          </cell>
          <cell r="G149" t="str">
            <v>253-6946</v>
          </cell>
        </row>
        <row r="150">
          <cell r="E150" t="str">
            <v>전주홍산유치원</v>
          </cell>
          <cell r="F150" t="str">
            <v>전주시 완산구 마전들로 30</v>
          </cell>
          <cell r="G150" t="str">
            <v>224-9595</v>
          </cell>
        </row>
        <row r="151">
          <cell r="E151" t="str">
            <v>전주홍산초등학교</v>
          </cell>
          <cell r="F151" t="str">
            <v>전주시 완산구</v>
          </cell>
          <cell r="G151" t="str">
            <v>230-5100</v>
          </cell>
        </row>
        <row r="152">
          <cell r="E152" t="str">
            <v>전주화산초등학교</v>
          </cell>
          <cell r="F152" t="str">
            <v>전주시 완산구 따박골7길 20</v>
          </cell>
          <cell r="G152" t="str">
            <v>284-8805</v>
          </cell>
        </row>
        <row r="153">
          <cell r="E153" t="str">
            <v>전주화정중학교</v>
          </cell>
          <cell r="F153" t="str">
            <v>전주시 덕진구 세병로 66</v>
          </cell>
          <cell r="G153" t="str">
            <v>717-6500</v>
          </cell>
        </row>
        <row r="154">
          <cell r="E154" t="str">
            <v>전주화정초등학교</v>
          </cell>
          <cell r="F154" t="str">
            <v>전주시 덕진구 세병로 55</v>
          </cell>
          <cell r="G154" t="str">
            <v>270-8403</v>
          </cell>
        </row>
        <row r="155">
          <cell r="E155" t="str">
            <v>전주효림초등학교</v>
          </cell>
          <cell r="F155" t="str">
            <v>전주시 완산구 강변로 128</v>
          </cell>
          <cell r="G155" t="str">
            <v>227-3522</v>
          </cell>
        </row>
        <row r="156">
          <cell r="E156" t="str">
            <v>전주효문중학교</v>
          </cell>
          <cell r="F156" t="str">
            <v>전주시 완산구 용리로 92</v>
          </cell>
          <cell r="G156" t="str">
            <v>221-1131</v>
          </cell>
        </row>
        <row r="157">
          <cell r="E157" t="str">
            <v>전주효문초등학교</v>
          </cell>
          <cell r="F157" t="str">
            <v>전주시 완산구 거마평로 105</v>
          </cell>
          <cell r="G157" t="str">
            <v>221-6834</v>
          </cell>
        </row>
        <row r="158">
          <cell r="E158" t="str">
            <v>전주효자초등학교</v>
          </cell>
          <cell r="F158" t="str">
            <v>전주시 완산구 송정로 47</v>
          </cell>
          <cell r="G158" t="str">
            <v>221-2380</v>
          </cell>
        </row>
        <row r="159">
          <cell r="E159" t="str">
            <v>전주효정중학교</v>
          </cell>
          <cell r="F159" t="str">
            <v>전주시 완산구 안행로 127</v>
          </cell>
          <cell r="G159" t="str">
            <v>231-0407</v>
          </cell>
        </row>
        <row r="160">
          <cell r="E160" t="str">
            <v>전주효천초등학교</v>
          </cell>
          <cell r="F160" t="str">
            <v>전주시 완산구 효천중앙로 31</v>
          </cell>
          <cell r="G160" t="str">
            <v>717-6100</v>
          </cell>
        </row>
        <row r="161">
          <cell r="E161" t="str">
            <v>한국전통문화고등학교</v>
          </cell>
          <cell r="F161" t="str">
            <v>전주시 완산구 중인1길 68-13</v>
          </cell>
          <cell r="G161" t="str">
            <v>711-7704</v>
          </cell>
        </row>
        <row r="162">
          <cell r="E162" t="str">
            <v>호남제일고등학교</v>
          </cell>
          <cell r="F162" t="str">
            <v>전주시 완산구 서원로 53</v>
          </cell>
          <cell r="G162" t="str">
            <v>220-9080</v>
          </cell>
        </row>
        <row r="163">
          <cell r="E163" t="str">
            <v>계남중학교</v>
          </cell>
          <cell r="F163" t="str">
            <v>장수군 계남면 계남중길 52</v>
          </cell>
          <cell r="G163" t="str">
            <v>352-0979</v>
          </cell>
        </row>
        <row r="164">
          <cell r="E164" t="str">
            <v>계남초등학교</v>
          </cell>
          <cell r="F164" t="str">
            <v>장수군 계남면 조곡길 1</v>
          </cell>
          <cell r="G164" t="str">
            <v>352-0909</v>
          </cell>
        </row>
        <row r="165">
          <cell r="E165" t="str">
            <v>계북중학교</v>
          </cell>
          <cell r="F165" t="str">
            <v>장수군 계북면 장무로 1005-12</v>
          </cell>
          <cell r="G165" t="str">
            <v>353-1177</v>
          </cell>
        </row>
        <row r="166">
          <cell r="E166" t="str">
            <v>계북초등학교</v>
          </cell>
          <cell r="F166" t="str">
            <v>장수군 계북면 문성길 7</v>
          </cell>
          <cell r="G166" t="str">
            <v>352-1108</v>
          </cell>
        </row>
        <row r="167">
          <cell r="E167" t="str">
            <v>덕유샘학교</v>
          </cell>
          <cell r="F167" t="str">
            <v>장수군 계북면 장무로 1326</v>
          </cell>
          <cell r="G167" t="str">
            <v>352-7761</v>
          </cell>
        </row>
        <row r="168">
          <cell r="E168" t="str">
            <v>백화고등학교</v>
          </cell>
          <cell r="F168" t="str">
            <v>장수군 장계면 백화로 4-31</v>
          </cell>
          <cell r="G168" t="str">
            <v>351-0106</v>
          </cell>
        </row>
        <row r="169">
          <cell r="E169" t="str">
            <v>번암중학교</v>
          </cell>
          <cell r="F169" t="str">
            <v>장수군 번암면 지지로 28-12</v>
          </cell>
          <cell r="G169" t="str">
            <v>353-5132</v>
          </cell>
        </row>
        <row r="170">
          <cell r="E170" t="str">
            <v>번암초등학교</v>
          </cell>
          <cell r="F170" t="str">
            <v>장수군 번암면 동강길 21</v>
          </cell>
          <cell r="G170" t="str">
            <v>353-5546</v>
          </cell>
        </row>
        <row r="171">
          <cell r="E171" t="str">
            <v>번암초등학교동화분교장</v>
          </cell>
          <cell r="F171" t="str">
            <v>장수군 번암면 지지로 610</v>
          </cell>
          <cell r="G171" t="str">
            <v>353-5512</v>
          </cell>
        </row>
        <row r="172">
          <cell r="E172" t="str">
            <v>산서고등학교</v>
          </cell>
          <cell r="F172" t="str">
            <v>장수군 산서면 보산로 1852-6</v>
          </cell>
          <cell r="G172" t="str">
            <v>351-4137</v>
          </cell>
        </row>
        <row r="173">
          <cell r="E173" t="str">
            <v>산서중학교</v>
          </cell>
          <cell r="F173" t="str">
            <v>장수군 산서면 보산로 1852-6</v>
          </cell>
          <cell r="G173" t="str">
            <v>351-4137</v>
          </cell>
        </row>
        <row r="174">
          <cell r="E174" t="str">
            <v>산서초등학교</v>
          </cell>
          <cell r="F174" t="str">
            <v>장수군 산서면 동백로 7</v>
          </cell>
          <cell r="G174" t="str">
            <v>351-4138</v>
          </cell>
        </row>
        <row r="175">
          <cell r="E175" t="str">
            <v>수남초등학교</v>
          </cell>
          <cell r="F175" t="str">
            <v>장수군 장수읍 장수로 1898</v>
          </cell>
          <cell r="G175" t="str">
            <v>351-2511</v>
          </cell>
        </row>
        <row r="176">
          <cell r="E176" t="str">
            <v>장계중학교</v>
          </cell>
          <cell r="F176" t="str">
            <v>장수군 장계면 장무로 239-6</v>
          </cell>
          <cell r="G176" t="str">
            <v>352-0135</v>
          </cell>
        </row>
        <row r="177">
          <cell r="E177" t="str">
            <v>장계초등학교</v>
          </cell>
          <cell r="F177" t="str">
            <v>장수군 장계면 한들로 69</v>
          </cell>
          <cell r="G177" t="str">
            <v>351-0087</v>
          </cell>
        </row>
        <row r="178">
          <cell r="E178" t="str">
            <v>장수고등학교</v>
          </cell>
          <cell r="F178" t="str">
            <v>장수군 장수읍 장천로 254-16</v>
          </cell>
          <cell r="G178" t="str">
            <v>350-5123</v>
          </cell>
        </row>
        <row r="179">
          <cell r="E179" t="str">
            <v>장수중학교</v>
          </cell>
          <cell r="F179" t="str">
            <v>장수군 장수읍 호비로 68</v>
          </cell>
          <cell r="G179" t="str">
            <v>351-2383</v>
          </cell>
        </row>
        <row r="180">
          <cell r="E180" t="str">
            <v>장수초등학교</v>
          </cell>
          <cell r="F180" t="str">
            <v>장수군 장수읍 향교길 11-8</v>
          </cell>
          <cell r="G180" t="str">
            <v>351-5514</v>
          </cell>
        </row>
        <row r="181">
          <cell r="E181" t="str">
            <v>장수한사랑유치원</v>
          </cell>
          <cell r="F181" t="str">
            <v>장수군 장수읍 장천로 237</v>
          </cell>
          <cell r="G181" t="str">
            <v>353-8832</v>
          </cell>
        </row>
        <row r="182">
          <cell r="E182" t="str">
            <v>전북유니텍고등학교</v>
          </cell>
          <cell r="F182" t="str">
            <v>장수군 장계면 장계7길 3</v>
          </cell>
          <cell r="G182" t="str">
            <v>351-1518</v>
          </cell>
        </row>
        <row r="183">
          <cell r="E183" t="str">
            <v>천천중학교</v>
          </cell>
          <cell r="F183" t="str">
            <v>장수군 천천면 춘송길 47</v>
          </cell>
          <cell r="G183" t="str">
            <v>353-1092</v>
          </cell>
        </row>
        <row r="184">
          <cell r="E184" t="str">
            <v>천천초등학교</v>
          </cell>
          <cell r="F184" t="str">
            <v>장수군 천천면 송탄로 22</v>
          </cell>
          <cell r="G184" t="str">
            <v>353-0525</v>
          </cell>
        </row>
        <row r="185">
          <cell r="E185" t="str">
            <v>한국마사고등학교</v>
          </cell>
          <cell r="F185" t="str">
            <v>장수군 장계면 명덕길 14</v>
          </cell>
          <cell r="G185" t="str">
            <v>353-2580</v>
          </cell>
        </row>
        <row r="186">
          <cell r="E186" t="str">
            <v>갈담초등학교</v>
          </cell>
          <cell r="F186" t="str">
            <v>임실군 강진면 호국로 65</v>
          </cell>
          <cell r="G186" t="str">
            <v>643-1895</v>
          </cell>
        </row>
        <row r="187">
          <cell r="E187" t="str">
            <v>관촌중학교</v>
          </cell>
          <cell r="F187" t="str">
            <v>임실군 관촌면 사선10길 23</v>
          </cell>
          <cell r="G187" t="str">
            <v>642-0311</v>
          </cell>
        </row>
        <row r="188">
          <cell r="E188" t="str">
            <v>관촌초등학교</v>
          </cell>
          <cell r="F188" t="str">
            <v>임실군 관촌면 사선6길 11</v>
          </cell>
          <cell r="G188" t="str">
            <v>642-0035</v>
          </cell>
        </row>
        <row r="189">
          <cell r="E189" t="str">
            <v>대리초등학교</v>
          </cell>
          <cell r="F189" t="str">
            <v>임실군 신평면 대리로 187</v>
          </cell>
          <cell r="G189" t="str">
            <v>642-0778</v>
          </cell>
        </row>
        <row r="190">
          <cell r="E190" t="str">
            <v>덕치초등학교</v>
          </cell>
          <cell r="F190" t="str">
            <v>임실군 덕치면 인덕로 1217</v>
          </cell>
          <cell r="G190" t="str">
            <v>643-5063</v>
          </cell>
        </row>
        <row r="191">
          <cell r="E191" t="str">
            <v>마암초등학교</v>
          </cell>
          <cell r="F191" t="str">
            <v>임실군 운암면 마암2길 84</v>
          </cell>
          <cell r="G191" t="str">
            <v>222-6090</v>
          </cell>
        </row>
        <row r="192">
          <cell r="E192" t="str">
            <v>삼계중학교</v>
          </cell>
          <cell r="F192" t="str">
            <v>임실군 삼계면 삼계2길 16</v>
          </cell>
          <cell r="G192" t="str">
            <v>642-2970</v>
          </cell>
        </row>
        <row r="193">
          <cell r="E193" t="str">
            <v>삼계초등학교</v>
          </cell>
          <cell r="F193" t="str">
            <v>임실군 삼계면 삼계1길 20-3</v>
          </cell>
          <cell r="G193" t="str">
            <v>642-7506</v>
          </cell>
        </row>
        <row r="194">
          <cell r="E194" t="str">
            <v>섬진중학교</v>
          </cell>
          <cell r="F194" t="str">
            <v>임실군 강진면 강운로 87</v>
          </cell>
          <cell r="G194" t="str">
            <v>643-1101</v>
          </cell>
        </row>
        <row r="195">
          <cell r="E195" t="str">
            <v>성수중학교</v>
          </cell>
          <cell r="F195" t="str">
            <v>임실군 성수면 월삼로</v>
          </cell>
          <cell r="G195" t="str">
            <v>642-9014</v>
          </cell>
        </row>
        <row r="196">
          <cell r="E196" t="str">
            <v>성수초등학교</v>
          </cell>
          <cell r="F196" t="str">
            <v>임실군 성수면 임진로 189</v>
          </cell>
          <cell r="G196" t="str">
            <v>642-9011</v>
          </cell>
        </row>
        <row r="197">
          <cell r="E197" t="str">
            <v>신평초등학교</v>
          </cell>
          <cell r="F197" t="str">
            <v>임실군 신평면 가덕로 683</v>
          </cell>
          <cell r="G197" t="str">
            <v>643-7005</v>
          </cell>
        </row>
        <row r="198">
          <cell r="E198" t="str">
            <v>오수중학교</v>
          </cell>
          <cell r="F198" t="str">
            <v>임실군 오수면 충효로 2099-15</v>
          </cell>
          <cell r="G198" t="str">
            <v>642-5475</v>
          </cell>
        </row>
        <row r="199">
          <cell r="E199" t="str">
            <v>오수초등학교</v>
          </cell>
          <cell r="F199" t="str">
            <v>임실군 오수면 충효로 2059</v>
          </cell>
          <cell r="G199" t="str">
            <v>642-5005</v>
          </cell>
        </row>
        <row r="200">
          <cell r="E200" t="str">
            <v>운암초등학교</v>
          </cell>
          <cell r="F200" t="str">
            <v>임실군 운암면 상운길 12</v>
          </cell>
          <cell r="G200" t="str">
            <v>643-0005</v>
          </cell>
        </row>
        <row r="201">
          <cell r="E201" t="str">
            <v>임실고등학교</v>
          </cell>
          <cell r="F201" t="str">
            <v>임실군 임실읍 봉황로 257</v>
          </cell>
          <cell r="G201" t="str">
            <v>644-7512</v>
          </cell>
        </row>
        <row r="202">
          <cell r="E202" t="str">
            <v>임실기림초등학교</v>
          </cell>
          <cell r="F202" t="str">
            <v>임실군 임실읍 봉황로 369</v>
          </cell>
          <cell r="G202" t="str">
            <v>642-2155</v>
          </cell>
        </row>
        <row r="203">
          <cell r="E203" t="str">
            <v>임실동중학교</v>
          </cell>
          <cell r="F203" t="str">
            <v>임실군 임실읍 봉황로 147</v>
          </cell>
          <cell r="G203" t="str">
            <v>642-2537</v>
          </cell>
        </row>
        <row r="204">
          <cell r="E204" t="str">
            <v>임실둥지유치원</v>
          </cell>
          <cell r="F204" t="str">
            <v>임실군 임실읍 봉황7길 15-3</v>
          </cell>
          <cell r="G204" t="str">
            <v>643-9506</v>
          </cell>
        </row>
        <row r="205">
          <cell r="E205" t="str">
            <v>임실초등학교</v>
          </cell>
          <cell r="F205" t="str">
            <v>임실군 임실읍 봉황로 64-12</v>
          </cell>
          <cell r="G205" t="str">
            <v>643-5752</v>
          </cell>
        </row>
        <row r="206">
          <cell r="E206" t="str">
            <v>전북펫고등학교</v>
          </cell>
          <cell r="F206" t="str">
            <v>임실군 오수면 충효로 2099-23</v>
          </cell>
          <cell r="G206" t="str">
            <v>642-5081</v>
          </cell>
        </row>
        <row r="207">
          <cell r="E207" t="str">
            <v>지사중학교</v>
          </cell>
          <cell r="F207" t="str">
            <v>임실군 지사면 충효로 2469</v>
          </cell>
          <cell r="G207" t="str">
            <v>642-4683</v>
          </cell>
        </row>
        <row r="208">
          <cell r="E208" t="str">
            <v>지사초등학교</v>
          </cell>
          <cell r="F208" t="str">
            <v>임실군 지사면 방계3길 10</v>
          </cell>
          <cell r="G208" t="str">
            <v>642-4064</v>
          </cell>
        </row>
        <row r="209">
          <cell r="E209" t="str">
            <v>청웅중학교</v>
          </cell>
          <cell r="F209" t="str">
            <v>임실군 청웅면 청웅로 131-7</v>
          </cell>
          <cell r="G209" t="str">
            <v>643-8020</v>
          </cell>
        </row>
        <row r="210">
          <cell r="E210" t="str">
            <v>청웅초등학교</v>
          </cell>
          <cell r="F210" t="str">
            <v>임실군 청웅면 청웅로 188</v>
          </cell>
          <cell r="G210" t="str">
            <v>643-9470</v>
          </cell>
        </row>
        <row r="211">
          <cell r="E211" t="str">
            <v>한국치즈과학고등학교</v>
          </cell>
          <cell r="F211" t="str">
            <v>임실군 강진면 갈담3길 48</v>
          </cell>
          <cell r="G211" t="str">
            <v>643-1308</v>
          </cell>
        </row>
        <row r="212">
          <cell r="E212" t="str">
            <v>구림중학교</v>
          </cell>
          <cell r="F212" t="str">
            <v>순창군 구림면 방화로 6</v>
          </cell>
          <cell r="G212" t="str">
            <v>652-8435</v>
          </cell>
        </row>
        <row r="213">
          <cell r="E213" t="str">
            <v>구림초등학교</v>
          </cell>
          <cell r="F213" t="str">
            <v>순창군 구림면 방화로 6</v>
          </cell>
          <cell r="G213" t="str">
            <v>652-8424</v>
          </cell>
        </row>
        <row r="214">
          <cell r="E214" t="str">
            <v>금과초등학교</v>
          </cell>
          <cell r="F214" t="str">
            <v>순창군 금과면 신매우1길 11</v>
          </cell>
          <cell r="G214" t="str">
            <v>652-6054</v>
          </cell>
        </row>
        <row r="215">
          <cell r="E215" t="str">
            <v>동계고등학교</v>
          </cell>
          <cell r="F215" t="str">
            <v>순창군 동계면 강동로 74</v>
          </cell>
          <cell r="G215" t="str">
            <v>652-4305</v>
          </cell>
        </row>
        <row r="216">
          <cell r="E216" t="str">
            <v>동계중학교</v>
          </cell>
          <cell r="F216" t="str">
            <v>순창군 동계면 강동로 74</v>
          </cell>
          <cell r="G216" t="str">
            <v>652-4305</v>
          </cell>
        </row>
        <row r="217">
          <cell r="E217" t="str">
            <v>동계초등학교</v>
          </cell>
          <cell r="F217" t="str">
            <v>순창군 동계면 동계로 35</v>
          </cell>
          <cell r="G217" t="str">
            <v>652-4043</v>
          </cell>
        </row>
        <row r="218">
          <cell r="E218" t="str">
            <v>동산초등학교</v>
          </cell>
          <cell r="F218" t="str">
            <v>순창군 복흥면 동산길 17</v>
          </cell>
          <cell r="G218" t="str">
            <v>652-7449</v>
          </cell>
        </row>
        <row r="219">
          <cell r="E219" t="str">
            <v>복흥중학교</v>
          </cell>
          <cell r="F219" t="str">
            <v>순창군 복흥면 금월로 33-4</v>
          </cell>
          <cell r="G219" t="str">
            <v>652-7566</v>
          </cell>
        </row>
        <row r="220">
          <cell r="E220" t="str">
            <v>복흥초등학교</v>
          </cell>
          <cell r="F220" t="str">
            <v>순창군 복흥면 정산로 12</v>
          </cell>
          <cell r="G220" t="str">
            <v>652-1612</v>
          </cell>
        </row>
        <row r="221">
          <cell r="E221" t="str">
            <v>새솔중학교</v>
          </cell>
          <cell r="F221" t="str">
            <v>순창군 순창읍 장류로 295-11</v>
          </cell>
          <cell r="G221" t="str">
            <v>653-2644</v>
          </cell>
        </row>
        <row r="222">
          <cell r="E222" t="str">
            <v>순창고등학교</v>
          </cell>
          <cell r="F222" t="str">
            <v>순창군 순창읍 옥천로 67-14</v>
          </cell>
          <cell r="G222" t="str">
            <v>653-2792</v>
          </cell>
        </row>
        <row r="223">
          <cell r="E223" t="str">
            <v>순창북중학교</v>
          </cell>
          <cell r="F223" t="str">
            <v>순창군 순창읍 옥천로 67-13</v>
          </cell>
          <cell r="G223" t="str">
            <v>653-2675</v>
          </cell>
        </row>
        <row r="224">
          <cell r="E224" t="str">
            <v>순창옥천유치원</v>
          </cell>
          <cell r="F224" t="str">
            <v>순창군 순창읍 순창6길 37</v>
          </cell>
          <cell r="G224" t="str">
            <v>653-6566</v>
          </cell>
        </row>
        <row r="225">
          <cell r="E225" t="str">
            <v>순창제일고등학교</v>
          </cell>
          <cell r="F225" t="str">
            <v>순창군 순창읍 담순로 1411</v>
          </cell>
          <cell r="G225" t="str">
            <v>653-1992</v>
          </cell>
        </row>
        <row r="226">
          <cell r="E226" t="str">
            <v>순창중앙초등학교</v>
          </cell>
          <cell r="F226" t="str">
            <v>순창군 순창읍 장류로 385</v>
          </cell>
          <cell r="G226" t="str">
            <v>653-2524</v>
          </cell>
        </row>
        <row r="227">
          <cell r="E227" t="str">
            <v>순창중학교</v>
          </cell>
          <cell r="F227" t="str">
            <v>순창군 순창읍 담순로 1418</v>
          </cell>
          <cell r="G227" t="str">
            <v>653-2727</v>
          </cell>
        </row>
        <row r="228">
          <cell r="E228" t="str">
            <v>순창초등학교</v>
          </cell>
          <cell r="F228" t="str">
            <v>순창군 순창읍 순창7길 40</v>
          </cell>
          <cell r="G228" t="str">
            <v>653-3162</v>
          </cell>
        </row>
        <row r="229">
          <cell r="E229" t="str">
            <v>시산초등학교</v>
          </cell>
          <cell r="F229" t="str">
            <v>순창군 쌍치면 시산길 45</v>
          </cell>
          <cell r="G229" t="str">
            <v>652-2656</v>
          </cell>
        </row>
        <row r="230">
          <cell r="E230" t="str">
            <v>쌍치중학교</v>
          </cell>
          <cell r="F230" t="str">
            <v>순창군 쌍치면 쌍계로 30-5</v>
          </cell>
          <cell r="G230" t="str">
            <v>652-2773</v>
          </cell>
        </row>
        <row r="231">
          <cell r="E231" t="str">
            <v>쌍치초등학교</v>
          </cell>
          <cell r="F231" t="str">
            <v>순창군 쌍치면 반계길 40</v>
          </cell>
          <cell r="G231" t="str">
            <v>652-2508</v>
          </cell>
        </row>
        <row r="232">
          <cell r="E232" t="str">
            <v>옥천초등학교</v>
          </cell>
          <cell r="F232" t="str">
            <v>순창군 순창읍 순창6길 33</v>
          </cell>
          <cell r="G232" t="str">
            <v>653-3595</v>
          </cell>
        </row>
        <row r="233">
          <cell r="E233" t="str">
            <v>유등초등학교</v>
          </cell>
          <cell r="F233" t="str">
            <v>순창군 유등면 유등로 413</v>
          </cell>
          <cell r="G233" t="str">
            <v>652-1007</v>
          </cell>
        </row>
        <row r="234">
          <cell r="E234" t="str">
            <v>인계초등학교</v>
          </cell>
          <cell r="F234" t="str">
            <v>순창군 인계면 인성로 162-7</v>
          </cell>
          <cell r="G234" t="str">
            <v>652-7007</v>
          </cell>
        </row>
        <row r="235">
          <cell r="E235" t="str">
            <v>적성초등학교</v>
          </cell>
          <cell r="F235" t="str">
            <v>순창군 적성면 적성로 149-7</v>
          </cell>
          <cell r="G235" t="str">
            <v>652-1694</v>
          </cell>
        </row>
        <row r="236">
          <cell r="E236" t="str">
            <v>팔덕초등학교</v>
          </cell>
          <cell r="F236" t="str">
            <v>순창군 팔덕면 강천로 328</v>
          </cell>
          <cell r="G236" t="str">
            <v>652-5888</v>
          </cell>
        </row>
        <row r="237">
          <cell r="E237" t="str">
            <v>풍산초등학교</v>
          </cell>
          <cell r="F237" t="str">
            <v>순창군 풍산면 금풍로 997-10</v>
          </cell>
          <cell r="G237" t="str">
            <v>652-9509</v>
          </cell>
        </row>
        <row r="238">
          <cell r="E238" t="str">
            <v>가평초등학교</v>
          </cell>
          <cell r="F238" t="str">
            <v>고창군 신림면 가평로 472</v>
          </cell>
          <cell r="G238" t="str">
            <v>562-4167</v>
          </cell>
        </row>
        <row r="239">
          <cell r="E239" t="str">
            <v>강호항공고등학교</v>
          </cell>
          <cell r="F239" t="str">
            <v>고창군 고창읍 중거리당산로 78-22</v>
          </cell>
          <cell r="G239" t="str">
            <v>560-5000</v>
          </cell>
        </row>
        <row r="240">
          <cell r="E240" t="str">
            <v>고수초등학교</v>
          </cell>
          <cell r="F240" t="str">
            <v>고창군 고수면 고수로 93</v>
          </cell>
          <cell r="G240" t="str">
            <v>562-0005</v>
          </cell>
        </row>
        <row r="241">
          <cell r="E241" t="str">
            <v>고창고등학교</v>
          </cell>
          <cell r="F241" t="str">
            <v>고창군 고창읍 모양성로 50</v>
          </cell>
          <cell r="G241" t="str">
            <v>561-2441</v>
          </cell>
        </row>
        <row r="242">
          <cell r="E242" t="str">
            <v>고창꿈푸른유치원</v>
          </cell>
          <cell r="F242" t="str">
            <v>고창군 고창읍 남정2길 30</v>
          </cell>
          <cell r="G242" t="str">
            <v>561-6538</v>
          </cell>
        </row>
        <row r="243">
          <cell r="E243" t="str">
            <v>고창남중학교</v>
          </cell>
          <cell r="F243" t="str">
            <v>고창군 성송면 대성로 877</v>
          </cell>
          <cell r="G243" t="str">
            <v>563-1944</v>
          </cell>
        </row>
        <row r="244">
          <cell r="E244" t="str">
            <v>고창남초등학교</v>
          </cell>
          <cell r="F244" t="str">
            <v>고창군 고창읍 중거리당산로 111</v>
          </cell>
          <cell r="G244" t="str">
            <v>564-2078</v>
          </cell>
        </row>
        <row r="245">
          <cell r="E245" t="str">
            <v>고창부안초등학교</v>
          </cell>
          <cell r="F245" t="str">
            <v>고창군 부안면 복분자로 806</v>
          </cell>
          <cell r="G245" t="str">
            <v>562-2020</v>
          </cell>
        </row>
        <row r="246">
          <cell r="E246" t="str">
            <v>고창북고등학교</v>
          </cell>
          <cell r="F246" t="str">
            <v>고창군 흥덕면 선운대로 3714-32</v>
          </cell>
          <cell r="G246" t="str">
            <v>562-6978</v>
          </cell>
        </row>
        <row r="247">
          <cell r="E247" t="str">
            <v>고창북중학교</v>
          </cell>
          <cell r="F247" t="str">
            <v>고창군 부안면 복분자로 788-141</v>
          </cell>
          <cell r="G247" t="str">
            <v>562-2572</v>
          </cell>
        </row>
        <row r="248">
          <cell r="E248" t="str">
            <v>고창중학교</v>
          </cell>
          <cell r="F248" t="str">
            <v>고창군 고창읍 보릿골로 35</v>
          </cell>
          <cell r="G248" t="str">
            <v>564-2901</v>
          </cell>
        </row>
        <row r="249">
          <cell r="E249" t="str">
            <v>고창초등학교</v>
          </cell>
          <cell r="F249" t="str">
            <v>고창군 고창읍 중앙로 259</v>
          </cell>
          <cell r="G249" t="str">
            <v>560-1703~4</v>
          </cell>
        </row>
        <row r="250">
          <cell r="E250" t="str">
            <v>공음중학교</v>
          </cell>
          <cell r="F250" t="str">
            <v>고창군 공음면 공음길 74-6</v>
          </cell>
          <cell r="G250" t="str">
            <v>562-7323</v>
          </cell>
        </row>
        <row r="251">
          <cell r="E251" t="str">
            <v>공음초등학교</v>
          </cell>
          <cell r="F251" t="str">
            <v>고창군 공음면 공음길 20</v>
          </cell>
          <cell r="G251" t="str">
            <v>562-7006</v>
          </cell>
        </row>
        <row r="252">
          <cell r="E252" t="str">
            <v>대산초등학교</v>
          </cell>
          <cell r="F252" t="str">
            <v>고창군 대산면 장자산로 669</v>
          </cell>
          <cell r="G252" t="str">
            <v>562-8072</v>
          </cell>
        </row>
        <row r="253">
          <cell r="E253" t="str">
            <v>대성중학교</v>
          </cell>
          <cell r="F253" t="str">
            <v>고창군 대산면 고산성로 29-11</v>
          </cell>
          <cell r="G253" t="str">
            <v>562-8050</v>
          </cell>
        </row>
        <row r="254">
          <cell r="E254" t="str">
            <v>대아초등학교</v>
          </cell>
          <cell r="F254" t="str">
            <v>고창군 아산면 녹두로 776</v>
          </cell>
          <cell r="G254" t="str">
            <v>562-5006</v>
          </cell>
        </row>
        <row r="255">
          <cell r="E255" t="str">
            <v>동호초등학교</v>
          </cell>
          <cell r="F255" t="str">
            <v>고창군 해리면 신동호길 18</v>
          </cell>
          <cell r="G255" t="str">
            <v>563-6298</v>
          </cell>
        </row>
        <row r="256">
          <cell r="E256" t="str">
            <v>매산초등학교</v>
          </cell>
          <cell r="F256" t="str">
            <v>고창군 대산면 매산초등길 22</v>
          </cell>
          <cell r="G256" t="str">
            <v>562-8018</v>
          </cell>
        </row>
        <row r="257">
          <cell r="E257" t="str">
            <v>무장초등학교</v>
          </cell>
          <cell r="F257" t="str">
            <v>고창군 무장면 무장초등길 24</v>
          </cell>
          <cell r="G257" t="str">
            <v>562-9011</v>
          </cell>
        </row>
        <row r="258">
          <cell r="E258" t="str">
            <v>봉암초등학교</v>
          </cell>
          <cell r="F258" t="str">
            <v>고창군 부안면 인촌로 505</v>
          </cell>
          <cell r="G258" t="str">
            <v>562-1717</v>
          </cell>
        </row>
        <row r="259">
          <cell r="E259" t="str">
            <v>상하중학교</v>
          </cell>
          <cell r="F259" t="str">
            <v>고창군 상하면 상하1길 34</v>
          </cell>
          <cell r="G259" t="str">
            <v>564-6260</v>
          </cell>
        </row>
        <row r="260">
          <cell r="E260" t="str">
            <v>상하초등학교</v>
          </cell>
          <cell r="F260" t="str">
            <v>고창군 상하면 상하1길 36</v>
          </cell>
          <cell r="G260" t="str">
            <v>563-0016</v>
          </cell>
        </row>
        <row r="261">
          <cell r="E261" t="str">
            <v>성내중학교</v>
          </cell>
          <cell r="F261" t="str">
            <v>고창군 성내면 선운대로 4223-11</v>
          </cell>
          <cell r="G261" t="str">
            <v>562-3016</v>
          </cell>
        </row>
        <row r="262">
          <cell r="E262" t="str">
            <v>성내초등학교</v>
          </cell>
          <cell r="F262" t="str">
            <v>고창군 성내면 시기2길 2</v>
          </cell>
          <cell r="G262" t="str">
            <v>562-3210</v>
          </cell>
        </row>
        <row r="263">
          <cell r="E263" t="str">
            <v>성송초등학교</v>
          </cell>
          <cell r="F263" t="str">
            <v>고창군 성송면 백토1길 10</v>
          </cell>
          <cell r="G263" t="str">
            <v>563-1006</v>
          </cell>
        </row>
        <row r="264">
          <cell r="E264" t="str">
            <v>신림중학교</v>
          </cell>
          <cell r="F264" t="str">
            <v>고창군 신림면 대강길 19-2</v>
          </cell>
          <cell r="G264" t="str">
            <v>562-4006</v>
          </cell>
        </row>
        <row r="265">
          <cell r="E265" t="str">
            <v>신림초등학교</v>
          </cell>
          <cell r="F265" t="str">
            <v>고창군 신림면 동법지길 61</v>
          </cell>
          <cell r="G265" t="str">
            <v>562-4010</v>
          </cell>
        </row>
        <row r="266">
          <cell r="E266" t="str">
            <v>심원중학교</v>
          </cell>
          <cell r="F266" t="str">
            <v>고창군 심원면 심원로 158-11</v>
          </cell>
          <cell r="G266" t="str">
            <v>563-5066</v>
          </cell>
        </row>
        <row r="267">
          <cell r="E267" t="str">
            <v>심원초등학교</v>
          </cell>
          <cell r="F267" t="str">
            <v>고창군 심원면 심원로 229</v>
          </cell>
          <cell r="G267" t="str">
            <v>563-5020</v>
          </cell>
        </row>
        <row r="268">
          <cell r="E268" t="str">
            <v>아산중학교</v>
          </cell>
          <cell r="F268" t="str">
            <v>고창군 아산면 목동로 336</v>
          </cell>
          <cell r="G268" t="str">
            <v>562-5622</v>
          </cell>
        </row>
        <row r="269">
          <cell r="E269" t="str">
            <v>아산초등학교</v>
          </cell>
          <cell r="F269" t="str">
            <v>고창군 아산면 영모정길 45</v>
          </cell>
          <cell r="G269" t="str">
            <v>562-1570</v>
          </cell>
        </row>
        <row r="270">
          <cell r="E270" t="str">
            <v>영선중학교</v>
          </cell>
          <cell r="F270" t="str">
            <v>고창군 무장면 왕제산로 713</v>
          </cell>
          <cell r="G270" t="str">
            <v>562-9704</v>
          </cell>
        </row>
        <row r="271">
          <cell r="E271" t="str">
            <v>자유고등학교</v>
          </cell>
          <cell r="F271" t="str">
            <v>고창군 고창읍 모양성로 95</v>
          </cell>
          <cell r="G271" t="str">
            <v>560-3600</v>
          </cell>
        </row>
        <row r="272">
          <cell r="E272" t="str">
            <v>자유중학교</v>
          </cell>
          <cell r="F272" t="str">
            <v>고창군 고창읍 보릿골로 176</v>
          </cell>
          <cell r="G272" t="str">
            <v>560-3500</v>
          </cell>
        </row>
        <row r="273">
          <cell r="E273" t="str">
            <v>전북인공지능고등학교</v>
          </cell>
          <cell r="F273" t="str">
            <v>고창군 무장면 왕제산로 713</v>
          </cell>
          <cell r="G273" t="str">
            <v>562-9703</v>
          </cell>
        </row>
        <row r="274">
          <cell r="E274" t="str">
            <v>해리고등학교</v>
          </cell>
          <cell r="F274" t="str">
            <v>고창군 해리면 해리중앙로 146</v>
          </cell>
          <cell r="G274" t="str">
            <v>563-6044</v>
          </cell>
        </row>
        <row r="275">
          <cell r="E275" t="str">
            <v>해리중학교</v>
          </cell>
          <cell r="F275" t="str">
            <v>고창군 해리면 해리중앙로 120</v>
          </cell>
          <cell r="G275" t="str">
            <v>563-6072</v>
          </cell>
        </row>
        <row r="276">
          <cell r="E276" t="str">
            <v>해리초등학교</v>
          </cell>
          <cell r="F276" t="str">
            <v>고창군 해리면 해리중앙로 152</v>
          </cell>
          <cell r="G276" t="str">
            <v>563-5319</v>
          </cell>
        </row>
        <row r="277">
          <cell r="E277" t="str">
            <v>흥덕중학교</v>
          </cell>
          <cell r="F277" t="str">
            <v>고창군 흥덕면 잿말길 21</v>
          </cell>
          <cell r="G277" t="str">
            <v>562-6067</v>
          </cell>
        </row>
        <row r="278">
          <cell r="E278" t="str">
            <v>흥덕초등학교</v>
          </cell>
          <cell r="F278" t="str">
            <v>고창군 흥덕면 흥덕초등길 13</v>
          </cell>
          <cell r="G278" t="str">
            <v>562-6021</v>
          </cell>
        </row>
        <row r="279">
          <cell r="E279" t="str">
            <v>격포초등학교</v>
          </cell>
          <cell r="F279" t="str">
            <v>부안군 변산면 격포윗길 11</v>
          </cell>
          <cell r="G279" t="str">
            <v>582-8613</v>
          </cell>
        </row>
        <row r="280">
          <cell r="E280" t="str">
            <v>계화중학교</v>
          </cell>
          <cell r="F280" t="str">
            <v>부안군 계화면 창북중앙길 92</v>
          </cell>
          <cell r="G280" t="str">
            <v>582-1502</v>
          </cell>
        </row>
        <row r="281">
          <cell r="E281" t="str">
            <v>곰소초등학교</v>
          </cell>
          <cell r="F281" t="str">
            <v>부안군 진서면 작도길 7</v>
          </cell>
          <cell r="G281" t="str">
            <v>582-7029</v>
          </cell>
        </row>
        <row r="282">
          <cell r="E282" t="str">
            <v>낭주중학교</v>
          </cell>
          <cell r="F282" t="str">
            <v>부안군 부안읍 교동1길 42</v>
          </cell>
          <cell r="G282" t="str">
            <v>583-8381</v>
          </cell>
        </row>
        <row r="283">
          <cell r="E283" t="str">
            <v>동북초등학교</v>
          </cell>
          <cell r="F283" t="str">
            <v>부안군 동진면 제전길 63</v>
          </cell>
          <cell r="G283" t="str">
            <v>582-5291</v>
          </cell>
        </row>
        <row r="284">
          <cell r="E284" t="str">
            <v>동진초등학교</v>
          </cell>
          <cell r="F284" t="str">
            <v>부안군 동진면 동진로 145</v>
          </cell>
          <cell r="G284" t="str">
            <v>583-5026</v>
          </cell>
        </row>
        <row r="285">
          <cell r="E285" t="str">
            <v>백룡초등학교</v>
          </cell>
          <cell r="F285" t="str">
            <v>부안군 백산면 시기길 15</v>
          </cell>
          <cell r="G285" t="str">
            <v>582-2010</v>
          </cell>
        </row>
        <row r="286">
          <cell r="E286" t="str">
            <v>백산고등학교</v>
          </cell>
          <cell r="F286" t="str">
            <v>부안군 백산면 백산로 379</v>
          </cell>
          <cell r="G286" t="str">
            <v>582-2052</v>
          </cell>
        </row>
        <row r="287">
          <cell r="E287" t="str">
            <v>백산중학교</v>
          </cell>
          <cell r="F287" t="str">
            <v>부안군 백산면 백산로 379</v>
          </cell>
          <cell r="G287" t="str">
            <v>582-2046</v>
          </cell>
        </row>
        <row r="288">
          <cell r="E288" t="str">
            <v>백산초등학교</v>
          </cell>
          <cell r="F288" t="str">
            <v>부안군 백산면 백산로 306-7</v>
          </cell>
          <cell r="G288" t="str">
            <v>581-8602</v>
          </cell>
        </row>
        <row r="289">
          <cell r="E289" t="str">
            <v>변산서중학교</v>
          </cell>
          <cell r="F289" t="str">
            <v>부안군 변산면 지서로 139</v>
          </cell>
          <cell r="G289" t="str">
            <v>582-8122</v>
          </cell>
        </row>
        <row r="290">
          <cell r="E290" t="str">
            <v>변산중학교</v>
          </cell>
          <cell r="F290" t="str">
            <v>부안군 진서면 청자로 921</v>
          </cell>
          <cell r="G290" t="str">
            <v>582-1212</v>
          </cell>
        </row>
        <row r="291">
          <cell r="E291" t="str">
            <v>변산초등학교</v>
          </cell>
          <cell r="F291" t="str">
            <v>부안군 변산면 지서1길 11</v>
          </cell>
          <cell r="G291" t="str">
            <v>582-8026</v>
          </cell>
        </row>
        <row r="292">
          <cell r="E292" t="str">
            <v>보안중학교</v>
          </cell>
          <cell r="F292" t="str">
            <v>부안군 보안면 영전길 37</v>
          </cell>
          <cell r="G292" t="str">
            <v>583-6560</v>
          </cell>
        </row>
        <row r="293">
          <cell r="E293" t="str">
            <v>부안고등학교</v>
          </cell>
          <cell r="F293" t="str">
            <v>부안군 부안읍 문정로 32</v>
          </cell>
          <cell r="G293" t="str">
            <v>584-2951</v>
          </cell>
        </row>
        <row r="294">
          <cell r="E294" t="str">
            <v>부안남초등학교</v>
          </cell>
          <cell r="F294" t="str">
            <v>부안군 부안읍 연곡로 7</v>
          </cell>
          <cell r="G294" t="str">
            <v>584-3289</v>
          </cell>
        </row>
        <row r="295">
          <cell r="E295" t="str">
            <v>부안동초등학교</v>
          </cell>
          <cell r="F295" t="str">
            <v>부안군 부안읍 석정로 313</v>
          </cell>
          <cell r="G295" t="str">
            <v>580-7777</v>
          </cell>
        </row>
        <row r="296">
          <cell r="E296" t="str">
            <v>부안여자고등학교</v>
          </cell>
          <cell r="F296" t="str">
            <v>부안군 부안읍 교동1길 54</v>
          </cell>
          <cell r="G296" t="str">
            <v>584-8083</v>
          </cell>
        </row>
        <row r="297">
          <cell r="E297" t="str">
            <v>부안중학교</v>
          </cell>
          <cell r="F297" t="str">
            <v>부안군 부안읍 당산로 1</v>
          </cell>
          <cell r="G297" t="str">
            <v>583-8352</v>
          </cell>
        </row>
        <row r="298">
          <cell r="E298" t="str">
            <v>부안초등학교</v>
          </cell>
          <cell r="F298" t="str">
            <v>부안군 부안읍 부풍로 29</v>
          </cell>
          <cell r="G298" t="str">
            <v>580-6600</v>
          </cell>
        </row>
        <row r="299">
          <cell r="E299" t="str">
            <v>부안해오름유치원</v>
          </cell>
          <cell r="F299" t="str">
            <v>부안군 부안읍 봉덕리 446</v>
          </cell>
          <cell r="G299" t="str">
            <v>581-8826</v>
          </cell>
        </row>
        <row r="300">
          <cell r="E300" t="str">
            <v>삼남중학교</v>
          </cell>
          <cell r="F300" t="str">
            <v>부안군 부안읍 용계길 29</v>
          </cell>
          <cell r="G300" t="str">
            <v>583-2584</v>
          </cell>
        </row>
        <row r="301">
          <cell r="E301" t="str">
            <v>상서중학교</v>
          </cell>
          <cell r="F301" t="str">
            <v>부안군 상서면 고인돌로 17</v>
          </cell>
          <cell r="G301" t="str">
            <v>582-5300</v>
          </cell>
        </row>
        <row r="302">
          <cell r="E302" t="str">
            <v>서림고등학교</v>
          </cell>
          <cell r="F302" t="str">
            <v>부안군 부안읍 용암로 70-5</v>
          </cell>
          <cell r="G302" t="str">
            <v>902-7710</v>
          </cell>
        </row>
        <row r="303">
          <cell r="E303" t="str">
            <v>영전초등학교</v>
          </cell>
          <cell r="F303" t="str">
            <v>부안군 보안면 부안로 1158</v>
          </cell>
          <cell r="G303" t="str">
            <v>582-3006</v>
          </cell>
        </row>
        <row r="304">
          <cell r="E304" t="str">
            <v>우덕초등학교</v>
          </cell>
          <cell r="F304" t="str">
            <v>부안군 상서면 부안로 1971</v>
          </cell>
          <cell r="G304" t="str">
            <v>582-5011</v>
          </cell>
        </row>
        <row r="305">
          <cell r="E305" t="str">
            <v>위도고등학교(휴교)</v>
          </cell>
          <cell r="F305" t="str">
            <v>부안군 위도면 위도로 245</v>
          </cell>
          <cell r="G305" t="str">
            <v>582-9822</v>
          </cell>
        </row>
        <row r="306">
          <cell r="E306" t="str">
            <v>위도중학교</v>
          </cell>
          <cell r="F306" t="str">
            <v>부안군 위도면 위도로 245</v>
          </cell>
          <cell r="G306" t="str">
            <v>582-9822</v>
          </cell>
        </row>
        <row r="307">
          <cell r="E307" t="str">
            <v>위도초등학교</v>
          </cell>
          <cell r="F307" t="str">
            <v>부안군 위도면 진리잔등로 113-3</v>
          </cell>
          <cell r="G307" t="str">
            <v>583-3808</v>
          </cell>
        </row>
        <row r="308">
          <cell r="E308" t="str">
            <v>전북베이커리고등학교</v>
          </cell>
          <cell r="F308" t="str">
            <v>부안군 행안면 춘헌길 1</v>
          </cell>
          <cell r="G308" t="str">
            <v>583-7337</v>
          </cell>
        </row>
        <row r="309">
          <cell r="E309" t="str">
            <v>전북자동차고등학교</v>
          </cell>
          <cell r="F309" t="str">
            <v>부안군 줄포면 우포로 10</v>
          </cell>
          <cell r="G309" t="str">
            <v>584-9407</v>
          </cell>
        </row>
        <row r="310">
          <cell r="E310" t="str">
            <v>주산초등학교</v>
          </cell>
          <cell r="F310" t="str">
            <v>부안군 주산면 주산초교길 86-11</v>
          </cell>
          <cell r="G310" t="str">
            <v>582-6007</v>
          </cell>
        </row>
        <row r="311">
          <cell r="E311" t="str">
            <v>줄포중학교</v>
          </cell>
          <cell r="F311" t="str">
            <v>부안군 줄포면 부안로 938</v>
          </cell>
          <cell r="G311" t="str">
            <v>582-9810</v>
          </cell>
        </row>
        <row r="312">
          <cell r="E312" t="str">
            <v>줄포초등학교</v>
          </cell>
          <cell r="F312" t="str">
            <v>부안군 줄포면 줄포초교길 16</v>
          </cell>
          <cell r="G312" t="str">
            <v>580-1820</v>
          </cell>
        </row>
        <row r="313">
          <cell r="E313" t="str">
            <v>창북초등학교</v>
          </cell>
          <cell r="F313" t="str">
            <v>부안군 계화면 창북중앙길 115</v>
          </cell>
          <cell r="G313" t="str">
            <v>584-1501</v>
          </cell>
        </row>
        <row r="314">
          <cell r="E314" t="str">
            <v>하서중학교</v>
          </cell>
          <cell r="F314" t="str">
            <v>부안군 하서면 변산로 852</v>
          </cell>
          <cell r="G314" t="str">
            <v>581-4206</v>
          </cell>
        </row>
        <row r="315">
          <cell r="E315" t="str">
            <v>하서초등학교</v>
          </cell>
          <cell r="F315" t="str">
            <v>부안군 하서면 서당로 99</v>
          </cell>
          <cell r="G315" t="str">
            <v>582-4024</v>
          </cell>
        </row>
        <row r="316">
          <cell r="E316" t="str">
            <v>행안초등학교</v>
          </cell>
          <cell r="F316" t="str">
            <v>부안군 행안면 월륜길 18</v>
          </cell>
          <cell r="G316" t="str">
            <v>584-1205</v>
          </cell>
        </row>
        <row r="317">
          <cell r="E317" t="str">
            <v>개정초등학교</v>
          </cell>
          <cell r="F317" t="str">
            <v>군산시 개정면 동정1길 5</v>
          </cell>
          <cell r="G317" t="str">
            <v>452-6364</v>
          </cell>
        </row>
        <row r="318">
          <cell r="E318" t="str">
            <v>군산가람유치원</v>
          </cell>
          <cell r="F318" t="str">
            <v>군산시 궁포안4길 6</v>
          </cell>
          <cell r="G318" t="str">
            <v>454-8008</v>
          </cell>
        </row>
        <row r="319">
          <cell r="E319" t="str">
            <v>군산경포초등학교</v>
          </cell>
          <cell r="F319" t="str">
            <v>군산시 백릉로 75</v>
          </cell>
          <cell r="G319" t="str">
            <v>445-4772</v>
          </cell>
        </row>
        <row r="320">
          <cell r="E320" t="str">
            <v>군산고등학교</v>
          </cell>
          <cell r="F320" t="str">
            <v>군산시 팔마로 177</v>
          </cell>
          <cell r="G320" t="str">
            <v>472-7800</v>
          </cell>
        </row>
        <row r="321">
          <cell r="E321" t="str">
            <v>군산구암초등학교</v>
          </cell>
          <cell r="F321" t="str">
            <v>군산시 경암3길 64-1</v>
          </cell>
          <cell r="G321" t="str">
            <v>445-2405</v>
          </cell>
        </row>
        <row r="322">
          <cell r="E322" t="str">
            <v>군산금강중학교</v>
          </cell>
          <cell r="F322" t="str">
            <v>군산시 황룡2길 61</v>
          </cell>
          <cell r="G322" t="str">
            <v>471-8230</v>
          </cell>
        </row>
        <row r="323">
          <cell r="E323" t="str">
            <v>군산금광초등학교</v>
          </cell>
          <cell r="F323" t="str">
            <v>군산시 대학로 100</v>
          </cell>
          <cell r="G323" t="str">
            <v>462-3652</v>
          </cell>
        </row>
        <row r="324">
          <cell r="E324" t="str">
            <v>군산금빛초등학교</v>
          </cell>
          <cell r="F324" t="str">
            <v>군산시 궁포3로 48</v>
          </cell>
          <cell r="G324" t="str">
            <v>453-9009</v>
          </cell>
        </row>
        <row r="325">
          <cell r="E325" t="str">
            <v>군산기계공업고등학교</v>
          </cell>
          <cell r="F325" t="str">
            <v>군산시 군중길 28</v>
          </cell>
          <cell r="G325" t="str">
            <v>730-5500</v>
          </cell>
        </row>
        <row r="326">
          <cell r="E326" t="str">
            <v>군산나운초등학교</v>
          </cell>
          <cell r="F326" t="str">
            <v>군산시 신설로 50</v>
          </cell>
          <cell r="G326" t="str">
            <v>465-8101</v>
          </cell>
        </row>
        <row r="327">
          <cell r="E327" t="str">
            <v>군산남중학교</v>
          </cell>
          <cell r="F327" t="str">
            <v>군산시 대학로 222</v>
          </cell>
          <cell r="G327" t="str">
            <v>460-0852</v>
          </cell>
        </row>
        <row r="328">
          <cell r="E328" t="str">
            <v>군산남초등학교</v>
          </cell>
          <cell r="F328" t="str">
            <v>군산시 삼학7길 4</v>
          </cell>
          <cell r="G328" t="str">
            <v>462-2521</v>
          </cell>
        </row>
        <row r="329">
          <cell r="E329" t="str">
            <v>군산내흥초등학교</v>
          </cell>
          <cell r="F329" t="str">
            <v>군산시 사옥2길 33-18</v>
          </cell>
          <cell r="G329" t="str">
            <v>446-5622</v>
          </cell>
        </row>
        <row r="330">
          <cell r="E330" t="str">
            <v>군산대성중학교</v>
          </cell>
          <cell r="F330" t="str">
            <v>군산시 임피면 임피향교길 44-6</v>
          </cell>
          <cell r="G330" t="str">
            <v>453-2127</v>
          </cell>
        </row>
        <row r="331">
          <cell r="E331" t="str">
            <v>군산도담유치원</v>
          </cell>
          <cell r="F331" t="str">
            <v>군산시 칠성1길 26</v>
          </cell>
          <cell r="G331" t="str">
            <v>464-9215</v>
          </cell>
        </row>
        <row r="332">
          <cell r="E332" t="str">
            <v>군산동고등학교</v>
          </cell>
          <cell r="F332" t="str">
            <v>군산시 달여길 50</v>
          </cell>
          <cell r="G332" t="str">
            <v>450-1104</v>
          </cell>
        </row>
        <row r="333">
          <cell r="E333" t="str">
            <v>군산동산중학교</v>
          </cell>
          <cell r="F333" t="str">
            <v>군산시 동지곡길 100</v>
          </cell>
          <cell r="G333" t="str">
            <v>442-8105</v>
          </cell>
        </row>
        <row r="334">
          <cell r="E334" t="str">
            <v>군산동원중학교</v>
          </cell>
          <cell r="F334" t="str">
            <v>군산시 의료원로 146</v>
          </cell>
          <cell r="G334" t="str">
            <v>472-2100</v>
          </cell>
        </row>
        <row r="335">
          <cell r="E335" t="str">
            <v>군산동초등학교</v>
          </cell>
          <cell r="F335" t="str">
            <v>군산시 번영로 181</v>
          </cell>
          <cell r="G335" t="str">
            <v>452-3732</v>
          </cell>
        </row>
        <row r="336">
          <cell r="E336" t="str">
            <v>군산명화학교</v>
          </cell>
          <cell r="F336" t="str">
            <v>군산시 상나운1길 37</v>
          </cell>
          <cell r="G336" t="str">
            <v>462-2159</v>
          </cell>
        </row>
        <row r="337">
          <cell r="E337" t="str">
            <v>군산문화초등학교</v>
          </cell>
          <cell r="F337" t="str">
            <v>군산시 문화안길 51</v>
          </cell>
          <cell r="G337" t="str">
            <v>465-0908</v>
          </cell>
        </row>
        <row r="338">
          <cell r="E338" t="str">
            <v>군산미성초등학교</v>
          </cell>
          <cell r="F338" t="str">
            <v>군산시 칠성2길 27</v>
          </cell>
          <cell r="G338" t="str">
            <v>464-7545</v>
          </cell>
        </row>
        <row r="339">
          <cell r="E339" t="str">
            <v>군산미장초등학교</v>
          </cell>
          <cell r="F339" t="str">
            <v>군산시 미장안길 14</v>
          </cell>
          <cell r="G339" t="str">
            <v>440-1301</v>
          </cell>
        </row>
        <row r="340">
          <cell r="E340" t="str">
            <v>군산바다유치원</v>
          </cell>
          <cell r="F340" t="str">
            <v>군산시 문화9길 18</v>
          </cell>
          <cell r="G340" t="str">
            <v>466-1860</v>
          </cell>
        </row>
        <row r="341">
          <cell r="E341" t="str">
            <v>군산산북중학교</v>
          </cell>
          <cell r="F341" t="str">
            <v>군산시 동아로 109</v>
          </cell>
          <cell r="G341" t="str">
            <v>468-0222</v>
          </cell>
        </row>
        <row r="342">
          <cell r="E342" t="str">
            <v>군산산북초등학교</v>
          </cell>
          <cell r="F342" t="str">
            <v>군산시 원산북2길 29</v>
          </cell>
          <cell r="G342" t="str">
            <v>465-2414</v>
          </cell>
        </row>
        <row r="343">
          <cell r="E343" t="str">
            <v>군산상일고등학교</v>
          </cell>
          <cell r="F343" t="str">
            <v>군산시 석치1길 17</v>
          </cell>
          <cell r="G343" t="str">
            <v>469-7220</v>
          </cell>
        </row>
        <row r="344">
          <cell r="E344" t="str">
            <v>군산새빛유치원</v>
          </cell>
          <cell r="F344" t="str">
            <v>군산시 패총로 70</v>
          </cell>
          <cell r="G344" t="str">
            <v>442-6425</v>
          </cell>
        </row>
        <row r="345">
          <cell r="E345" t="str">
            <v>군산서초등학교</v>
          </cell>
          <cell r="F345" t="str">
            <v>군산시 중앙로 230</v>
          </cell>
          <cell r="G345" t="str">
            <v>445-3664</v>
          </cell>
        </row>
        <row r="346">
          <cell r="E346" t="str">
            <v>군산서해초등학교</v>
          </cell>
          <cell r="F346" t="str">
            <v>군산시 의료원로 162</v>
          </cell>
          <cell r="G346" t="str">
            <v>468-1672</v>
          </cell>
        </row>
        <row r="347">
          <cell r="E347" t="str">
            <v>군산서흥중학교</v>
          </cell>
          <cell r="F347" t="str">
            <v>군산시 축동로 129</v>
          </cell>
          <cell r="G347" t="str">
            <v>460-0703</v>
          </cell>
        </row>
        <row r="348">
          <cell r="E348" t="str">
            <v>군산수송초등학교</v>
          </cell>
          <cell r="F348" t="str">
            <v>군산시 월명로 312</v>
          </cell>
          <cell r="G348" t="str">
            <v>465-2821</v>
          </cell>
        </row>
        <row r="349">
          <cell r="E349" t="str">
            <v>군산신풍초등학교</v>
          </cell>
          <cell r="F349" t="str">
            <v>군산시 하나운3길 7</v>
          </cell>
          <cell r="G349" t="str">
            <v>465-1001</v>
          </cell>
        </row>
        <row r="350">
          <cell r="E350" t="str">
            <v>군산신흥초등학교</v>
          </cell>
          <cell r="F350" t="str">
            <v>군산시 백토로 129</v>
          </cell>
          <cell r="G350" t="str">
            <v>467-2272</v>
          </cell>
        </row>
        <row r="351">
          <cell r="E351" t="str">
            <v>군산아리울초등학교</v>
          </cell>
          <cell r="F351" t="str">
            <v>군산시 수송동로 90</v>
          </cell>
          <cell r="G351" t="str">
            <v>440-8804</v>
          </cell>
        </row>
        <row r="352">
          <cell r="E352" t="str">
            <v>군산여자고등학교</v>
          </cell>
          <cell r="F352" t="str">
            <v>군산시 월명1길 16</v>
          </cell>
          <cell r="G352" t="str">
            <v>440-1110</v>
          </cell>
        </row>
        <row r="353">
          <cell r="E353" t="str">
            <v>군산여자상업고등학교</v>
          </cell>
          <cell r="F353" t="str">
            <v>군산시 신지길 42-8</v>
          </cell>
          <cell r="G353" t="str">
            <v>460-0321</v>
          </cell>
        </row>
        <row r="354">
          <cell r="E354" t="str">
            <v>군산영광여자고등학교</v>
          </cell>
          <cell r="F354" t="str">
            <v>군산시 둔배미길 21</v>
          </cell>
          <cell r="G354" t="str">
            <v>440-8500</v>
          </cell>
        </row>
        <row r="355">
          <cell r="E355" t="str">
            <v>군산영광중학교</v>
          </cell>
          <cell r="F355" t="str">
            <v>군산시 둔배미길 21</v>
          </cell>
          <cell r="G355" t="str">
            <v>440-8700</v>
          </cell>
        </row>
        <row r="356">
          <cell r="E356" t="str">
            <v>군산용문초등학교</v>
          </cell>
          <cell r="F356" t="str">
            <v>군산시 미룡로 32-8</v>
          </cell>
          <cell r="G356" t="str">
            <v>466-8237</v>
          </cell>
        </row>
        <row r="357">
          <cell r="E357" t="str">
            <v>군산우리별유치원</v>
          </cell>
          <cell r="F357" t="str">
            <v>군산시 경암5길 77-20</v>
          </cell>
          <cell r="G357" t="str">
            <v>442-6147</v>
          </cell>
        </row>
        <row r="358">
          <cell r="E358" t="str">
            <v>군산월명중학교</v>
          </cell>
          <cell r="F358" t="str">
            <v>군산시 설림5길 90</v>
          </cell>
          <cell r="G358" t="str">
            <v>462-3334</v>
          </cell>
        </row>
        <row r="359">
          <cell r="E359" t="str">
            <v>군산월명초등학교</v>
          </cell>
          <cell r="F359" t="str">
            <v>군산시 수송동로 24</v>
          </cell>
          <cell r="G359" t="str">
            <v>472-3001</v>
          </cell>
        </row>
        <row r="360">
          <cell r="E360" t="str">
            <v>군산자양중학교</v>
          </cell>
          <cell r="F360" t="str">
            <v>군산시 옥구읍 우치산3길 40</v>
          </cell>
          <cell r="G360" t="str">
            <v>464-9372</v>
          </cell>
        </row>
        <row r="361">
          <cell r="E361" t="str">
            <v>군산제일고등학교</v>
          </cell>
          <cell r="F361" t="str">
            <v>군산시 경기장로 142</v>
          </cell>
          <cell r="G361" t="str">
            <v>440-0240</v>
          </cell>
        </row>
        <row r="362">
          <cell r="E362" t="str">
            <v>군산제일중학교</v>
          </cell>
          <cell r="F362" t="str">
            <v>군산시 경기장로 142</v>
          </cell>
          <cell r="G362" t="str">
            <v>440-3110</v>
          </cell>
        </row>
        <row r="363">
          <cell r="E363" t="str">
            <v>군산중앙고등학교</v>
          </cell>
          <cell r="F363" t="str">
            <v>군산시 성산면 환동길 17</v>
          </cell>
          <cell r="G363" t="str">
            <v>453-9025</v>
          </cell>
        </row>
        <row r="364">
          <cell r="E364" t="str">
            <v>군산중앙여자고등학교</v>
          </cell>
          <cell r="F364" t="str">
            <v>군산시 축동2길 27</v>
          </cell>
          <cell r="G364" t="str">
            <v>465-1602</v>
          </cell>
        </row>
        <row r="365">
          <cell r="E365" t="str">
            <v>군산중앙유치원</v>
          </cell>
          <cell r="F365" t="str">
            <v>군산시 중앙로 91</v>
          </cell>
          <cell r="G365" t="str">
            <v>446-9171</v>
          </cell>
        </row>
        <row r="366">
          <cell r="E366" t="str">
            <v>군산중앙중학교</v>
          </cell>
          <cell r="F366" t="str">
            <v>군산시 성산면 군장대길 13</v>
          </cell>
          <cell r="G366" t="str">
            <v>450-4000</v>
          </cell>
        </row>
        <row r="367">
          <cell r="E367" t="str">
            <v>군산중앙초등학교</v>
          </cell>
          <cell r="F367" t="str">
            <v>군산시 중앙로 91</v>
          </cell>
          <cell r="G367" t="str">
            <v>443-1735</v>
          </cell>
        </row>
        <row r="368">
          <cell r="E368" t="str">
            <v>군산중학교</v>
          </cell>
          <cell r="F368" t="str">
            <v>군산시 군중길 18</v>
          </cell>
          <cell r="G368" t="str">
            <v>465-5927</v>
          </cell>
        </row>
        <row r="369">
          <cell r="E369" t="str">
            <v>군산지곡초등학교</v>
          </cell>
          <cell r="F369" t="str">
            <v>군산시 신지길 26</v>
          </cell>
          <cell r="G369" t="str">
            <v>461-3686</v>
          </cell>
        </row>
        <row r="370">
          <cell r="E370" t="str">
            <v>군산진포중학교</v>
          </cell>
          <cell r="F370" t="str">
            <v>군산시 진포3길 66</v>
          </cell>
          <cell r="G370" t="str">
            <v>462-3206</v>
          </cell>
        </row>
        <row r="371">
          <cell r="E371" t="str">
            <v>군산진포초등학교</v>
          </cell>
          <cell r="F371" t="str">
            <v>군산시 나운안길 54</v>
          </cell>
          <cell r="G371" t="str">
            <v>464-5694</v>
          </cell>
        </row>
        <row r="372">
          <cell r="E372" t="str">
            <v>군산초등학교</v>
          </cell>
          <cell r="F372" t="str">
            <v>군산시 지곡로 68</v>
          </cell>
          <cell r="G372" t="str">
            <v>472-7703</v>
          </cell>
        </row>
        <row r="373">
          <cell r="E373" t="str">
            <v>군산푸른솔초등학교</v>
          </cell>
          <cell r="F373" t="str">
            <v>군산시 축동로 20</v>
          </cell>
          <cell r="G373" t="str">
            <v>460-1708</v>
          </cell>
        </row>
        <row r="374">
          <cell r="E374" t="str">
            <v>군산풍문초등학교</v>
          </cell>
          <cell r="F374" t="str">
            <v>군산시 풍마길 22</v>
          </cell>
          <cell r="G374" t="str">
            <v>445-2575</v>
          </cell>
        </row>
        <row r="375">
          <cell r="E375" t="str">
            <v>군산흥남초등학교</v>
          </cell>
          <cell r="F375" t="str">
            <v>군산시 서흥안2길 20</v>
          </cell>
          <cell r="G375" t="str">
            <v>466-0018</v>
          </cell>
        </row>
        <row r="376">
          <cell r="E376" t="str">
            <v>나포중학교</v>
          </cell>
          <cell r="F376" t="str">
            <v>군산시 나포면 등동1길 6-5</v>
          </cell>
          <cell r="G376" t="str">
            <v>453-1744</v>
          </cell>
        </row>
        <row r="377">
          <cell r="E377" t="str">
            <v>나포초등학교</v>
          </cell>
          <cell r="F377" t="str">
            <v>군산시 나포면 교동1길 23</v>
          </cell>
          <cell r="G377" t="str">
            <v>453-1006</v>
          </cell>
        </row>
        <row r="378">
          <cell r="E378" t="str">
            <v>당북초등학교</v>
          </cell>
          <cell r="F378" t="str">
            <v>군산시 옥산면 백석로 40</v>
          </cell>
          <cell r="G378" t="str">
            <v>462-8983</v>
          </cell>
        </row>
        <row r="379">
          <cell r="E379" t="str">
            <v>대야남초등학교</v>
          </cell>
          <cell r="F379" t="str">
            <v>군산시 대야면 남군산로 116</v>
          </cell>
          <cell r="G379" t="str">
            <v>451-2359</v>
          </cell>
        </row>
        <row r="380">
          <cell r="E380" t="str">
            <v>대야초등학교</v>
          </cell>
          <cell r="F380" t="str">
            <v>군산시 대야면 대야관통로 141-13</v>
          </cell>
          <cell r="G380" t="str">
            <v>451-2905</v>
          </cell>
        </row>
        <row r="381">
          <cell r="E381" t="str">
            <v>무녀도초등학교</v>
          </cell>
          <cell r="F381" t="str">
            <v>군산시 옥도면 무녀도2길 33</v>
          </cell>
          <cell r="G381" t="str">
            <v>465-7011</v>
          </cell>
        </row>
        <row r="382">
          <cell r="E382" t="str">
            <v>문창초등학교</v>
          </cell>
          <cell r="F382" t="str">
            <v>군산시 공항로 394</v>
          </cell>
          <cell r="G382" t="str">
            <v>466-3008</v>
          </cell>
        </row>
        <row r="383">
          <cell r="E383" t="str">
            <v>미룡초등학교</v>
          </cell>
          <cell r="F383" t="str">
            <v>군산시 대학로 498-10</v>
          </cell>
          <cell r="G383" t="str">
            <v>467-6846</v>
          </cell>
        </row>
        <row r="384">
          <cell r="E384" t="str">
            <v>발산초등학교</v>
          </cell>
          <cell r="F384" t="str">
            <v>군산시 개정면 바르메길 43</v>
          </cell>
          <cell r="G384" t="str">
            <v>451-2156</v>
          </cell>
        </row>
        <row r="385">
          <cell r="E385" t="str">
            <v>새만금초등학교</v>
          </cell>
          <cell r="F385" t="str">
            <v>군산시 요죽5길 42</v>
          </cell>
          <cell r="G385" t="str">
            <v>469-7602</v>
          </cell>
        </row>
        <row r="386">
          <cell r="E386" t="str">
            <v>서수초등학교</v>
          </cell>
          <cell r="F386" t="str">
            <v>군산시 서수면 항쟁로 199</v>
          </cell>
          <cell r="G386" t="str">
            <v>453-3021</v>
          </cell>
        </row>
        <row r="387">
          <cell r="E387" t="str">
            <v>성산초등학교</v>
          </cell>
          <cell r="F387" t="str">
            <v>군산시 성산면 동군산로 39</v>
          </cell>
          <cell r="G387" t="str">
            <v>453-0006</v>
          </cell>
        </row>
        <row r="388">
          <cell r="E388" t="str">
            <v>소룡초등학교</v>
          </cell>
          <cell r="F388" t="str">
            <v>군산시 설림길 55</v>
          </cell>
          <cell r="G388" t="str">
            <v>468-9103</v>
          </cell>
        </row>
        <row r="389">
          <cell r="E389" t="str">
            <v>술산초등학교</v>
          </cell>
          <cell r="F389" t="str">
            <v>군산시 임피면 술산길 54</v>
          </cell>
          <cell r="G389" t="str">
            <v>453-3364</v>
          </cell>
        </row>
        <row r="390">
          <cell r="E390" t="str">
            <v>오봉초등학교</v>
          </cell>
          <cell r="F390" t="str">
            <v>군산시 회현면 오봉길 55</v>
          </cell>
          <cell r="G390" t="str">
            <v>466-5323</v>
          </cell>
        </row>
        <row r="391">
          <cell r="E391" t="str">
            <v>옥구중학교</v>
          </cell>
          <cell r="F391" t="str">
            <v>군산시 대야면 만자로 60</v>
          </cell>
          <cell r="G391" t="str">
            <v>451-2946</v>
          </cell>
        </row>
        <row r="392">
          <cell r="E392" t="str">
            <v>옥구초등학교</v>
          </cell>
          <cell r="F392" t="str">
            <v>군산시 옥구읍 옥구로 50</v>
          </cell>
          <cell r="G392" t="str">
            <v>464-9596</v>
          </cell>
        </row>
        <row r="393">
          <cell r="E393" t="str">
            <v>옥봉초등학교</v>
          </cell>
          <cell r="F393" t="str">
            <v>군산시 옥서면 옥봉초교길 29</v>
          </cell>
          <cell r="G393" t="str">
            <v>471-2005</v>
          </cell>
        </row>
        <row r="394">
          <cell r="E394" t="str">
            <v>옥산초등학교</v>
          </cell>
          <cell r="F394" t="str">
            <v>군산시 옥산면 여로2길 40</v>
          </cell>
          <cell r="G394" t="str">
            <v>464-4015</v>
          </cell>
        </row>
        <row r="395">
          <cell r="E395" t="str">
            <v>임피중학교</v>
          </cell>
          <cell r="F395" t="str">
            <v>군산시 서수면 항쟁로 138</v>
          </cell>
          <cell r="G395" t="str">
            <v>453-9642</v>
          </cell>
        </row>
        <row r="396">
          <cell r="E396" t="str">
            <v>임피초등학교</v>
          </cell>
          <cell r="F396" t="str">
            <v>군산시 임피면 동헌길 38</v>
          </cell>
          <cell r="G396" t="str">
            <v>453-2676</v>
          </cell>
        </row>
        <row r="397">
          <cell r="E397" t="str">
            <v>전북외국어고등학교</v>
          </cell>
          <cell r="F397" t="str">
            <v>군산시 해망로 525</v>
          </cell>
          <cell r="G397" t="str">
            <v>465-0086</v>
          </cell>
        </row>
        <row r="398">
          <cell r="E398" t="str">
            <v>전주교육대학교군산부설초등학교</v>
          </cell>
          <cell r="F398" t="str">
            <v>군산시 팔마로 185</v>
          </cell>
          <cell r="G398" t="str">
            <v>442-2188</v>
          </cell>
        </row>
        <row r="399">
          <cell r="E399" t="str">
            <v>창오초등학교</v>
          </cell>
          <cell r="F399" t="str">
            <v>군산시 성산면 동군산로 393</v>
          </cell>
          <cell r="G399" t="str">
            <v>453-2201</v>
          </cell>
        </row>
        <row r="400">
          <cell r="E400" t="str">
            <v>한들고등학교</v>
          </cell>
          <cell r="F400" t="str">
            <v>군산시 대야면 만자로 60</v>
          </cell>
          <cell r="G400" t="str">
            <v>451-2915</v>
          </cell>
        </row>
        <row r="401">
          <cell r="E401" t="str">
            <v>해성초등학교</v>
          </cell>
          <cell r="F401" t="str">
            <v>군산시 옥성남길 21</v>
          </cell>
          <cell r="G401" t="str">
            <v>466-2775</v>
          </cell>
        </row>
        <row r="402">
          <cell r="E402" t="str">
            <v>회현중학교</v>
          </cell>
          <cell r="F402" t="str">
            <v>군산시 회현면 대위로 426</v>
          </cell>
          <cell r="G402" t="str">
            <v>466-5147</v>
          </cell>
        </row>
        <row r="403">
          <cell r="E403" t="str">
            <v>회현초등학교</v>
          </cell>
          <cell r="F403" t="str">
            <v>군산시 회현면 회현로 139</v>
          </cell>
          <cell r="G403" t="str">
            <v>466-5054</v>
          </cell>
        </row>
        <row r="404">
          <cell r="E404" t="str">
            <v>금마초등학교</v>
          </cell>
          <cell r="F404" t="str">
            <v>익산시 금마면 금마4길 38</v>
          </cell>
          <cell r="G404" t="str">
            <v>836-9224</v>
          </cell>
        </row>
        <row r="405">
          <cell r="E405" t="str">
            <v>남성고등학교</v>
          </cell>
          <cell r="F405" t="str">
            <v>익산시 동서로35길 41-4</v>
          </cell>
          <cell r="G405" t="str">
            <v>841-3813</v>
          </cell>
        </row>
        <row r="406">
          <cell r="E406" t="str">
            <v>남성중학교</v>
          </cell>
          <cell r="F406" t="str">
            <v>익산시 동서로35길 41</v>
          </cell>
          <cell r="G406" t="str">
            <v>841-3818</v>
          </cell>
        </row>
        <row r="407">
          <cell r="E407" t="str">
            <v>낭산초등학교</v>
          </cell>
          <cell r="F407" t="str">
            <v>익산시 낭산면 우신길 142</v>
          </cell>
          <cell r="G407" t="str">
            <v>861-5108</v>
          </cell>
        </row>
        <row r="408">
          <cell r="E408" t="str">
            <v>다송초등학교</v>
          </cell>
          <cell r="F408" t="str">
            <v>익산시 함열읍 익산대로 1351</v>
          </cell>
          <cell r="G408" t="str">
            <v>861-0303</v>
          </cell>
        </row>
        <row r="409">
          <cell r="E409" t="str">
            <v>망성초등학교</v>
          </cell>
          <cell r="F409" t="str">
            <v>익산시 망성면 여강로 903</v>
          </cell>
          <cell r="G409" t="str">
            <v>861-8707</v>
          </cell>
        </row>
        <row r="410">
          <cell r="E410" t="str">
            <v>미륵초등학교</v>
          </cell>
          <cell r="F410" t="str">
            <v>익산시 금마면 용순길 243</v>
          </cell>
          <cell r="G410" t="str">
            <v>836-6258</v>
          </cell>
        </row>
        <row r="411">
          <cell r="E411" t="str">
            <v>삼기중학교</v>
          </cell>
          <cell r="F411" t="str">
            <v>익산시 삼기면 황금로 499</v>
          </cell>
          <cell r="G411" t="str">
            <v>858-7911</v>
          </cell>
        </row>
        <row r="412">
          <cell r="E412" t="str">
            <v>삼기초등학교</v>
          </cell>
          <cell r="F412" t="str">
            <v>익산시 삼기면 황금로 523</v>
          </cell>
          <cell r="G412" t="str">
            <v>858-7273</v>
          </cell>
        </row>
        <row r="413">
          <cell r="E413" t="str">
            <v>석불초등학교</v>
          </cell>
          <cell r="F413" t="str">
            <v>익산시 삼기면 진북로 267</v>
          </cell>
          <cell r="G413" t="str">
            <v>858-7027</v>
          </cell>
        </row>
        <row r="414">
          <cell r="E414" t="str">
            <v>성당중학교</v>
          </cell>
          <cell r="F414" t="str">
            <v>익산시 성당면 함안로 671-333</v>
          </cell>
          <cell r="G414" t="str">
            <v>862-0516</v>
          </cell>
        </row>
        <row r="415">
          <cell r="E415" t="str">
            <v>성당초등학교</v>
          </cell>
          <cell r="F415" t="str">
            <v>익산시 성당면 성당로 354-16</v>
          </cell>
          <cell r="G415" t="str">
            <v>862-0244</v>
          </cell>
        </row>
        <row r="416">
          <cell r="E416" t="str">
            <v>성북초등학교</v>
          </cell>
          <cell r="F416" t="str">
            <v>익산시 망성면 신작길 17-5</v>
          </cell>
          <cell r="G416" t="str">
            <v>861-8744</v>
          </cell>
        </row>
        <row r="417">
          <cell r="E417" t="str">
            <v>성일고등학교</v>
          </cell>
          <cell r="F417" t="str">
            <v>익산시 황등면 화강암로 229</v>
          </cell>
          <cell r="G417" t="str">
            <v>720-3520</v>
          </cell>
        </row>
        <row r="418">
          <cell r="E418" t="str">
            <v>여산고등학교</v>
          </cell>
          <cell r="F418" t="str">
            <v>익산시 여산면 가람로 465</v>
          </cell>
          <cell r="G418" t="str">
            <v>836-5145</v>
          </cell>
        </row>
        <row r="419">
          <cell r="E419" t="str">
            <v>여산중학교</v>
          </cell>
          <cell r="F419" t="str">
            <v>익산시 여산면 가람로 459-10</v>
          </cell>
          <cell r="G419" t="str">
            <v>836-5144</v>
          </cell>
        </row>
        <row r="420">
          <cell r="E420" t="str">
            <v>여산초등학교</v>
          </cell>
          <cell r="F420" t="str">
            <v>익산시 여산면 동헌길 14</v>
          </cell>
          <cell r="G420" t="str">
            <v>836-5163</v>
          </cell>
        </row>
        <row r="421">
          <cell r="E421" t="str">
            <v>영만초등학교</v>
          </cell>
          <cell r="F421" t="str">
            <v>익산시 오산면 선화로4길 42-9</v>
          </cell>
          <cell r="G421" t="str">
            <v>850-4800</v>
          </cell>
        </row>
        <row r="422">
          <cell r="E422" t="str">
            <v>오산남초등학교</v>
          </cell>
          <cell r="F422" t="str">
            <v>익산시 오산면 남전1길 27</v>
          </cell>
          <cell r="G422" t="str">
            <v>841-1614</v>
          </cell>
        </row>
        <row r="423">
          <cell r="E423" t="str">
            <v>오산초등학교</v>
          </cell>
          <cell r="F423" t="str">
            <v>익산시 오산면 오산로 38</v>
          </cell>
          <cell r="G423" t="str">
            <v>841-2087</v>
          </cell>
        </row>
        <row r="424">
          <cell r="E424" t="str">
            <v>왕궁남초등학교</v>
          </cell>
          <cell r="F424" t="str">
            <v>익산시 왕궁면 학호길 12</v>
          </cell>
          <cell r="G424" t="str">
            <v>291-0516</v>
          </cell>
        </row>
        <row r="425">
          <cell r="E425" t="str">
            <v>왕궁중학교</v>
          </cell>
          <cell r="F425" t="str">
            <v>익산시 왕궁면 왕궁로 556</v>
          </cell>
          <cell r="G425" t="str">
            <v>832-4049</v>
          </cell>
        </row>
        <row r="426">
          <cell r="E426" t="str">
            <v>왕궁초등학교</v>
          </cell>
          <cell r="F426" t="str">
            <v>익산시 왕궁면 견우길 3</v>
          </cell>
          <cell r="G426" t="str">
            <v>834-4252</v>
          </cell>
        </row>
        <row r="427">
          <cell r="E427" t="str">
            <v>왕북초등학교</v>
          </cell>
          <cell r="F427" t="str">
            <v>익산시 왕궁면 금광길 54-12</v>
          </cell>
          <cell r="G427" t="str">
            <v>832-4102</v>
          </cell>
        </row>
        <row r="428">
          <cell r="E428" t="str">
            <v>용남초등학교</v>
          </cell>
          <cell r="F428" t="str">
            <v>익산시 용안면 입산길 13</v>
          </cell>
          <cell r="G428" t="str">
            <v>861-2612</v>
          </cell>
        </row>
        <row r="429">
          <cell r="E429" t="str">
            <v>용북초등학교</v>
          </cell>
          <cell r="F429" t="str">
            <v>익산시 용안면 용북로 81</v>
          </cell>
          <cell r="G429" t="str">
            <v>861-3613</v>
          </cell>
        </row>
        <row r="430">
          <cell r="E430" t="str">
            <v>용산초등학교</v>
          </cell>
          <cell r="F430" t="str">
            <v>익산시 황등면 용산로 193</v>
          </cell>
          <cell r="G430" t="str">
            <v>857-6826</v>
          </cell>
        </row>
        <row r="431">
          <cell r="E431" t="str">
            <v>용성초등학교</v>
          </cell>
          <cell r="F431" t="str">
            <v>익산시 낭산면 하맹길 183</v>
          </cell>
          <cell r="G431" t="str">
            <v>861-5109</v>
          </cell>
        </row>
        <row r="432">
          <cell r="E432" t="str">
            <v>용안중학교</v>
          </cell>
          <cell r="F432" t="str">
            <v>익산시 용안면 현내1로 71-8</v>
          </cell>
          <cell r="G432" t="str">
            <v>862-7766</v>
          </cell>
        </row>
        <row r="433">
          <cell r="E433" t="str">
            <v>용안초등학교</v>
          </cell>
          <cell r="F433" t="str">
            <v>익산시 용안면 용안교동1길 6-1</v>
          </cell>
          <cell r="G433" t="str">
            <v>861-3610</v>
          </cell>
        </row>
        <row r="434">
          <cell r="E434" t="str">
            <v>웅포중학교</v>
          </cell>
          <cell r="F434" t="str">
            <v>익산시 웅포면 덕성길 13</v>
          </cell>
          <cell r="G434" t="str">
            <v>862-6078</v>
          </cell>
        </row>
        <row r="435">
          <cell r="E435" t="str">
            <v>웅포초등학교</v>
          </cell>
          <cell r="F435" t="str">
            <v>익산시 웅포면 강변로 10-1</v>
          </cell>
          <cell r="G435" t="str">
            <v>862-6513</v>
          </cell>
        </row>
        <row r="436">
          <cell r="E436" t="str">
            <v>원광고등학교</v>
          </cell>
          <cell r="F436" t="str">
            <v>익산시 무왕로31길 139</v>
          </cell>
          <cell r="G436" t="str">
            <v>832-6612</v>
          </cell>
        </row>
        <row r="437">
          <cell r="E437" t="str">
            <v>원광보건고등학교</v>
          </cell>
          <cell r="F437" t="str">
            <v>익산시 선화로13길 72</v>
          </cell>
          <cell r="G437" t="str">
            <v>850-0002</v>
          </cell>
        </row>
        <row r="438">
          <cell r="E438" t="str">
            <v>원광여자고등학교</v>
          </cell>
          <cell r="F438" t="str">
            <v>익산시 선화로13길 72</v>
          </cell>
          <cell r="G438" t="str">
            <v>850-1100</v>
          </cell>
        </row>
        <row r="439">
          <cell r="E439" t="str">
            <v>원광여자중학교</v>
          </cell>
          <cell r="F439" t="str">
            <v>익산시 선화로13길 72</v>
          </cell>
          <cell r="G439" t="str">
            <v>850-1600</v>
          </cell>
        </row>
        <row r="440">
          <cell r="E440" t="str">
            <v>원광중학교</v>
          </cell>
          <cell r="F440" t="str">
            <v>익산시 무왕로31길 154</v>
          </cell>
          <cell r="G440" t="str">
            <v>720-1000</v>
          </cell>
        </row>
        <row r="441">
          <cell r="E441" t="str">
            <v>이리계문초등학교</v>
          </cell>
          <cell r="F441" t="str">
            <v>익산시 계문길 79-8</v>
          </cell>
          <cell r="G441" t="str">
            <v>857-5093</v>
          </cell>
        </row>
        <row r="442">
          <cell r="E442" t="str">
            <v>이리고등학교</v>
          </cell>
          <cell r="F442" t="str">
            <v>익산시 익산대로36길 35</v>
          </cell>
          <cell r="G442" t="str">
            <v>859-7114</v>
          </cell>
        </row>
        <row r="443">
          <cell r="E443" t="str">
            <v>이리고현초등학교</v>
          </cell>
          <cell r="F443" t="str">
            <v>익산시 선화로23길 44</v>
          </cell>
          <cell r="G443" t="str">
            <v>851-2107</v>
          </cell>
        </row>
        <row r="444">
          <cell r="E444" t="str">
            <v>이리공업고등학교</v>
          </cell>
          <cell r="F444" t="str">
            <v>익산시 동서로14길 30-2</v>
          </cell>
          <cell r="G444" t="str">
            <v>858-3712</v>
          </cell>
        </row>
        <row r="445">
          <cell r="E445" t="str">
            <v>이리남성여자고등학교</v>
          </cell>
          <cell r="F445" t="str">
            <v>익산시 동서로35길 41</v>
          </cell>
          <cell r="G445" t="str">
            <v>841-3821</v>
          </cell>
        </row>
        <row r="446">
          <cell r="E446" t="str">
            <v>이리남성여자중학교</v>
          </cell>
          <cell r="F446" t="str">
            <v>익산시 동서로 35길 41</v>
          </cell>
          <cell r="G446" t="str">
            <v>841-3825</v>
          </cell>
        </row>
        <row r="447">
          <cell r="E447" t="str">
            <v>이리남중학교</v>
          </cell>
          <cell r="F447" t="str">
            <v>익산시 배산로3길 55</v>
          </cell>
          <cell r="G447" t="str">
            <v>841-6924</v>
          </cell>
        </row>
        <row r="448">
          <cell r="E448" t="str">
            <v>이리남창초등학교</v>
          </cell>
          <cell r="F448" t="str">
            <v>익산시 인북로 171</v>
          </cell>
          <cell r="G448" t="str">
            <v>855-2210</v>
          </cell>
        </row>
        <row r="449">
          <cell r="E449" t="str">
            <v>이리남초등학교</v>
          </cell>
          <cell r="F449" t="str">
            <v>익산시 번영로 2040-9</v>
          </cell>
          <cell r="G449" t="str">
            <v>851-1413</v>
          </cell>
        </row>
        <row r="450">
          <cell r="E450" t="str">
            <v>이리동남초등학교</v>
          </cell>
          <cell r="F450" t="str">
            <v>익산시 동천로7길 18</v>
          </cell>
          <cell r="G450" t="str">
            <v>842-8294</v>
          </cell>
        </row>
        <row r="451">
          <cell r="E451" t="str">
            <v>이리동북초등학교</v>
          </cell>
          <cell r="F451" t="str">
            <v>익산시 고봉로 190-3</v>
          </cell>
          <cell r="G451" t="str">
            <v>857-1281</v>
          </cell>
        </row>
        <row r="452">
          <cell r="E452" t="str">
            <v>이리동산초등학교</v>
          </cell>
          <cell r="F452" t="str">
            <v>익산시 평동로23길 46</v>
          </cell>
          <cell r="G452" t="str">
            <v>857-2230</v>
          </cell>
        </row>
        <row r="453">
          <cell r="E453" t="str">
            <v>이리동중학교</v>
          </cell>
          <cell r="F453" t="str">
            <v>익산시 동천로7길 44</v>
          </cell>
          <cell r="G453" t="str">
            <v>855-3164</v>
          </cell>
        </row>
        <row r="454">
          <cell r="E454" t="str">
            <v>이리동초등학교</v>
          </cell>
          <cell r="F454" t="str">
            <v>익산시 동서로51길 57</v>
          </cell>
          <cell r="G454" t="str">
            <v>830-6805</v>
          </cell>
        </row>
        <row r="455">
          <cell r="E455" t="str">
            <v>이리마한초등학교</v>
          </cell>
          <cell r="F455" t="str">
            <v>익산시 무왕로17길 47</v>
          </cell>
          <cell r="G455" t="str">
            <v>831-6001</v>
          </cell>
        </row>
        <row r="456">
          <cell r="E456" t="str">
            <v>이리모현초등학교</v>
          </cell>
          <cell r="F456" t="str">
            <v>익산시 배산로14길 12-4</v>
          </cell>
          <cell r="G456" t="str">
            <v>858-2450</v>
          </cell>
        </row>
        <row r="457">
          <cell r="E457" t="str">
            <v>이리백제초등학교</v>
          </cell>
          <cell r="F457" t="str">
            <v>익산시 궁동로 29</v>
          </cell>
          <cell r="G457" t="str">
            <v>831-3477</v>
          </cell>
        </row>
        <row r="458">
          <cell r="E458" t="str">
            <v>이리부송초등학교</v>
          </cell>
          <cell r="F458" t="str">
            <v>익산시 부송로2길 27</v>
          </cell>
          <cell r="G458" t="str">
            <v>830-8602~3</v>
          </cell>
        </row>
        <row r="459">
          <cell r="E459" t="str">
            <v>이리부천초등학교</v>
          </cell>
          <cell r="F459" t="str">
            <v>익산시 부송1로 32</v>
          </cell>
          <cell r="G459" t="str">
            <v>831-8401</v>
          </cell>
        </row>
        <row r="460">
          <cell r="E460" t="str">
            <v>이리북일초등학교</v>
          </cell>
          <cell r="F460" t="str">
            <v>익산시 동서로19길 100</v>
          </cell>
          <cell r="G460" t="str">
            <v>857-9727</v>
          </cell>
        </row>
        <row r="461">
          <cell r="E461" t="str">
            <v>이리북중학교</v>
          </cell>
          <cell r="F461" t="str">
            <v>익산시 익산대로 415-14</v>
          </cell>
          <cell r="G461" t="str">
            <v>837-0226</v>
          </cell>
        </row>
        <row r="462">
          <cell r="E462" t="str">
            <v>이리북초등학교</v>
          </cell>
          <cell r="F462" t="str">
            <v>익산시 인북로58길 11</v>
          </cell>
          <cell r="G462" t="str">
            <v>857-9163</v>
          </cell>
        </row>
        <row r="463">
          <cell r="E463" t="str">
            <v>이리삼성초등학교</v>
          </cell>
          <cell r="F463" t="str">
            <v>익산시 하나로15길 17-7</v>
          </cell>
          <cell r="G463" t="str">
            <v>834-1048</v>
          </cell>
        </row>
        <row r="464">
          <cell r="E464" t="str">
            <v>이리서초등학교</v>
          </cell>
          <cell r="F464" t="str">
            <v>익산시 익산대로 213</v>
          </cell>
          <cell r="G464" t="str">
            <v>852-1880</v>
          </cell>
        </row>
        <row r="465">
          <cell r="E465" t="str">
            <v>이리석암초등학교</v>
          </cell>
          <cell r="F465" t="str">
            <v>익산시 서동로46길 119</v>
          </cell>
          <cell r="G465" t="str">
            <v>834-1297</v>
          </cell>
        </row>
        <row r="466">
          <cell r="E466" t="str">
            <v>이리송학초등학교</v>
          </cell>
          <cell r="F466" t="str">
            <v>익산시 학곤로 57</v>
          </cell>
          <cell r="G466" t="str">
            <v>855-3606</v>
          </cell>
        </row>
        <row r="467">
          <cell r="E467" t="str">
            <v>이리신동초등학교</v>
          </cell>
          <cell r="F467" t="str">
            <v>익산시 무왕로 981</v>
          </cell>
          <cell r="G467" t="str">
            <v>858-5063</v>
          </cell>
        </row>
        <row r="468">
          <cell r="E468" t="str">
            <v>이리신흥초등학교</v>
          </cell>
          <cell r="F468" t="str">
            <v>익산시 하나로3길 10</v>
          </cell>
          <cell r="G468" t="str">
            <v>851-4725</v>
          </cell>
        </row>
        <row r="469">
          <cell r="E469" t="str">
            <v>이리여자고등학교</v>
          </cell>
          <cell r="F469" t="str">
            <v>익산시 익산대로24길 8-5</v>
          </cell>
          <cell r="G469" t="str">
            <v>850-1550</v>
          </cell>
        </row>
        <row r="470">
          <cell r="E470" t="str">
            <v>이리영등중학교</v>
          </cell>
          <cell r="F470" t="str">
            <v>익산시 하나로 490</v>
          </cell>
          <cell r="G470" t="str">
            <v>831-0457</v>
          </cell>
        </row>
        <row r="471">
          <cell r="E471" t="str">
            <v>이리영등초등학교</v>
          </cell>
          <cell r="F471" t="str">
            <v>익산시 동서로41길 37</v>
          </cell>
          <cell r="G471" t="str">
            <v>720-2500</v>
          </cell>
        </row>
        <row r="472">
          <cell r="E472" t="str">
            <v>이리유치원</v>
          </cell>
          <cell r="F472" t="str">
            <v>익산시 중앙로 15길 10-3</v>
          </cell>
          <cell r="G472" t="str">
            <v>842-2835</v>
          </cell>
        </row>
        <row r="473">
          <cell r="E473" t="str">
            <v>이리중앙초등학교</v>
          </cell>
          <cell r="F473" t="str">
            <v>익산시 인북로 77</v>
          </cell>
          <cell r="G473" t="str">
            <v>855-2135</v>
          </cell>
        </row>
        <row r="474">
          <cell r="E474" t="str">
            <v>이리중학교</v>
          </cell>
          <cell r="F474" t="str">
            <v>익산시 학곤로 19</v>
          </cell>
          <cell r="G474" t="str">
            <v>841-5915</v>
          </cell>
        </row>
        <row r="475">
          <cell r="E475" t="str">
            <v>이리초등학교</v>
          </cell>
          <cell r="F475" t="str">
            <v>익산시 중앙로15길 20</v>
          </cell>
          <cell r="G475" t="str">
            <v>855-1500</v>
          </cell>
        </row>
        <row r="476">
          <cell r="E476" t="str">
            <v>이리팔봉초등학교</v>
          </cell>
          <cell r="F476" t="str">
            <v>익산시 무왕로31길 10</v>
          </cell>
          <cell r="G476" t="str">
            <v>835-2944</v>
          </cell>
        </row>
        <row r="477">
          <cell r="E477" t="str">
            <v>이일여자고등학교</v>
          </cell>
          <cell r="F477" t="str">
            <v>익산시 평동로7길 30</v>
          </cell>
          <cell r="G477" t="str">
            <v>720-5140</v>
          </cell>
        </row>
        <row r="478">
          <cell r="E478" t="str">
            <v>이일여자중학교</v>
          </cell>
          <cell r="F478" t="str">
            <v>익산시 평동로7길 30</v>
          </cell>
          <cell r="G478" t="str">
            <v>720-5240</v>
          </cell>
        </row>
        <row r="479">
          <cell r="E479" t="str">
            <v>익산가온초등학교</v>
          </cell>
          <cell r="F479" t="str">
            <v>익산시 선화로1길 106</v>
          </cell>
          <cell r="G479" t="str">
            <v>840-8205</v>
          </cell>
        </row>
        <row r="480">
          <cell r="E480" t="str">
            <v>익산고등학교</v>
          </cell>
          <cell r="F480" t="str">
            <v>익산시 금마면 고도길 85</v>
          </cell>
          <cell r="G480" t="str">
            <v>836-6012</v>
          </cell>
        </row>
        <row r="481">
          <cell r="E481" t="str">
            <v>익산궁동초등학교</v>
          </cell>
          <cell r="F481" t="str">
            <v>익산시 무왕로25길 26</v>
          </cell>
          <cell r="G481" t="str">
            <v>836-4291</v>
          </cell>
        </row>
        <row r="482">
          <cell r="E482" t="str">
            <v>익산맑은샘유치원</v>
          </cell>
          <cell r="F482" t="str">
            <v>익산시 오산면 항쟁로 129</v>
          </cell>
          <cell r="G482" t="str">
            <v>858-6635</v>
          </cell>
        </row>
        <row r="483">
          <cell r="E483" t="str">
            <v>익산부송유치원</v>
          </cell>
          <cell r="F483" t="str">
            <v>익산시 부송로 2길 27</v>
          </cell>
          <cell r="G483" t="str">
            <v>835-6780</v>
          </cell>
        </row>
        <row r="484">
          <cell r="E484" t="str">
            <v>익산부송중학교</v>
          </cell>
          <cell r="F484" t="str">
            <v>익산시 선화로69길 6</v>
          </cell>
          <cell r="G484" t="str">
            <v>839-3500</v>
          </cell>
        </row>
        <row r="485">
          <cell r="E485" t="str">
            <v>익산부천중학교</v>
          </cell>
          <cell r="F485" t="str">
            <v>익산시 동서로 524</v>
          </cell>
          <cell r="G485" t="str">
            <v>839-9151</v>
          </cell>
        </row>
        <row r="486">
          <cell r="E486" t="str">
            <v>익산솜리유치원</v>
          </cell>
          <cell r="F486" t="str">
            <v>익산시 동서로 61길 27-16</v>
          </cell>
          <cell r="G486" t="str">
            <v>723-2580</v>
          </cell>
        </row>
        <row r="487">
          <cell r="E487" t="str">
            <v>익산어양중학교</v>
          </cell>
          <cell r="F487" t="str">
            <v>익산시 하나로12길 39</v>
          </cell>
          <cell r="G487" t="str">
            <v>834-4636</v>
          </cell>
        </row>
        <row r="488">
          <cell r="E488" t="str">
            <v>익산어양초등학교</v>
          </cell>
          <cell r="F488" t="str">
            <v>익산시 하나로10길 23</v>
          </cell>
          <cell r="G488" t="str">
            <v>835-8103</v>
          </cell>
        </row>
        <row r="489">
          <cell r="E489" t="str">
            <v>익산옥야초등학교</v>
          </cell>
          <cell r="F489" t="str">
            <v>익산시 옛둑2길 52</v>
          </cell>
          <cell r="G489" t="str">
            <v>837-7012</v>
          </cell>
        </row>
        <row r="490">
          <cell r="E490" t="str">
            <v>익산중학교</v>
          </cell>
          <cell r="F490" t="str">
            <v>익산시 금마면 고도길 85</v>
          </cell>
          <cell r="G490" t="str">
            <v>836-6011</v>
          </cell>
        </row>
        <row r="491">
          <cell r="E491" t="str">
            <v>익산지원중학교</v>
          </cell>
          <cell r="F491" t="str">
            <v>익산시 고봉로 67</v>
          </cell>
          <cell r="G491" t="str">
            <v>841-6364</v>
          </cell>
        </row>
        <row r="492">
          <cell r="E492" t="str">
            <v>익산초등학교</v>
          </cell>
          <cell r="F492" t="str">
            <v>익산시 동서로61길 27-38</v>
          </cell>
          <cell r="G492" t="str">
            <v>831-4383</v>
          </cell>
        </row>
        <row r="493">
          <cell r="E493" t="str">
            <v>익산한벌초등학교</v>
          </cell>
          <cell r="F493" t="str">
            <v>익산시 부송1로 115</v>
          </cell>
          <cell r="G493" t="str">
            <v>839-1500</v>
          </cell>
        </row>
        <row r="494">
          <cell r="E494" t="str">
            <v>전북과학고등학교</v>
          </cell>
          <cell r="F494" t="str">
            <v>익산시 금마면 용순신기길 48-69</v>
          </cell>
          <cell r="G494" t="str">
            <v>830-2301</v>
          </cell>
        </row>
        <row r="495">
          <cell r="E495" t="str">
            <v>전북기계공업고등학교</v>
          </cell>
          <cell r="F495" t="str">
            <v>익산시 인북로32길 41</v>
          </cell>
          <cell r="G495" t="str">
            <v>720-5347</v>
          </cell>
        </row>
        <row r="496">
          <cell r="E496" t="str">
            <v>전북맹아학교</v>
          </cell>
          <cell r="F496" t="str">
            <v>익산시 서동로46길 41</v>
          </cell>
          <cell r="G496" t="str">
            <v>833-2621</v>
          </cell>
        </row>
        <row r="497">
          <cell r="E497" t="str">
            <v>전북제일고등학교</v>
          </cell>
          <cell r="F497" t="str">
            <v>익산시 학곤로 19</v>
          </cell>
          <cell r="G497" t="str">
            <v>840-9720</v>
          </cell>
        </row>
        <row r="498">
          <cell r="E498" t="str">
            <v>전북혜화학교</v>
          </cell>
          <cell r="F498" t="str">
            <v>익산시 덕기길 77</v>
          </cell>
          <cell r="G498" t="str">
            <v>839-5312</v>
          </cell>
        </row>
        <row r="499">
          <cell r="E499" t="str">
            <v>진경여자고등학교</v>
          </cell>
          <cell r="F499" t="str">
            <v>익산시 황등서로 40-92</v>
          </cell>
          <cell r="G499" t="str">
            <v>856-6032</v>
          </cell>
        </row>
        <row r="500">
          <cell r="E500" t="str">
            <v>진경여자중학교</v>
          </cell>
          <cell r="F500" t="str">
            <v>익산시 황등면 황등서로 104</v>
          </cell>
          <cell r="G500" t="str">
            <v>856-4476</v>
          </cell>
        </row>
        <row r="501">
          <cell r="E501" t="str">
            <v>천서초등학교</v>
          </cell>
          <cell r="F501" t="str">
            <v>익산시 춘포면 천서길 221</v>
          </cell>
          <cell r="G501" t="str">
            <v>834-0544</v>
          </cell>
        </row>
        <row r="502">
          <cell r="E502" t="str">
            <v>춘포초등학교</v>
          </cell>
          <cell r="F502" t="str">
            <v>익산시 춘포면 춘포로 408</v>
          </cell>
          <cell r="G502" t="str">
            <v>842-8211</v>
          </cell>
        </row>
        <row r="503">
          <cell r="E503" t="str">
            <v>함라중학교</v>
          </cell>
          <cell r="F503" t="str">
            <v>익산시 함라면 함낭로 61-18</v>
          </cell>
          <cell r="G503" t="str">
            <v>856-8975</v>
          </cell>
        </row>
        <row r="504">
          <cell r="E504" t="str">
            <v>함라초등학교</v>
          </cell>
          <cell r="F504" t="str">
            <v>익산시 함라면 함라1길 66</v>
          </cell>
          <cell r="G504" t="str">
            <v>856-9851</v>
          </cell>
        </row>
        <row r="505">
          <cell r="E505" t="str">
            <v>함열고등학교</v>
          </cell>
          <cell r="F505" t="str">
            <v>익산시 함열읍 와리3길 19-3</v>
          </cell>
          <cell r="G505" t="str">
            <v>861-0887</v>
          </cell>
        </row>
        <row r="506">
          <cell r="E506" t="str">
            <v>함열여자고등학교</v>
          </cell>
          <cell r="F506" t="str">
            <v>익산시 익산대로 1852</v>
          </cell>
          <cell r="G506" t="str">
            <v>861-1078</v>
          </cell>
        </row>
        <row r="507">
          <cell r="E507" t="str">
            <v>함열여자중학교</v>
          </cell>
          <cell r="F507" t="str">
            <v>익산시 함열읍 정자길 31</v>
          </cell>
          <cell r="G507" t="str">
            <v>861-0612</v>
          </cell>
        </row>
        <row r="508">
          <cell r="E508" t="str">
            <v>함열중학교</v>
          </cell>
          <cell r="F508" t="str">
            <v>익산시 함열읍 함열3길 37</v>
          </cell>
          <cell r="G508" t="str">
            <v>861-0889</v>
          </cell>
        </row>
        <row r="509">
          <cell r="E509" t="str">
            <v>함열초등학교</v>
          </cell>
          <cell r="F509" t="str">
            <v>익산시 함열읍 함열8길 2</v>
          </cell>
          <cell r="G509" t="str">
            <v>861-0225</v>
          </cell>
        </row>
        <row r="510">
          <cell r="E510" t="str">
            <v>황등남초등학교</v>
          </cell>
          <cell r="F510" t="str">
            <v>익산시 황등면 황등서로 44</v>
          </cell>
          <cell r="G510" t="str">
            <v>856-6333</v>
          </cell>
        </row>
        <row r="511">
          <cell r="E511" t="str">
            <v>황등중학교</v>
          </cell>
          <cell r="F511" t="str">
            <v>익산시 황등면 황금로 18</v>
          </cell>
          <cell r="G511" t="str">
            <v>720-3620</v>
          </cell>
        </row>
        <row r="512">
          <cell r="E512" t="str">
            <v>황등초등학교</v>
          </cell>
          <cell r="F512" t="str">
            <v>익산시 황등면 황금로 17-6</v>
          </cell>
          <cell r="G512" t="str">
            <v>856-6278</v>
          </cell>
        </row>
        <row r="513">
          <cell r="E513" t="str">
            <v>흥왕초등학교</v>
          </cell>
          <cell r="F513" t="str">
            <v>익산시 용동면 흥왕1길 17</v>
          </cell>
          <cell r="G513" t="str">
            <v>862-4281</v>
          </cell>
        </row>
        <row r="514">
          <cell r="E514" t="str">
            <v>감곡중학교</v>
          </cell>
          <cell r="F514" t="str">
            <v>정읍시 감곡면 감곡동서로 330-2</v>
          </cell>
          <cell r="G514" t="str">
            <v>571-1306</v>
          </cell>
        </row>
        <row r="515">
          <cell r="E515" t="str">
            <v>감곡초등학교</v>
          </cell>
          <cell r="F515" t="str">
            <v>정읍시 감곡면 감곡동서로 355</v>
          </cell>
          <cell r="G515" t="str">
            <v>571-1046</v>
          </cell>
        </row>
        <row r="516">
          <cell r="E516" t="str">
            <v>고부중학교</v>
          </cell>
          <cell r="F516" t="str">
            <v>정읍시 고부면 관청길 114</v>
          </cell>
          <cell r="G516" t="str">
            <v>536-0058</v>
          </cell>
        </row>
        <row r="517">
          <cell r="E517" t="str">
            <v>고부초등학교</v>
          </cell>
          <cell r="F517" t="str">
            <v>정읍시 고부면 교동 3길 14</v>
          </cell>
          <cell r="G517" t="str">
            <v>536-3020</v>
          </cell>
        </row>
        <row r="518">
          <cell r="E518" t="str">
            <v>교암초등학교</v>
          </cell>
          <cell r="F518" t="str">
            <v>정읍시 정읍사로 179</v>
          </cell>
          <cell r="G518" t="str">
            <v>535-2983</v>
          </cell>
        </row>
        <row r="519">
          <cell r="E519" t="str">
            <v>글로벌학산고등학교</v>
          </cell>
          <cell r="F519" t="str">
            <v>정읍시 학산로 89</v>
          </cell>
          <cell r="G519" t="str">
            <v>570-1500</v>
          </cell>
        </row>
        <row r="520">
          <cell r="E520" t="str">
            <v>내장초등학교</v>
          </cell>
          <cell r="F520" t="str">
            <v>정읍시 대석1길 13-4</v>
          </cell>
          <cell r="G520" t="str">
            <v>536-5761</v>
          </cell>
        </row>
        <row r="521">
          <cell r="E521" t="str">
            <v>능교초등학교</v>
          </cell>
          <cell r="F521" t="str">
            <v>정읍시 산내면 능교3길 13-5</v>
          </cell>
          <cell r="G521" t="str">
            <v>538-4014</v>
          </cell>
        </row>
        <row r="522">
          <cell r="E522" t="str">
            <v>다솜학교</v>
          </cell>
          <cell r="F522" t="str">
            <v>정읍시 백운길 93</v>
          </cell>
          <cell r="G522" t="str">
            <v>530-4551</v>
          </cell>
        </row>
        <row r="523">
          <cell r="E523" t="str">
            <v>대흥초등학교</v>
          </cell>
          <cell r="F523" t="str">
            <v>정읍시 입암면 정읍남로 766</v>
          </cell>
          <cell r="G523" t="str">
            <v>534-2005</v>
          </cell>
        </row>
        <row r="524">
          <cell r="E524" t="str">
            <v>덕천초등학교</v>
          </cell>
          <cell r="F524" t="str">
            <v>정읍시 덕천면 황토현로 831</v>
          </cell>
          <cell r="G524" t="str">
            <v>536-5025</v>
          </cell>
        </row>
        <row r="525">
          <cell r="E525" t="str">
            <v>동신초등학교</v>
          </cell>
          <cell r="F525" t="str">
            <v>정읍시 상동중앙로 15</v>
          </cell>
          <cell r="G525" t="str">
            <v>535-3264</v>
          </cell>
        </row>
        <row r="526">
          <cell r="E526" t="str">
            <v>배영고등학교</v>
          </cell>
          <cell r="F526" t="str">
            <v>정읍시 동학로 243</v>
          </cell>
          <cell r="G526" t="str">
            <v>533-4123</v>
          </cell>
        </row>
        <row r="527">
          <cell r="E527" t="str">
            <v>배영중학교</v>
          </cell>
          <cell r="F527" t="str">
            <v>정읍시 동학로 243</v>
          </cell>
          <cell r="G527" t="str">
            <v>533-4124</v>
          </cell>
        </row>
        <row r="528">
          <cell r="E528" t="str">
            <v>백암초등학교</v>
          </cell>
          <cell r="F528" t="str">
            <v>정읍시 칠보면 암축길 17</v>
          </cell>
          <cell r="G528" t="str">
            <v>534-3274</v>
          </cell>
        </row>
        <row r="529">
          <cell r="E529" t="str">
            <v>보성초등학교</v>
          </cell>
          <cell r="F529" t="str">
            <v>정읍시 북면 연지길 38-27</v>
          </cell>
          <cell r="G529" t="str">
            <v>535-4567</v>
          </cell>
        </row>
        <row r="530">
          <cell r="E530" t="str">
            <v>북면초등학교</v>
          </cell>
          <cell r="F530" t="str">
            <v>정읍시 북면 화평길 31</v>
          </cell>
          <cell r="G530" t="str">
            <v>535-0011</v>
          </cell>
        </row>
        <row r="531">
          <cell r="E531" t="str">
            <v>산외중학교</v>
          </cell>
          <cell r="F531" t="str">
            <v>정읍시 산외면 평사3길 25</v>
          </cell>
          <cell r="G531" t="str">
            <v>537-5012</v>
          </cell>
        </row>
        <row r="532">
          <cell r="E532" t="str">
            <v>산외초등학교</v>
          </cell>
          <cell r="F532" t="str">
            <v>정읍시 산외면 운전2길 7</v>
          </cell>
          <cell r="G532" t="str">
            <v>537-3213</v>
          </cell>
        </row>
        <row r="533">
          <cell r="E533" t="str">
            <v>샘고을중학교</v>
          </cell>
          <cell r="F533" t="str">
            <v>정읍시 초산로 110</v>
          </cell>
          <cell r="G533" t="str">
            <v>535-2509</v>
          </cell>
        </row>
        <row r="534">
          <cell r="E534" t="str">
            <v>서신초등학교</v>
          </cell>
          <cell r="F534" t="str">
            <v>정읍시 소성상평로 401-5</v>
          </cell>
          <cell r="G534" t="str">
            <v>535-3509</v>
          </cell>
        </row>
        <row r="535">
          <cell r="E535" t="str">
            <v>서영여자고등학교</v>
          </cell>
          <cell r="F535" t="str">
            <v>정읍시 명덕1길 66-10</v>
          </cell>
          <cell r="G535" t="str">
            <v>530-2330</v>
          </cell>
        </row>
        <row r="536">
          <cell r="E536" t="str">
            <v>소성중학교</v>
          </cell>
          <cell r="F536" t="str">
            <v>정읍시 소성면 소성상평로 34</v>
          </cell>
          <cell r="G536" t="str">
            <v>537-6084</v>
          </cell>
        </row>
        <row r="537">
          <cell r="E537" t="str">
            <v>소성초등학교</v>
          </cell>
          <cell r="F537" t="str">
            <v>정읍시 소성면 보화1길 130</v>
          </cell>
          <cell r="G537" t="str">
            <v>537-2291</v>
          </cell>
        </row>
        <row r="538">
          <cell r="E538" t="str">
            <v>수곡초등학교</v>
          </cell>
          <cell r="F538" t="str">
            <v>정읍시 칠보면 여옥길 11</v>
          </cell>
          <cell r="G538" t="str">
            <v>534-3273</v>
          </cell>
        </row>
        <row r="539">
          <cell r="E539" t="str">
            <v>신태인고등학교</v>
          </cell>
          <cell r="F539" t="str">
            <v>정읍시 신태인읍 서태길 108</v>
          </cell>
          <cell r="G539" t="str">
            <v>571-2124</v>
          </cell>
        </row>
        <row r="540">
          <cell r="E540" t="str">
            <v>신태인중학교</v>
          </cell>
          <cell r="F540" t="str">
            <v>정읍시 신태인읍 서태길 108</v>
          </cell>
          <cell r="G540" t="str">
            <v>571-2125</v>
          </cell>
        </row>
        <row r="541">
          <cell r="E541" t="str">
            <v>신태인초등학교</v>
          </cell>
          <cell r="F541" t="str">
            <v>정읍시 신태인읍 신태인1길 54-3</v>
          </cell>
          <cell r="G541" t="str">
            <v>571-2141</v>
          </cell>
        </row>
        <row r="542">
          <cell r="E542" t="str">
            <v>영산초등학교</v>
          </cell>
          <cell r="F542" t="str">
            <v>정읍시 하북1길 217</v>
          </cell>
          <cell r="G542" t="str">
            <v>531-0451</v>
          </cell>
        </row>
        <row r="543">
          <cell r="E543" t="str">
            <v>영원초등학교</v>
          </cell>
          <cell r="F543" t="str">
            <v>정읍시 영원면 영원로 1087</v>
          </cell>
          <cell r="G543" t="str">
            <v>535-7011</v>
          </cell>
        </row>
        <row r="544">
          <cell r="E544" t="str">
            <v>옹동초등학교</v>
          </cell>
          <cell r="F544" t="str">
            <v>정읍시 옹동면 칠석1길 29-7</v>
          </cell>
          <cell r="G544" t="str">
            <v>537-8010</v>
          </cell>
        </row>
        <row r="545">
          <cell r="E545" t="str">
            <v>왕신여자고등학교</v>
          </cell>
          <cell r="F545" t="str">
            <v>정읍시 신태인읍 정신로 1094</v>
          </cell>
          <cell r="G545" t="str">
            <v>571-2181</v>
          </cell>
        </row>
        <row r="546">
          <cell r="E546" t="str">
            <v>왕신여자중학교</v>
          </cell>
          <cell r="F546" t="str">
            <v>정읍시 신태인읍 정신로 1094</v>
          </cell>
          <cell r="G546" t="str">
            <v>571-2182</v>
          </cell>
        </row>
        <row r="547">
          <cell r="E547" t="str">
            <v>이평중학교</v>
          </cell>
          <cell r="F547" t="str">
            <v>정읍시 이평면 후송길 21</v>
          </cell>
          <cell r="G547" t="str">
            <v>534-1239</v>
          </cell>
        </row>
        <row r="548">
          <cell r="E548" t="str">
            <v>이평초등학교</v>
          </cell>
          <cell r="F548" t="str">
            <v>정읍시 이평면 말목장터길 5-29</v>
          </cell>
          <cell r="G548" t="str">
            <v>534-1010</v>
          </cell>
        </row>
        <row r="549">
          <cell r="E549" t="str">
            <v>인상고등학교</v>
          </cell>
          <cell r="F549" t="str">
            <v>정읍시 신태인읍 벽골제로 34</v>
          </cell>
          <cell r="G549" t="str">
            <v>571-6016</v>
          </cell>
        </row>
        <row r="550">
          <cell r="E550" t="str">
            <v>입암중학교</v>
          </cell>
          <cell r="F550" t="str">
            <v>정읍시 입암면 입고로 32-13</v>
          </cell>
          <cell r="G550" t="str">
            <v>534-2901</v>
          </cell>
        </row>
        <row r="551">
          <cell r="E551" t="str">
            <v>입암초등학교</v>
          </cell>
          <cell r="F551" t="str">
            <v>정읍시 입암면 입암중앙길 29</v>
          </cell>
          <cell r="G551" t="str">
            <v>534-2049</v>
          </cell>
        </row>
        <row r="552">
          <cell r="E552" t="str">
            <v>전북동화중학교</v>
          </cell>
          <cell r="F552" t="str">
            <v>정읍시 태인면 정읍북로 1238</v>
          </cell>
          <cell r="G552" t="str">
            <v>530-2601</v>
          </cell>
        </row>
        <row r="553">
          <cell r="E553" t="str">
            <v>정남초등학교</v>
          </cell>
          <cell r="F553" t="str">
            <v>정읍시 정우면 대산1길 90</v>
          </cell>
          <cell r="G553" t="str">
            <v>537-9145</v>
          </cell>
        </row>
        <row r="554">
          <cell r="E554" t="str">
            <v>정산중학교</v>
          </cell>
          <cell r="F554" t="str">
            <v>정읍시 산내면 능교신기길 12-20</v>
          </cell>
          <cell r="G554" t="str">
            <v>538-4071</v>
          </cell>
        </row>
        <row r="555">
          <cell r="E555" t="str">
            <v>정우중학교</v>
          </cell>
          <cell r="F555" t="str">
            <v>정읍시 정우면 양지1길 100-28</v>
          </cell>
          <cell r="G555" t="str">
            <v>537-4682</v>
          </cell>
        </row>
        <row r="556">
          <cell r="E556" t="str">
            <v>정우초등학교</v>
          </cell>
          <cell r="F556" t="str">
            <v>정읍시 정우면 금남길 28-24</v>
          </cell>
          <cell r="G556" t="str">
            <v>537-9031</v>
          </cell>
        </row>
        <row r="557">
          <cell r="E557" t="str">
            <v>정읍고등학교</v>
          </cell>
          <cell r="F557" t="str">
            <v>정읍시 정읍사로 594</v>
          </cell>
          <cell r="G557" t="str">
            <v>700-0260</v>
          </cell>
        </row>
        <row r="558">
          <cell r="E558" t="str">
            <v>정읍남초등학교</v>
          </cell>
          <cell r="F558" t="str">
            <v>정읍시 남산5길 25</v>
          </cell>
          <cell r="G558" t="str">
            <v>535-6660</v>
          </cell>
        </row>
        <row r="559">
          <cell r="E559" t="str">
            <v>정읍동초등학교</v>
          </cell>
          <cell r="F559" t="str">
            <v>정읍시 충정로 176</v>
          </cell>
          <cell r="G559" t="str">
            <v>535-2009</v>
          </cell>
        </row>
        <row r="560">
          <cell r="E560" t="str">
            <v>정읍북초등학교</v>
          </cell>
          <cell r="F560" t="str">
            <v>정읍시 명덕1길 41</v>
          </cell>
          <cell r="G560" t="str">
            <v>532-8127</v>
          </cell>
        </row>
        <row r="561">
          <cell r="E561" t="str">
            <v>정읍서초등학교</v>
          </cell>
          <cell r="F561" t="str">
            <v>정읍시 명륜길 32</v>
          </cell>
          <cell r="G561" t="str">
            <v>535-3708</v>
          </cell>
        </row>
        <row r="562">
          <cell r="E562" t="str">
            <v>정읍수성초등학교</v>
          </cell>
          <cell r="F562" t="str">
            <v>정읍시 수성3로 21</v>
          </cell>
          <cell r="G562" t="str">
            <v>532-3784</v>
          </cell>
        </row>
        <row r="563">
          <cell r="E563" t="str">
            <v>정읍여자고등학교</v>
          </cell>
          <cell r="F563" t="str">
            <v>정읍시 충정로 56-11</v>
          </cell>
          <cell r="G563" t="str">
            <v>535-4546</v>
          </cell>
        </row>
        <row r="564">
          <cell r="E564" t="str">
            <v>정읍연지유치원</v>
          </cell>
          <cell r="F564" t="str">
            <v>정읍시 연지동 49-18</v>
          </cell>
          <cell r="G564" t="str">
            <v>537-0585</v>
          </cell>
        </row>
        <row r="565">
          <cell r="E565" t="str">
            <v>정읍제일고등학교</v>
          </cell>
          <cell r="F565" t="str">
            <v>정읍시 충정로 252</v>
          </cell>
          <cell r="G565" t="str">
            <v>530-1702</v>
          </cell>
        </row>
        <row r="566">
          <cell r="E566" t="str">
            <v>정읍중학교</v>
          </cell>
          <cell r="F566" t="str">
            <v>정읍시 정읍사로 569</v>
          </cell>
          <cell r="G566" t="str">
            <v>535-4374</v>
          </cell>
        </row>
        <row r="567">
          <cell r="E567" t="str">
            <v>정읍초등학교</v>
          </cell>
          <cell r="F567" t="str">
            <v>정읍시 마곡로 33</v>
          </cell>
          <cell r="G567" t="str">
            <v>538-0163</v>
          </cell>
        </row>
        <row r="568">
          <cell r="E568" t="str">
            <v>정일중학교</v>
          </cell>
          <cell r="F568" t="str">
            <v>정읍시 충정로 511</v>
          </cell>
          <cell r="G568" t="str">
            <v>530-3570</v>
          </cell>
        </row>
        <row r="569">
          <cell r="E569" t="str">
            <v>정일초등학교</v>
          </cell>
          <cell r="F569" t="str">
            <v>정읍시 정문들목길 26-19</v>
          </cell>
          <cell r="G569" t="str">
            <v>535-3517</v>
          </cell>
        </row>
        <row r="570">
          <cell r="E570" t="str">
            <v>정주고등학교</v>
          </cell>
          <cell r="F570" t="str">
            <v>정읍시 내장산로 177-42</v>
          </cell>
          <cell r="G570" t="str">
            <v>530-5344</v>
          </cell>
        </row>
        <row r="571">
          <cell r="E571" t="str">
            <v>칠보고등학교</v>
          </cell>
          <cell r="F571" t="str">
            <v>정읍시 칠보면 건흥길 26-5</v>
          </cell>
          <cell r="G571" t="str">
            <v>531-1581</v>
          </cell>
        </row>
        <row r="572">
          <cell r="E572" t="str">
            <v>칠보중학교</v>
          </cell>
          <cell r="F572" t="str">
            <v>정읍시 칠보면 검단1길 53</v>
          </cell>
          <cell r="G572" t="str">
            <v>534-3106</v>
          </cell>
        </row>
        <row r="573">
          <cell r="E573" t="str">
            <v>칠보초등학교</v>
          </cell>
          <cell r="F573" t="str">
            <v>정읍시 칠보면 칠보중앙로 130</v>
          </cell>
          <cell r="G573" t="str">
            <v>534-3005</v>
          </cell>
        </row>
        <row r="574">
          <cell r="E574" t="str">
            <v>태인고등학교</v>
          </cell>
          <cell r="F574" t="str">
            <v>정읍시 태인면 석지로 1469</v>
          </cell>
          <cell r="G574" t="str">
            <v>534-4994</v>
          </cell>
        </row>
        <row r="575">
          <cell r="E575" t="str">
            <v>태인중학교</v>
          </cell>
          <cell r="F575" t="str">
            <v>정읍시 태인면 석지로 1469</v>
          </cell>
          <cell r="G575" t="str">
            <v>534-4991</v>
          </cell>
        </row>
        <row r="576">
          <cell r="E576" t="str">
            <v>태인초등학교</v>
          </cell>
          <cell r="F576" t="str">
            <v>정읍시 태인면 동헌길 16</v>
          </cell>
          <cell r="G576" t="str">
            <v>534-4006</v>
          </cell>
        </row>
        <row r="577">
          <cell r="E577" t="str">
            <v>학산중학교</v>
          </cell>
          <cell r="F577" t="str">
            <v>정읍시 학산로 89</v>
          </cell>
          <cell r="G577" t="str">
            <v>570-1600</v>
          </cell>
        </row>
        <row r="578">
          <cell r="E578" t="str">
            <v>한솔초등학교</v>
          </cell>
          <cell r="F578" t="str">
            <v>정읍시 학산로 69</v>
          </cell>
          <cell r="G578" t="str">
            <v>530-8978</v>
          </cell>
        </row>
        <row r="579">
          <cell r="E579" t="str">
            <v>호남고등학교</v>
          </cell>
          <cell r="F579" t="str">
            <v>정읍시 정읍남로 1364-13</v>
          </cell>
          <cell r="G579" t="str">
            <v>570-7815</v>
          </cell>
        </row>
        <row r="580">
          <cell r="E580" t="str">
            <v>호남중학교</v>
          </cell>
          <cell r="F580" t="str">
            <v>정읍시 정읍남로 1364-13</v>
          </cell>
          <cell r="G580" t="str">
            <v>900-7707</v>
          </cell>
        </row>
        <row r="581">
          <cell r="E581" t="str">
            <v>금지중학교</v>
          </cell>
          <cell r="F581" t="str">
            <v>남원시 금지면 요천로 443-9</v>
          </cell>
          <cell r="G581" t="str">
            <v>635-1089</v>
          </cell>
        </row>
        <row r="582">
          <cell r="E582" t="str">
            <v>금지초등학교</v>
          </cell>
          <cell r="F582" t="str">
            <v>남원시 금지면 택내길 36-37</v>
          </cell>
          <cell r="G582" t="str">
            <v>631-7036</v>
          </cell>
        </row>
        <row r="583">
          <cell r="E583" t="str">
            <v>남원고등학교</v>
          </cell>
          <cell r="F583" t="str">
            <v>남원시 만인로 43</v>
          </cell>
          <cell r="G583" t="str">
            <v>630-7979</v>
          </cell>
        </row>
        <row r="584">
          <cell r="E584" t="str">
            <v>남원교룡초등학교</v>
          </cell>
          <cell r="F584" t="str">
            <v>남원시 광천남길 654</v>
          </cell>
          <cell r="G584" t="str">
            <v>626-2141</v>
          </cell>
        </row>
        <row r="585">
          <cell r="E585" t="str">
            <v>남원국악예술고등학교</v>
          </cell>
          <cell r="F585" t="str">
            <v>남원시 용성로 323</v>
          </cell>
          <cell r="G585" t="str">
            <v>632-7702</v>
          </cell>
        </row>
        <row r="586">
          <cell r="E586" t="str">
            <v>남원노암초등학교</v>
          </cell>
          <cell r="F586" t="str">
            <v>남원시 여수길 14</v>
          </cell>
          <cell r="G586" t="str">
            <v>633-3720</v>
          </cell>
        </row>
        <row r="587">
          <cell r="E587" t="str">
            <v>남원대산초등학교</v>
          </cell>
          <cell r="F587" t="str">
            <v>남원시 대산면 운교1길 10</v>
          </cell>
          <cell r="G587" t="str">
            <v>625-0233</v>
          </cell>
        </row>
        <row r="588">
          <cell r="E588" t="str">
            <v>남원도통초등학교</v>
          </cell>
          <cell r="F588" t="str">
            <v>남원시 대교2길 22</v>
          </cell>
          <cell r="G588" t="str">
            <v>630-7070</v>
          </cell>
        </row>
        <row r="589">
          <cell r="E589" t="str">
            <v>남원서원초등학교</v>
          </cell>
          <cell r="F589" t="str">
            <v>남원시 대산면 남문로 109</v>
          </cell>
          <cell r="G589" t="str">
            <v>625-3153</v>
          </cell>
        </row>
        <row r="590">
          <cell r="E590" t="str">
            <v>남원서진고등학교</v>
          </cell>
          <cell r="F590" t="str">
            <v>남원시 낙현길 17-14</v>
          </cell>
          <cell r="G590" t="str">
            <v>631-1333</v>
          </cell>
        </row>
        <row r="591">
          <cell r="E591" t="str">
            <v>남원여자고등학교</v>
          </cell>
          <cell r="F591" t="str">
            <v>남원시 광천북길 229-11</v>
          </cell>
          <cell r="G591" t="str">
            <v>633-9993</v>
          </cell>
        </row>
        <row r="592">
          <cell r="E592" t="str">
            <v>남원왕치초등학교</v>
          </cell>
          <cell r="F592" t="str">
            <v>남원시 박달길 37</v>
          </cell>
          <cell r="G592" t="str">
            <v>625-9664</v>
          </cell>
        </row>
        <row r="593">
          <cell r="E593" t="str">
            <v>남원용성고등학교</v>
          </cell>
          <cell r="F593" t="str">
            <v>남원시 농고길 41</v>
          </cell>
          <cell r="G593" t="str">
            <v>631-1343</v>
          </cell>
        </row>
        <row r="594">
          <cell r="E594" t="str">
            <v>남원용성중학교</v>
          </cell>
          <cell r="F594" t="str">
            <v>남원시 춘향로 73</v>
          </cell>
          <cell r="G594" t="str">
            <v>633-4549</v>
          </cell>
        </row>
        <row r="595">
          <cell r="E595" t="str">
            <v>남원용성초등학교</v>
          </cell>
          <cell r="F595" t="str">
            <v>남원시 용성로 29</v>
          </cell>
          <cell r="G595" t="str">
            <v>631-1212</v>
          </cell>
        </row>
        <row r="596">
          <cell r="E596" t="str">
            <v>남원월락초등학교</v>
          </cell>
          <cell r="F596" t="str">
            <v>남원시 용성로 321</v>
          </cell>
          <cell r="G596" t="str">
            <v>632-8980</v>
          </cell>
        </row>
        <row r="597">
          <cell r="E597" t="str">
            <v>남원제일고등학교</v>
          </cell>
          <cell r="F597" t="str">
            <v>남원시 노송로 1206</v>
          </cell>
          <cell r="G597" t="str">
            <v>630-9002</v>
          </cell>
        </row>
        <row r="598">
          <cell r="E598" t="str">
            <v>남원중앙초등학교</v>
          </cell>
          <cell r="F598" t="str">
            <v>남원시 동림로 36</v>
          </cell>
          <cell r="G598" t="str">
            <v>633-8891</v>
          </cell>
        </row>
        <row r="599">
          <cell r="E599" t="str">
            <v>남원중학교</v>
          </cell>
          <cell r="F599" t="str">
            <v>남원시 만인로 41-51</v>
          </cell>
          <cell r="G599" t="str">
            <v>625-2029</v>
          </cell>
        </row>
        <row r="600">
          <cell r="E600" t="str">
            <v>남원참사랑유치원</v>
          </cell>
          <cell r="F600" t="str">
            <v>남원시 금동 343-1</v>
          </cell>
          <cell r="G600" t="str">
            <v>632-3403</v>
          </cell>
        </row>
        <row r="601">
          <cell r="E601" t="str">
            <v>남원초등학교</v>
          </cell>
          <cell r="F601" t="str">
            <v>남원시 가방뜰길 18</v>
          </cell>
          <cell r="G601" t="str">
            <v>630-8800</v>
          </cell>
        </row>
        <row r="602">
          <cell r="E602" t="str">
            <v>남원하늘중학교</v>
          </cell>
          <cell r="F602" t="str">
            <v>남원시 동헌길 75</v>
          </cell>
          <cell r="G602" t="str">
            <v>630-2002</v>
          </cell>
        </row>
        <row r="603">
          <cell r="E603" t="str">
            <v>남원한빛중학교</v>
          </cell>
          <cell r="F603" t="str">
            <v>남원시 용성로 299</v>
          </cell>
          <cell r="G603" t="str">
            <v>631-1422</v>
          </cell>
        </row>
        <row r="604">
          <cell r="E604" t="str">
            <v>대강중학교</v>
          </cell>
          <cell r="F604" t="str">
            <v>남원시 대강면 금탄로 512-16</v>
          </cell>
          <cell r="G604" t="str">
            <v>625-0351</v>
          </cell>
        </row>
        <row r="605">
          <cell r="E605" t="str">
            <v>대강초등학교</v>
          </cell>
          <cell r="F605" t="str">
            <v>남원시 대강면 섬진로 852</v>
          </cell>
          <cell r="G605" t="str">
            <v>626-6556</v>
          </cell>
        </row>
        <row r="606">
          <cell r="E606" t="str">
            <v>덕과초등학교</v>
          </cell>
          <cell r="F606" t="str">
            <v>남원시 덕과면 덕오로 298</v>
          </cell>
          <cell r="G606" t="str">
            <v>626-2106</v>
          </cell>
        </row>
        <row r="607">
          <cell r="E607" t="str">
            <v>보절중학교</v>
          </cell>
          <cell r="F607" t="str">
            <v>남원시 보절면 보산로 909-14</v>
          </cell>
          <cell r="G607" t="str">
            <v>634-4014</v>
          </cell>
        </row>
        <row r="608">
          <cell r="E608" t="str">
            <v>보절초등학교</v>
          </cell>
          <cell r="F608" t="str">
            <v>남원시 보절면 신흥2길 5</v>
          </cell>
          <cell r="G608" t="str">
            <v>634-4049</v>
          </cell>
        </row>
        <row r="609">
          <cell r="E609" t="str">
            <v>사매초등학교</v>
          </cell>
          <cell r="F609" t="str">
            <v>남원시 사매면 오신2길 7번지</v>
          </cell>
          <cell r="G609" t="str">
            <v>634-8008</v>
          </cell>
        </row>
        <row r="610">
          <cell r="E610" t="str">
            <v>산내중학교</v>
          </cell>
          <cell r="F610" t="str">
            <v>남원시 산내면 천왕봉로 673-8</v>
          </cell>
          <cell r="G610" t="str">
            <v>636-3633</v>
          </cell>
        </row>
        <row r="611">
          <cell r="E611" t="str">
            <v>산내초등학교</v>
          </cell>
          <cell r="F611" t="str">
            <v>남원시 산내면 대정길 99</v>
          </cell>
          <cell r="G611" t="str">
            <v>636-3024</v>
          </cell>
        </row>
        <row r="612">
          <cell r="E612" t="str">
            <v>산동초등학교</v>
          </cell>
          <cell r="F612" t="str">
            <v>남원시 산동면 요천로 2929</v>
          </cell>
          <cell r="G612" t="str">
            <v>626-6017</v>
          </cell>
        </row>
        <row r="613">
          <cell r="E613" t="str">
            <v>성원고등학교</v>
          </cell>
          <cell r="F613" t="str">
            <v>남원시 대복사길 41</v>
          </cell>
          <cell r="G613" t="str">
            <v>633-8582</v>
          </cell>
        </row>
        <row r="614">
          <cell r="E614" t="str">
            <v>송동중학교</v>
          </cell>
          <cell r="F614" t="str">
            <v>남원시 송동면 노송로 747</v>
          </cell>
          <cell r="G614" t="str">
            <v>634-6132</v>
          </cell>
        </row>
        <row r="615">
          <cell r="E615" t="str">
            <v>송동초등학교</v>
          </cell>
          <cell r="F615" t="str">
            <v>남원시 송동면 노송로 624-6</v>
          </cell>
          <cell r="G615" t="str">
            <v>634-6004</v>
          </cell>
        </row>
        <row r="616">
          <cell r="E616" t="str">
            <v>수지초등학교</v>
          </cell>
          <cell r="F616" t="str">
            <v>남원시 수지면 내호곡3길 21</v>
          </cell>
          <cell r="G616" t="str">
            <v>626-1414</v>
          </cell>
        </row>
        <row r="617">
          <cell r="E617" t="str">
            <v>아영중학교</v>
          </cell>
          <cell r="F617" t="str">
            <v>남원시 아영면 고인청계길 18</v>
          </cell>
          <cell r="G617" t="str">
            <v>626-9772</v>
          </cell>
        </row>
        <row r="618">
          <cell r="E618" t="str">
            <v>아영초등학교</v>
          </cell>
          <cell r="F618" t="str">
            <v>남원시 아영면 고인청계길 15</v>
          </cell>
          <cell r="G618" t="str">
            <v>626-7007</v>
          </cell>
        </row>
        <row r="619">
          <cell r="E619" t="str">
            <v>오동초등학교</v>
          </cell>
          <cell r="F619" t="str">
            <v>남원시 이백면 이백로 147</v>
          </cell>
          <cell r="G619" t="str">
            <v>626-9557</v>
          </cell>
        </row>
        <row r="620">
          <cell r="E620" t="str">
            <v>용북중학교</v>
          </cell>
          <cell r="F620" t="str">
            <v>남원시 사매면 용북길 89</v>
          </cell>
          <cell r="G620" t="str">
            <v>630-9123</v>
          </cell>
        </row>
        <row r="621">
          <cell r="E621" t="str">
            <v>운봉중학교</v>
          </cell>
          <cell r="F621" t="str">
            <v>남원시 운봉읍 바래봉길 73</v>
          </cell>
          <cell r="G621" t="str">
            <v>634-1595</v>
          </cell>
        </row>
        <row r="622">
          <cell r="E622" t="str">
            <v>운봉초등학교</v>
          </cell>
          <cell r="F622" t="str">
            <v>남원시 운봉읍 운봉로 725</v>
          </cell>
          <cell r="G622" t="str">
            <v>634-0020</v>
          </cell>
        </row>
        <row r="623">
          <cell r="E623" t="str">
            <v>원천초등학교</v>
          </cell>
          <cell r="F623" t="str">
            <v>남원시 주천면 외평2길 23</v>
          </cell>
          <cell r="G623" t="str">
            <v>625-8305</v>
          </cell>
        </row>
        <row r="624">
          <cell r="E624" t="str">
            <v>이백초등학교</v>
          </cell>
          <cell r="F624" t="str">
            <v>남원시 이백면 평촌길 30</v>
          </cell>
          <cell r="G624" t="str">
            <v>635-2919</v>
          </cell>
        </row>
        <row r="625">
          <cell r="E625" t="str">
            <v>인월고등학교</v>
          </cell>
          <cell r="F625" t="str">
            <v>남원시 인월면 인월장터로 48</v>
          </cell>
          <cell r="G625" t="str">
            <v>636-5763</v>
          </cell>
        </row>
        <row r="626">
          <cell r="E626" t="str">
            <v>인월중학교</v>
          </cell>
          <cell r="F626" t="str">
            <v>남원시 인월면 인월장터로 48</v>
          </cell>
          <cell r="G626" t="str">
            <v>636-5763</v>
          </cell>
        </row>
        <row r="627">
          <cell r="E627" t="str">
            <v>인월초등학교</v>
          </cell>
          <cell r="F627" t="str">
            <v>남원시 인월면 인월1길 55</v>
          </cell>
          <cell r="G627" t="str">
            <v>636-5494</v>
          </cell>
        </row>
        <row r="628">
          <cell r="E628" t="str">
            <v>주생초등학교</v>
          </cell>
          <cell r="F628" t="str">
            <v>남원시 주생면 소지길 21-5</v>
          </cell>
          <cell r="G628" t="str">
            <v>631-8932</v>
          </cell>
        </row>
        <row r="629">
          <cell r="E629" t="str">
            <v>한국경마축산고등학교</v>
          </cell>
          <cell r="F629" t="str">
            <v>남원시 운봉읍 황산로 952</v>
          </cell>
          <cell r="G629" t="str">
            <v>634-2031</v>
          </cell>
        </row>
        <row r="630">
          <cell r="E630" t="str">
            <v>한울학교</v>
          </cell>
          <cell r="F630" t="str">
            <v>남원시 이백면 이백로 315</v>
          </cell>
          <cell r="G630" t="str">
            <v>630-6341</v>
          </cell>
        </row>
        <row r="631">
          <cell r="E631" t="str">
            <v>공덕초등학교</v>
          </cell>
          <cell r="F631" t="str">
            <v>김제시 공덕면 공덕로 248</v>
          </cell>
          <cell r="G631" t="str">
            <v>542-6500</v>
          </cell>
        </row>
        <row r="632">
          <cell r="E632" t="str">
            <v>광활초등학교</v>
          </cell>
          <cell r="F632" t="str">
            <v>김제시 광활면 광활11길 37</v>
          </cell>
          <cell r="G632" t="str">
            <v>545-1379</v>
          </cell>
        </row>
        <row r="633">
          <cell r="E633" t="str">
            <v>금구중학교</v>
          </cell>
          <cell r="F633" t="str">
            <v>김제시 금구면 금구로 40</v>
          </cell>
          <cell r="G633" t="str">
            <v>545-3659</v>
          </cell>
        </row>
        <row r="634">
          <cell r="E634" t="str">
            <v>금구초등학교</v>
          </cell>
          <cell r="F634" t="str">
            <v>김제시 금구면 금구로 40</v>
          </cell>
          <cell r="G634" t="str">
            <v>545-3659</v>
          </cell>
        </row>
        <row r="635">
          <cell r="E635" t="str">
            <v>금산초등학교</v>
          </cell>
          <cell r="F635" t="str">
            <v>김제시 금산면 모악로 383</v>
          </cell>
          <cell r="G635" t="str">
            <v>543-4005</v>
          </cell>
        </row>
        <row r="636">
          <cell r="E636" t="str">
            <v>금성중학교</v>
          </cell>
          <cell r="F636" t="str">
            <v>김제시 금성5길 19</v>
          </cell>
          <cell r="G636" t="str">
            <v>544-0201</v>
          </cell>
        </row>
        <row r="637">
          <cell r="E637" t="str">
            <v>김제검산초등학교</v>
          </cell>
          <cell r="F637" t="str">
            <v>김제시 도작로 122</v>
          </cell>
          <cell r="G637" t="str">
            <v>546-0043</v>
          </cell>
        </row>
        <row r="638">
          <cell r="E638" t="str">
            <v>김제고등학교</v>
          </cell>
          <cell r="F638" t="str">
            <v>김제시 남북2길 25</v>
          </cell>
          <cell r="G638" t="str">
            <v>546-8392</v>
          </cell>
        </row>
        <row r="639">
          <cell r="E639" t="str">
            <v>김제농생명마이스터고등학교</v>
          </cell>
          <cell r="F639" t="str">
            <v>김제시 남북9길 23</v>
          </cell>
          <cell r="G639" t="str">
            <v>546-5313</v>
          </cell>
        </row>
        <row r="640">
          <cell r="E640" t="str">
            <v>김제동초등학교</v>
          </cell>
          <cell r="F640" t="str">
            <v>김제시 중앙13길 18</v>
          </cell>
          <cell r="G640" t="str">
            <v>544-8362</v>
          </cell>
        </row>
        <row r="641">
          <cell r="E641" t="str">
            <v>김제북초등학교</v>
          </cell>
          <cell r="F641" t="str">
            <v>김제시 콩쥐팥쥐로 306-56</v>
          </cell>
          <cell r="G641" t="str">
            <v>547-8924</v>
          </cell>
        </row>
        <row r="642">
          <cell r="E642" t="str">
            <v>김제서고등학교</v>
          </cell>
          <cell r="F642" t="str">
            <v>김제시 죽산면 해학로 17</v>
          </cell>
          <cell r="G642" t="str">
            <v>546-2772</v>
          </cell>
        </row>
        <row r="643">
          <cell r="E643" t="str">
            <v>김제여자고등학교</v>
          </cell>
          <cell r="F643" t="str">
            <v>김제시 중앙로 193</v>
          </cell>
          <cell r="G643" t="str">
            <v>544-2512</v>
          </cell>
        </row>
        <row r="644">
          <cell r="E644" t="str">
            <v>김제제일유치원</v>
          </cell>
          <cell r="F644" t="str">
            <v>김제시 요촌동 214-1</v>
          </cell>
          <cell r="G644" t="str">
            <v>547-6971</v>
          </cell>
        </row>
        <row r="645">
          <cell r="E645" t="str">
            <v>김제중앙중학교</v>
          </cell>
          <cell r="F645" t="str">
            <v>김제시 남북9길 52</v>
          </cell>
          <cell r="G645" t="str">
            <v>547-5012</v>
          </cell>
        </row>
        <row r="646">
          <cell r="E646" t="str">
            <v>김제중앙초등학교</v>
          </cell>
          <cell r="F646" t="str">
            <v>김제시 동서로 193</v>
          </cell>
          <cell r="G646" t="str">
            <v>546-4851</v>
          </cell>
        </row>
        <row r="647">
          <cell r="E647" t="str">
            <v>김제중학교</v>
          </cell>
          <cell r="F647" t="str">
            <v>김제시 중앙로 274</v>
          </cell>
          <cell r="G647" t="str">
            <v>546-1232</v>
          </cell>
        </row>
        <row r="648">
          <cell r="E648" t="str">
            <v>김제초등학교</v>
          </cell>
          <cell r="F648" t="str">
            <v>김제시 서낭당길 31</v>
          </cell>
          <cell r="G648" t="str">
            <v>546-5211</v>
          </cell>
        </row>
        <row r="649">
          <cell r="E649" t="str">
            <v>난산초등학교</v>
          </cell>
          <cell r="F649" t="str">
            <v>김제시 백구면 금백로 1213</v>
          </cell>
          <cell r="G649" t="str">
            <v>543-1861</v>
          </cell>
        </row>
        <row r="650">
          <cell r="E650" t="str">
            <v>남양초등학교</v>
          </cell>
          <cell r="F650" t="str">
            <v>김제시 황산면 남산로 366</v>
          </cell>
          <cell r="G650" t="str">
            <v>546-4167</v>
          </cell>
        </row>
        <row r="651">
          <cell r="E651" t="str">
            <v>덕암고등학교</v>
          </cell>
          <cell r="F651" t="str">
            <v>김제시 하공로 9</v>
          </cell>
          <cell r="G651" t="str">
            <v>544-2204</v>
          </cell>
        </row>
        <row r="652">
          <cell r="E652" t="str">
            <v>덕암정보고등학교</v>
          </cell>
          <cell r="F652" t="str">
            <v>김제시 하공로 9</v>
          </cell>
          <cell r="G652" t="str">
            <v>544-2205</v>
          </cell>
        </row>
        <row r="653">
          <cell r="E653" t="str">
            <v>덕암중학교</v>
          </cell>
          <cell r="F653" t="str">
            <v>김제시 하공로 9</v>
          </cell>
          <cell r="G653" t="str">
            <v>544-2202</v>
          </cell>
        </row>
        <row r="654">
          <cell r="E654" t="str">
            <v>동국대학교사범대학부속금산고등학교</v>
          </cell>
          <cell r="F654" t="str">
            <v>김제시 금산면 모악로 47</v>
          </cell>
          <cell r="G654" t="str">
            <v>544-0722</v>
          </cell>
        </row>
        <row r="655">
          <cell r="E655" t="str">
            <v>동국대학교사범대학부속금산중학교</v>
          </cell>
          <cell r="F655" t="str">
            <v>김제시 금산면 모악로 47</v>
          </cell>
          <cell r="G655" t="str">
            <v>543-0722</v>
          </cell>
        </row>
        <row r="656">
          <cell r="E656" t="str">
            <v>만경고등학교</v>
          </cell>
          <cell r="F656" t="str">
            <v>김제시 만경읍 능제로 29</v>
          </cell>
          <cell r="G656" t="str">
            <v>542-5722</v>
          </cell>
        </row>
        <row r="657">
          <cell r="E657" t="str">
            <v>만경여자고등학교</v>
          </cell>
          <cell r="F657" t="str">
            <v>김제시 만경읍 만경로 823</v>
          </cell>
          <cell r="G657" t="str">
            <v>542-5884</v>
          </cell>
        </row>
        <row r="658">
          <cell r="E658" t="str">
            <v>만경여자중학교</v>
          </cell>
          <cell r="F658" t="str">
            <v>김제시 만경읍 만경로 823</v>
          </cell>
          <cell r="G658" t="str">
            <v>542-5889</v>
          </cell>
        </row>
        <row r="659">
          <cell r="E659" t="str">
            <v>만경중학교</v>
          </cell>
          <cell r="F659" t="str">
            <v>김제시 만경읍 능제로 29</v>
          </cell>
          <cell r="G659" t="str">
            <v>542-5757</v>
          </cell>
        </row>
        <row r="660">
          <cell r="E660" t="str">
            <v>만경초등학교</v>
          </cell>
          <cell r="F660" t="str">
            <v>김제시 만경읍 능제2길 2</v>
          </cell>
          <cell r="G660" t="str">
            <v>542-5789</v>
          </cell>
        </row>
        <row r="661">
          <cell r="E661" t="str">
            <v>백구초등학교</v>
          </cell>
          <cell r="F661" t="str">
            <v>김제시 백구면 석담2길 36</v>
          </cell>
          <cell r="G661" t="str">
            <v>542-2133</v>
          </cell>
        </row>
        <row r="662">
          <cell r="E662" t="str">
            <v>백석초등학교</v>
          </cell>
          <cell r="F662" t="str">
            <v>김제시 백산로 54</v>
          </cell>
          <cell r="G662" t="str">
            <v>545-1314</v>
          </cell>
        </row>
        <row r="663">
          <cell r="E663" t="str">
            <v>벽량초등학교</v>
          </cell>
          <cell r="F663" t="str">
            <v>김제시 부량면 대평2길 99</v>
          </cell>
          <cell r="G663" t="str">
            <v>546-9014</v>
          </cell>
        </row>
        <row r="664">
          <cell r="E664" t="str">
            <v>봉남중학교</v>
          </cell>
          <cell r="F664" t="str">
            <v>김제시 봉남면 남주1길 26</v>
          </cell>
          <cell r="G664" t="str">
            <v>543-8612</v>
          </cell>
        </row>
        <row r="665">
          <cell r="E665" t="str">
            <v>봉남초등학교</v>
          </cell>
          <cell r="F665" t="str">
            <v>김제시 봉남면 조양1길 11</v>
          </cell>
          <cell r="G665" t="str">
            <v>543-8601</v>
          </cell>
        </row>
        <row r="666">
          <cell r="E666" t="str">
            <v>부용초등학교</v>
          </cell>
          <cell r="F666" t="str">
            <v>김제시 백구면 황토로 1030</v>
          </cell>
          <cell r="G666" t="str">
            <v>542-2038</v>
          </cell>
        </row>
        <row r="667">
          <cell r="E667" t="str">
            <v>성덕초등학교</v>
          </cell>
          <cell r="F667" t="str">
            <v>김제시 성덕면 대석로 75</v>
          </cell>
          <cell r="G667" t="str">
            <v>543-7501</v>
          </cell>
        </row>
        <row r="668">
          <cell r="E668" t="str">
            <v>용동초등학교</v>
          </cell>
          <cell r="F668" t="str">
            <v>김제시 용지면 용덕길 36</v>
          </cell>
          <cell r="G668" t="str">
            <v>542-3024</v>
          </cell>
        </row>
        <row r="669">
          <cell r="E669" t="str">
            <v>용지중학교</v>
          </cell>
          <cell r="F669" t="str">
            <v>김제시 용지면 황토로 702</v>
          </cell>
          <cell r="G669" t="str">
            <v>545-0765</v>
          </cell>
        </row>
        <row r="670">
          <cell r="E670" t="str">
            <v>용지초등학교</v>
          </cell>
          <cell r="F670" t="str">
            <v>김제시 용지면 용지로 462</v>
          </cell>
          <cell r="G670" t="str">
            <v>542-3666</v>
          </cell>
        </row>
        <row r="671">
          <cell r="E671" t="str">
            <v>원평초등학교</v>
          </cell>
          <cell r="F671" t="str">
            <v>김제시 금산면 원평로 101</v>
          </cell>
          <cell r="G671" t="str">
            <v>543-0811</v>
          </cell>
        </row>
        <row r="672">
          <cell r="E672" t="str">
            <v>월성초등학교</v>
          </cell>
          <cell r="F672" t="str">
            <v>김제시 봉황로 1020</v>
          </cell>
          <cell r="G672" t="str">
            <v>548-4728</v>
          </cell>
        </row>
        <row r="673">
          <cell r="E673" t="str">
            <v>월촌초등학교</v>
          </cell>
          <cell r="F673" t="str">
            <v>김제시 입석7길 119</v>
          </cell>
          <cell r="G673" t="str">
            <v>544-0433</v>
          </cell>
        </row>
        <row r="674">
          <cell r="E674" t="str">
            <v>전북온라인학교</v>
          </cell>
          <cell r="F674" t="str">
            <v>김제시 남북2길 25</v>
          </cell>
          <cell r="G674" t="str">
            <v>547-9496</v>
          </cell>
        </row>
        <row r="675">
          <cell r="E675" t="str">
            <v>종정초등학교</v>
          </cell>
          <cell r="F675" t="str">
            <v>김제시 백산면 종정1길 143</v>
          </cell>
          <cell r="G675" t="str">
            <v>546-8363</v>
          </cell>
        </row>
        <row r="676">
          <cell r="E676" t="str">
            <v>죽산초등학교</v>
          </cell>
          <cell r="F676" t="str">
            <v>김제시 죽산면 죽산2길 13</v>
          </cell>
          <cell r="G676" t="str">
            <v>546-3302</v>
          </cell>
        </row>
        <row r="677">
          <cell r="E677" t="str">
            <v>지평선고등학교</v>
          </cell>
          <cell r="F677" t="str">
            <v>김제시 성덕면 성동길 183-4</v>
          </cell>
          <cell r="G677" t="str">
            <v>544-3155</v>
          </cell>
        </row>
        <row r="678">
          <cell r="E678" t="str">
            <v>지평선중학교</v>
          </cell>
          <cell r="F678" t="str">
            <v>김제시 성덕면 성동길 183-4</v>
          </cell>
          <cell r="G678" t="str">
            <v>544-3131</v>
          </cell>
        </row>
        <row r="679">
          <cell r="E679" t="str">
            <v>진봉초등학교</v>
          </cell>
          <cell r="F679" t="str">
            <v>김제시 진봉면 진봉로 302</v>
          </cell>
          <cell r="G679" t="str">
            <v>543-3013</v>
          </cell>
        </row>
        <row r="680">
          <cell r="E680" t="str">
            <v>청운초등학교</v>
          </cell>
          <cell r="F680" t="str">
            <v>김제시 금구면 황토로 168-30</v>
          </cell>
          <cell r="G680" t="str">
            <v>546-5177</v>
          </cell>
        </row>
        <row r="681">
          <cell r="E681" t="str">
            <v>청하중학교</v>
          </cell>
          <cell r="F681" t="str">
            <v>김제시 청하면 청하6길 68</v>
          </cell>
          <cell r="G681" t="str">
            <v>543-1414</v>
          </cell>
        </row>
        <row r="682">
          <cell r="E682" t="str">
            <v>청하초등학교</v>
          </cell>
          <cell r="F682" t="str">
            <v>김제시 청하면 대청4길 25</v>
          </cell>
          <cell r="G682" t="str">
            <v>543-1067</v>
          </cell>
        </row>
        <row r="683">
          <cell r="E683" t="str">
            <v>초처초등학교</v>
          </cell>
          <cell r="F683" t="str">
            <v>김제시 봉남면 초처로 233</v>
          </cell>
          <cell r="G683" t="str">
            <v>543-8062</v>
          </cell>
        </row>
        <row r="684">
          <cell r="E684" t="str">
            <v>치문초등학교</v>
          </cell>
          <cell r="F684" t="str">
            <v>김제시 백구면 유강11길 43</v>
          </cell>
          <cell r="G684" t="str">
            <v>542-2085</v>
          </cell>
        </row>
        <row r="685">
          <cell r="E685" t="str">
            <v>한들중학교</v>
          </cell>
          <cell r="F685" t="str">
            <v>김제시 중앙로 137</v>
          </cell>
          <cell r="G685" t="str">
            <v>546-4832</v>
          </cell>
        </row>
        <row r="686">
          <cell r="E686" t="str">
            <v>황강초등학교</v>
          </cell>
          <cell r="F686" t="str">
            <v>김제시 공덕면 유강4길 94</v>
          </cell>
          <cell r="G686" t="str">
            <v>542-6201</v>
          </cell>
        </row>
        <row r="687">
          <cell r="E687" t="str">
            <v>황산초등학교</v>
          </cell>
          <cell r="F687" t="str">
            <v>김제시 황산면 용마로 75</v>
          </cell>
          <cell r="G687" t="str">
            <v>546-4006</v>
          </cell>
        </row>
        <row r="688">
          <cell r="E688" t="str">
            <v>가천초등학교</v>
          </cell>
          <cell r="F688" t="str">
            <v>완주군 경천면 경가천길 148-9</v>
          </cell>
          <cell r="G688" t="str">
            <v>262-9175</v>
          </cell>
        </row>
        <row r="689">
          <cell r="E689" t="str">
            <v>간중초등학교</v>
          </cell>
          <cell r="F689" t="str">
            <v>완주군 용진면 간중길 39</v>
          </cell>
          <cell r="G689" t="str">
            <v>243-7012</v>
          </cell>
        </row>
        <row r="690">
          <cell r="E690" t="str">
            <v>고산고등학교</v>
          </cell>
          <cell r="F690" t="str">
            <v>완주군 고산면 고산천로 551-23</v>
          </cell>
          <cell r="G690" t="str">
            <v>262-4370</v>
          </cell>
        </row>
        <row r="691">
          <cell r="E691" t="str">
            <v>고산중학교</v>
          </cell>
          <cell r="F691" t="str">
            <v>완주군 고산면 읍내3길 41</v>
          </cell>
          <cell r="G691" t="str">
            <v>262-4024</v>
          </cell>
        </row>
        <row r="692">
          <cell r="E692" t="str">
            <v>고산초등학교</v>
          </cell>
          <cell r="F692" t="str">
            <v>완주군 고산면 고산로 153</v>
          </cell>
          <cell r="G692" t="str">
            <v>263-4025</v>
          </cell>
        </row>
        <row r="693">
          <cell r="E693" t="str">
            <v>구이중학교</v>
          </cell>
          <cell r="F693" t="str">
            <v>완주군 구이면 구이로 1505</v>
          </cell>
          <cell r="G693" t="str">
            <v>221-8993</v>
          </cell>
        </row>
        <row r="694">
          <cell r="E694" t="str">
            <v>구이초등학교</v>
          </cell>
          <cell r="F694" t="str">
            <v>완주군 구이면 구이로 1357</v>
          </cell>
          <cell r="G694" t="str">
            <v>222-0025</v>
          </cell>
        </row>
        <row r="695">
          <cell r="E695" t="str">
            <v>남관초등학교</v>
          </cell>
          <cell r="F695" t="str">
            <v>완주군 상관면 마자길 7</v>
          </cell>
          <cell r="G695" t="str">
            <v>232-5252</v>
          </cell>
        </row>
        <row r="696">
          <cell r="E696" t="str">
            <v>대덕초등학교</v>
          </cell>
          <cell r="F696" t="str">
            <v>완주군 구이면 구이로 641</v>
          </cell>
          <cell r="G696" t="str">
            <v>221-6049</v>
          </cell>
        </row>
        <row r="697">
          <cell r="E697" t="str">
            <v>동상초등학교</v>
          </cell>
          <cell r="F697" t="str">
            <v>완주군 동상면 대아저수로 1525</v>
          </cell>
          <cell r="G697" t="str">
            <v>243-9017</v>
          </cell>
        </row>
        <row r="698">
          <cell r="E698" t="str">
            <v>동양초등학교</v>
          </cell>
          <cell r="F698" t="str">
            <v>완주군 소양면 전진로 1059</v>
          </cell>
          <cell r="G698" t="str">
            <v>243-8106</v>
          </cell>
        </row>
        <row r="699">
          <cell r="E699" t="str">
            <v>봉동유치원</v>
          </cell>
          <cell r="F699" t="str">
            <v>완주군 봉동읍 봉동동서로 111</v>
          </cell>
          <cell r="G699" t="str">
            <v>261-2206</v>
          </cell>
        </row>
        <row r="700">
          <cell r="E700" t="str">
            <v>봉동초등학교</v>
          </cell>
          <cell r="F700" t="str">
            <v>완주군 봉동읍 봉동동서로 105</v>
          </cell>
          <cell r="G700" t="str">
            <v>261-2010</v>
          </cell>
        </row>
        <row r="701">
          <cell r="E701" t="str">
            <v>봉동초등학교양화분교장</v>
          </cell>
          <cell r="F701" t="str">
            <v>완주군 고산면 양화로 181-7</v>
          </cell>
          <cell r="G701" t="str">
            <v>261-3302</v>
          </cell>
        </row>
        <row r="702">
          <cell r="E702" t="str">
            <v>봉서유치원</v>
          </cell>
          <cell r="F702" t="str">
            <v>완주군 봉동읍 원둔산 6길 5</v>
          </cell>
          <cell r="G702" t="str">
            <v>262-6225</v>
          </cell>
        </row>
        <row r="703">
          <cell r="E703" t="str">
            <v>봉서중학교</v>
          </cell>
          <cell r="F703" t="str">
            <v>완주군 봉동읍 둔산3로 131</v>
          </cell>
          <cell r="G703" t="str">
            <v>261-6691</v>
          </cell>
        </row>
        <row r="704">
          <cell r="E704" t="str">
            <v>봉서초등학교</v>
          </cell>
          <cell r="F704" t="str">
            <v>완주군 봉동읍 원둔산6길 5</v>
          </cell>
          <cell r="G704" t="str">
            <v>261-6659</v>
          </cell>
        </row>
        <row r="705">
          <cell r="E705" t="str">
            <v>봉성초등학교</v>
          </cell>
          <cell r="F705" t="str">
            <v>완주군 봉동읍 신덕성덕길 58-17</v>
          </cell>
          <cell r="G705" t="str">
            <v>261-2215</v>
          </cell>
        </row>
        <row r="706">
          <cell r="E706" t="str">
            <v>비봉초등학교</v>
          </cell>
          <cell r="F706" t="str">
            <v>완주군 비봉면 비봉소농길 40</v>
          </cell>
          <cell r="G706" t="str">
            <v>263-6014</v>
          </cell>
        </row>
        <row r="707">
          <cell r="E707" t="str">
            <v>삼례동초등학교</v>
          </cell>
          <cell r="F707" t="str">
            <v>완주군 삼례읍 삼봉4로 9</v>
          </cell>
          <cell r="G707" t="str">
            <v>262-2226</v>
          </cell>
        </row>
        <row r="708">
          <cell r="E708" t="str">
            <v>삼례중앙초등학교</v>
          </cell>
          <cell r="F708" t="str">
            <v>완주군 삼례읍 웃삼례길 17-10</v>
          </cell>
          <cell r="G708" t="str">
            <v>291-2239</v>
          </cell>
        </row>
        <row r="709">
          <cell r="E709" t="str">
            <v>삼례중학교</v>
          </cell>
          <cell r="F709" t="str">
            <v>완주군 삼례읍 신금로 53-23</v>
          </cell>
          <cell r="G709" t="str">
            <v>291-2624</v>
          </cell>
        </row>
        <row r="710">
          <cell r="E710" t="str">
            <v>삼례초등학교</v>
          </cell>
          <cell r="F710" t="str">
            <v>완주군 삼례읍 후정로 30</v>
          </cell>
          <cell r="G710" t="str">
            <v>291-4788</v>
          </cell>
        </row>
        <row r="711">
          <cell r="E711" t="str">
            <v>삼봉유치원</v>
          </cell>
          <cell r="F711" t="str">
            <v>완주군 삼례읍 삼봉중앙로 91-7</v>
          </cell>
          <cell r="G711" t="str">
            <v>262-2115</v>
          </cell>
        </row>
        <row r="712">
          <cell r="E712" t="str">
            <v>삼우중학교</v>
          </cell>
          <cell r="F712" t="str">
            <v>완주군 이서면 반교로 34-9</v>
          </cell>
          <cell r="G712" t="str">
            <v>222-7887</v>
          </cell>
        </row>
        <row r="713">
          <cell r="E713" t="str">
            <v>삼우초등학교</v>
          </cell>
          <cell r="F713" t="str">
            <v>완주군 고산면 천호로 27-16</v>
          </cell>
          <cell r="G713" t="str">
            <v>263-4215</v>
          </cell>
        </row>
        <row r="714">
          <cell r="E714" t="str">
            <v>상관중학교</v>
          </cell>
          <cell r="F714" t="str">
            <v>완주군 상관면 신리로 111</v>
          </cell>
          <cell r="G714" t="str">
            <v>287-9892</v>
          </cell>
        </row>
        <row r="715">
          <cell r="E715" t="str">
            <v>상관초등학교</v>
          </cell>
          <cell r="F715" t="str">
            <v>완주군 상관면 신리로 115</v>
          </cell>
          <cell r="G715" t="str">
            <v>282-5008</v>
          </cell>
        </row>
        <row r="716">
          <cell r="E716" t="str">
            <v>세인고등학교</v>
          </cell>
          <cell r="F716" t="str">
            <v>완주군 화산면 화산로 1486</v>
          </cell>
          <cell r="G716" t="str">
            <v>261-0077</v>
          </cell>
        </row>
        <row r="717">
          <cell r="E717" t="str">
            <v>소양서초등학교</v>
          </cell>
          <cell r="F717" t="str">
            <v>완주군 소양면 명덕로 38</v>
          </cell>
          <cell r="G717" t="str">
            <v>243-8100</v>
          </cell>
        </row>
        <row r="718">
          <cell r="E718" t="str">
            <v>소양중학교</v>
          </cell>
          <cell r="F718" t="str">
            <v>완주군 소양면 소양로 223</v>
          </cell>
          <cell r="G718" t="str">
            <v>243-8650</v>
          </cell>
        </row>
        <row r="719">
          <cell r="E719" t="str">
            <v>소양초등학교</v>
          </cell>
          <cell r="F719" t="str">
            <v>완주군 소양면 소양로 239</v>
          </cell>
          <cell r="G719" t="str">
            <v>243-8006</v>
          </cell>
        </row>
        <row r="720">
          <cell r="E720" t="str">
            <v>송광초등학교</v>
          </cell>
          <cell r="F720" t="str">
            <v>완주군 소양면 송광새터길 16-3</v>
          </cell>
          <cell r="G720" t="str">
            <v>244-8111</v>
          </cell>
        </row>
        <row r="721">
          <cell r="E721" t="str">
            <v>수소에너지고등학교</v>
          </cell>
          <cell r="F721" t="str">
            <v>완주군 삼례읍 삼례역로 41-1</v>
          </cell>
          <cell r="G721" t="str">
            <v>291-4911</v>
          </cell>
        </row>
        <row r="722">
          <cell r="E722" t="str">
            <v>완주고등학교</v>
          </cell>
          <cell r="F722" t="str">
            <v>완주군 봉동읍 봉동로 172</v>
          </cell>
          <cell r="G722" t="str">
            <v>261-2620</v>
          </cell>
        </row>
        <row r="723">
          <cell r="E723" t="str">
            <v>완주중학교</v>
          </cell>
          <cell r="F723" t="str">
            <v>완주군 봉동읍 봉동동서로 60-6</v>
          </cell>
          <cell r="G723" t="str">
            <v>261-5531</v>
          </cell>
        </row>
        <row r="724">
          <cell r="E724" t="str">
            <v>용봉초등학교</v>
          </cell>
          <cell r="F724" t="str">
            <v>완주군 봉동읍 완주로 449</v>
          </cell>
          <cell r="G724" t="str">
            <v>244-3022</v>
          </cell>
        </row>
        <row r="725">
          <cell r="E725" t="str">
            <v>용진중학교</v>
          </cell>
          <cell r="F725" t="str">
            <v>완주군 용진면 상운길 11</v>
          </cell>
          <cell r="G725" t="str">
            <v>243-3047</v>
          </cell>
        </row>
        <row r="726">
          <cell r="E726" t="str">
            <v>용진초등학교</v>
          </cell>
          <cell r="F726" t="str">
            <v>완주군 용진읍 상삼1길 52</v>
          </cell>
          <cell r="G726" t="str">
            <v>243-7010</v>
          </cell>
        </row>
        <row r="727">
          <cell r="E727" t="str">
            <v>운곡마루유치원</v>
          </cell>
          <cell r="F727" t="str">
            <v>완주군 용진읍 비단3길 10</v>
          </cell>
          <cell r="G727" t="str">
            <v>247-8781</v>
          </cell>
        </row>
        <row r="728">
          <cell r="E728" t="str">
            <v>운주중학교</v>
          </cell>
          <cell r="F728" t="str">
            <v>완주군 운주면 운주로 64</v>
          </cell>
          <cell r="G728" t="str">
            <v>263-7167</v>
          </cell>
        </row>
        <row r="729">
          <cell r="E729" t="str">
            <v>운주초등학교</v>
          </cell>
          <cell r="F729" t="str">
            <v>완주군 운주면 운주로 107</v>
          </cell>
          <cell r="G729" t="str">
            <v>263-7012</v>
          </cell>
        </row>
        <row r="730">
          <cell r="E730" t="str">
            <v>이서초등학교</v>
          </cell>
          <cell r="F730" t="str">
            <v>완주군 이서면 이서로 76</v>
          </cell>
          <cell r="G730" t="str">
            <v>221-2988</v>
          </cell>
        </row>
        <row r="731">
          <cell r="E731" t="str">
            <v>이성초등학교</v>
          </cell>
          <cell r="F731" t="str">
            <v>완주군 이서면 대문안1길 23</v>
          </cell>
          <cell r="G731" t="str">
            <v>221-8123</v>
          </cell>
        </row>
        <row r="732">
          <cell r="E732" t="str">
            <v>전북체육고등학교</v>
          </cell>
          <cell r="F732" t="str">
            <v>완주군 소양면 원암로 46</v>
          </cell>
          <cell r="G732" t="str">
            <v>249-2222</v>
          </cell>
        </row>
        <row r="733">
          <cell r="E733" t="str">
            <v>전북체육중학교</v>
          </cell>
          <cell r="F733" t="str">
            <v>완주군 소양면 원암로 46</v>
          </cell>
          <cell r="G733" t="str">
            <v>249-2222</v>
          </cell>
        </row>
        <row r="734">
          <cell r="E734" t="str">
            <v>전북푸른학교</v>
          </cell>
          <cell r="F734" t="str">
            <v>완주군 고산면 대아저수로 157-5</v>
          </cell>
          <cell r="G734" t="str">
            <v>263-2600</v>
          </cell>
        </row>
        <row r="735">
          <cell r="E735" t="str">
            <v>전주예술고등학교</v>
          </cell>
          <cell r="F735" t="str">
            <v>완주군 구이면 신전길 120</v>
          </cell>
          <cell r="G735" t="str">
            <v>222-2172</v>
          </cell>
        </row>
        <row r="736">
          <cell r="E736" t="str">
            <v>전주예술중학교</v>
          </cell>
          <cell r="F736" t="str">
            <v>완주군 구이면 신전길 120</v>
          </cell>
          <cell r="G736" t="str">
            <v>903-7728</v>
          </cell>
        </row>
        <row r="737">
          <cell r="E737" t="str">
            <v>청명초등학교</v>
          </cell>
          <cell r="F737" t="str">
            <v>완주군 구이면 구이로 1712</v>
          </cell>
          <cell r="G737" t="str">
            <v>221-9032</v>
          </cell>
        </row>
        <row r="738">
          <cell r="E738" t="str">
            <v>청완초등학교</v>
          </cell>
          <cell r="F738" t="str">
            <v>완주군 봉동읍 완주산단9로 80</v>
          </cell>
          <cell r="G738" t="str">
            <v>262-9205</v>
          </cell>
        </row>
        <row r="739">
          <cell r="E739" t="str">
            <v>태봉초등학교</v>
          </cell>
          <cell r="F739" t="str">
            <v>완주군 구이면 덕평로 289</v>
          </cell>
          <cell r="G739" t="str">
            <v>221-0075</v>
          </cell>
        </row>
        <row r="740">
          <cell r="E740" t="str">
            <v>한국게임과학고등학교</v>
          </cell>
          <cell r="F740" t="str">
            <v>완주군 운주면 대둔산로 1336</v>
          </cell>
          <cell r="G740" t="str">
            <v>261-0700</v>
          </cell>
        </row>
        <row r="741">
          <cell r="E741" t="str">
            <v>한별고등학교</v>
          </cell>
          <cell r="F741" t="str">
            <v>완주군 삼례읍 충혼안길 20</v>
          </cell>
          <cell r="G741" t="str">
            <v>291-2738</v>
          </cell>
        </row>
        <row r="742">
          <cell r="E742" t="str">
            <v>화산중학교</v>
          </cell>
          <cell r="F742" t="str">
            <v>완주군 화산면 화산로 874</v>
          </cell>
          <cell r="G742" t="str">
            <v>260-7600</v>
          </cell>
        </row>
        <row r="743">
          <cell r="E743" t="str">
            <v>화산초등학교</v>
          </cell>
          <cell r="F743" t="str">
            <v>완주군 화산면 화산로 830</v>
          </cell>
          <cell r="G743" t="str">
            <v>263-5009</v>
          </cell>
        </row>
        <row r="744">
          <cell r="E744" t="str">
            <v>동향중학교</v>
          </cell>
          <cell r="F744" t="str">
            <v>진안군 동향면 창촌길 41</v>
          </cell>
          <cell r="G744" t="str">
            <v>432-6317</v>
          </cell>
        </row>
        <row r="745">
          <cell r="E745" t="str">
            <v>동향초등학교</v>
          </cell>
          <cell r="F745" t="str">
            <v>진안군 동향면 하양지1길 5</v>
          </cell>
          <cell r="G745" t="str">
            <v>432-7502</v>
          </cell>
        </row>
        <row r="746">
          <cell r="E746" t="str">
            <v>마령고등학교</v>
          </cell>
          <cell r="F746" t="str">
            <v>진안군 마령면 임진로 2076</v>
          </cell>
          <cell r="G746" t="str">
            <v>432-2518</v>
          </cell>
        </row>
        <row r="747">
          <cell r="E747" t="str">
            <v>마령중학교</v>
          </cell>
          <cell r="F747" t="str">
            <v>진안군 마령면 임진로 2086</v>
          </cell>
          <cell r="G747" t="str">
            <v>432-2690</v>
          </cell>
        </row>
        <row r="748">
          <cell r="E748" t="str">
            <v>마령초등학교</v>
          </cell>
          <cell r="F748" t="str">
            <v>진안군 마령면 임진로 2122</v>
          </cell>
          <cell r="G748" t="str">
            <v>432-2513</v>
          </cell>
        </row>
        <row r="749">
          <cell r="E749" t="str">
            <v>백운중학교</v>
          </cell>
          <cell r="F749" t="str">
            <v>진안군 백운면 임진로 1298</v>
          </cell>
          <cell r="G749" t="str">
            <v>432-4522</v>
          </cell>
        </row>
        <row r="750">
          <cell r="E750" t="str">
            <v>백운초등학교</v>
          </cell>
          <cell r="F750" t="str">
            <v>진안군 백운면 임진로 1340-8</v>
          </cell>
          <cell r="G750" t="str">
            <v>432-6328</v>
          </cell>
        </row>
        <row r="751">
          <cell r="E751" t="str">
            <v>부귀중학교</v>
          </cell>
          <cell r="F751" t="str">
            <v>진안군 부귀면 상거석길 14-7</v>
          </cell>
          <cell r="G751" t="str">
            <v>432-8546</v>
          </cell>
        </row>
        <row r="752">
          <cell r="E752" t="str">
            <v>부귀초등학교</v>
          </cell>
          <cell r="F752" t="str">
            <v>진안군 부귀면 부귀로 313-9</v>
          </cell>
          <cell r="G752" t="str">
            <v>432-8484</v>
          </cell>
        </row>
        <row r="753">
          <cell r="E753" t="str">
            <v>송풍초등학교</v>
          </cell>
          <cell r="F753" t="str">
            <v>진안군 용담면 안용로 1005</v>
          </cell>
          <cell r="G753" t="str">
            <v>433-6373</v>
          </cell>
        </row>
        <row r="754">
          <cell r="E754" t="str">
            <v>안천고등학교</v>
          </cell>
          <cell r="F754" t="str">
            <v>진안군 안천면 진무로 3071-9</v>
          </cell>
          <cell r="G754" t="str">
            <v>432-4072</v>
          </cell>
        </row>
        <row r="755">
          <cell r="E755" t="str">
            <v>안천중학교</v>
          </cell>
          <cell r="F755" t="str">
            <v>진안군 안천면 진무로 3071-9</v>
          </cell>
          <cell r="G755" t="str">
            <v>432-4072</v>
          </cell>
        </row>
        <row r="756">
          <cell r="E756" t="str">
            <v>안천초등학교</v>
          </cell>
          <cell r="F756" t="str">
            <v>진안군 안천면 진무로 3071-9</v>
          </cell>
          <cell r="G756" t="str">
            <v>432-4072</v>
          </cell>
        </row>
        <row r="757">
          <cell r="E757" t="str">
            <v>오천초등학교</v>
          </cell>
          <cell r="F757" t="str">
            <v>진안군 진안읍 죽산로 5</v>
          </cell>
          <cell r="G757" t="str">
            <v>433-2972</v>
          </cell>
        </row>
        <row r="758">
          <cell r="E758" t="str">
            <v>외궁초등학교</v>
          </cell>
          <cell r="F758" t="str">
            <v>진안군 성수면 가외반로 498</v>
          </cell>
          <cell r="G758" t="str">
            <v>432-8997</v>
          </cell>
        </row>
        <row r="759">
          <cell r="E759" t="str">
            <v>용담중학교</v>
          </cell>
          <cell r="F759" t="str">
            <v>진안군 용담면 안용로 1005</v>
          </cell>
          <cell r="G759" t="str">
            <v>433-6373</v>
          </cell>
        </row>
        <row r="760">
          <cell r="E760" t="str">
            <v>장승초등학교</v>
          </cell>
          <cell r="F760" t="str">
            <v>진안군 부귀면 곰티로 1287</v>
          </cell>
          <cell r="G760" t="str">
            <v>433-9544</v>
          </cell>
        </row>
        <row r="761">
          <cell r="E761" t="str">
            <v>조림초등학교</v>
          </cell>
          <cell r="F761" t="str">
            <v>진안군 정천면 봉학로 52</v>
          </cell>
          <cell r="G761" t="str">
            <v>432-5549</v>
          </cell>
        </row>
        <row r="762">
          <cell r="E762" t="str">
            <v>주천중학교</v>
          </cell>
          <cell r="F762" t="str">
            <v>진안군 주천면 동상주천로 2267</v>
          </cell>
          <cell r="G762" t="str">
            <v>432-6566</v>
          </cell>
        </row>
        <row r="763">
          <cell r="E763" t="str">
            <v>주천초등학교</v>
          </cell>
          <cell r="F763" t="str">
            <v>진안군 주천면 동상주천로 2225</v>
          </cell>
          <cell r="G763" t="str">
            <v>432-6533</v>
          </cell>
        </row>
        <row r="764">
          <cell r="E764" t="str">
            <v>진성중학교</v>
          </cell>
          <cell r="F764" t="str">
            <v>진안군 성수면 관진로 719</v>
          </cell>
          <cell r="G764" t="str">
            <v>432-9038</v>
          </cell>
        </row>
        <row r="765">
          <cell r="E765" t="str">
            <v>진안마이꿈유치원</v>
          </cell>
          <cell r="F765" t="str">
            <v>진안군 진안읍 어영골길 29</v>
          </cell>
          <cell r="G765" t="str">
            <v>432-8100</v>
          </cell>
        </row>
        <row r="766">
          <cell r="E766" t="str">
            <v>진안여자중학교</v>
          </cell>
          <cell r="F766" t="str">
            <v>진안군 진안읍 어영골길 33</v>
          </cell>
          <cell r="G766" t="str">
            <v>433-0883</v>
          </cell>
        </row>
        <row r="767">
          <cell r="E767" t="str">
            <v>진안제일고등학교</v>
          </cell>
          <cell r="F767" t="str">
            <v>진안군 진안읍 대광3길 25-5</v>
          </cell>
          <cell r="G767" t="str">
            <v>432-3041</v>
          </cell>
        </row>
        <row r="768">
          <cell r="E768" t="str">
            <v>진안중앙초등학교</v>
          </cell>
          <cell r="F768" t="str">
            <v>진안군 진안읍 학천변길 37-6</v>
          </cell>
          <cell r="G768" t="str">
            <v>432-6327</v>
          </cell>
        </row>
        <row r="769">
          <cell r="E769" t="str">
            <v>진안중학교</v>
          </cell>
          <cell r="F769" t="str">
            <v>진안군 진안읍 상역로 86</v>
          </cell>
          <cell r="G769" t="str">
            <v>433-1133</v>
          </cell>
        </row>
        <row r="770">
          <cell r="E770" t="str">
            <v>진안초등학교</v>
          </cell>
          <cell r="F770" t="str">
            <v>진안군 진안읍 중앙로 55</v>
          </cell>
          <cell r="G770" t="str">
            <v>432-6322</v>
          </cell>
        </row>
        <row r="771">
          <cell r="E771" t="str">
            <v>한국기술부사관고등학교</v>
          </cell>
          <cell r="F771" t="str">
            <v>진안군 진안읍 상역로 96</v>
          </cell>
          <cell r="G771" t="str">
            <v>433-2606</v>
          </cell>
        </row>
        <row r="772">
          <cell r="E772" t="str">
            <v>한국한방고등학교</v>
          </cell>
          <cell r="F772" t="str">
            <v>진안군 진안읍 임진로 2765</v>
          </cell>
          <cell r="G772" t="str">
            <v>433-9911</v>
          </cell>
        </row>
        <row r="773">
          <cell r="E773" t="str">
            <v>괴목초등학교</v>
          </cell>
          <cell r="F773" t="str">
            <v>무주군 적상면 괴목로 536-4</v>
          </cell>
          <cell r="G773" t="str">
            <v>324-3617</v>
          </cell>
        </row>
        <row r="774">
          <cell r="E774" t="str">
            <v>구천초등학교</v>
          </cell>
          <cell r="F774" t="str">
            <v>무주군 설천면 구천동로 898</v>
          </cell>
          <cell r="G774" t="str">
            <v>322-3065</v>
          </cell>
        </row>
        <row r="775">
          <cell r="E775" t="str">
            <v>무주고등학교</v>
          </cell>
          <cell r="F775" t="str">
            <v>무주군 무주읍 한수로 32</v>
          </cell>
          <cell r="G775" t="str">
            <v>322-2017</v>
          </cell>
        </row>
        <row r="776">
          <cell r="E776" t="str">
            <v>무주반디유치원</v>
          </cell>
          <cell r="F776" t="str">
            <v>무주군 무주읍 무설로 127</v>
          </cell>
          <cell r="G776" t="str">
            <v>324-2631</v>
          </cell>
        </row>
        <row r="777">
          <cell r="E777" t="str">
            <v>무주중앙초등학교</v>
          </cell>
          <cell r="F777" t="str">
            <v>무주군 무주읍 향학로 87</v>
          </cell>
          <cell r="G777" t="str">
            <v>322-2419</v>
          </cell>
        </row>
        <row r="778">
          <cell r="E778" t="str">
            <v>무주중학교</v>
          </cell>
          <cell r="F778" t="str">
            <v>무주군 무주읍 신교로 1</v>
          </cell>
          <cell r="G778" t="str">
            <v>322-2018</v>
          </cell>
        </row>
        <row r="779">
          <cell r="E779" t="str">
            <v>무주초등학교</v>
          </cell>
          <cell r="F779" t="str">
            <v>무주군 무주읍 향한로 43</v>
          </cell>
          <cell r="G779" t="str">
            <v>322-2505</v>
          </cell>
        </row>
        <row r="780">
          <cell r="E780" t="str">
            <v>무풍초등학교</v>
          </cell>
          <cell r="F780" t="str">
            <v>무주군 무풍면 대덕산로 926</v>
          </cell>
          <cell r="G780" t="str">
            <v>324-4405</v>
          </cell>
        </row>
        <row r="781">
          <cell r="E781" t="str">
            <v>부남중학교</v>
          </cell>
          <cell r="F781" t="str">
            <v>무주군 부남면 대소길 10</v>
          </cell>
          <cell r="G781" t="str">
            <v>322-8286</v>
          </cell>
        </row>
        <row r="782">
          <cell r="E782" t="str">
            <v>부남초등학교</v>
          </cell>
          <cell r="F782" t="str">
            <v>무주군 부남면 대소길 10</v>
          </cell>
          <cell r="G782" t="str">
            <v>322-0029</v>
          </cell>
        </row>
        <row r="783">
          <cell r="E783" t="str">
            <v>설천고등학교</v>
          </cell>
          <cell r="F783" t="str">
            <v>무주군 설천면 하평지길 19</v>
          </cell>
          <cell r="G783" t="str">
            <v>324-7033</v>
          </cell>
        </row>
        <row r="784">
          <cell r="E784" t="str">
            <v>설천중학교</v>
          </cell>
          <cell r="F784" t="str">
            <v>무주군 설천면 하평지길 19</v>
          </cell>
          <cell r="G784" t="str">
            <v>324-7033</v>
          </cell>
        </row>
        <row r="785">
          <cell r="E785" t="str">
            <v>설천초등학교</v>
          </cell>
          <cell r="F785" t="str">
            <v>무주군 설천면 무설로 1599</v>
          </cell>
          <cell r="G785" t="str">
            <v>324-7005</v>
          </cell>
        </row>
        <row r="786">
          <cell r="E786" t="str">
            <v>안성고등학교</v>
          </cell>
          <cell r="F786" t="str">
            <v>무주군 안성면 구량천로 147</v>
          </cell>
          <cell r="G786" t="str">
            <v>323-0274</v>
          </cell>
        </row>
        <row r="787">
          <cell r="E787" t="str">
            <v>안성중학교</v>
          </cell>
          <cell r="F787" t="str">
            <v>무주군 안성면 구량천로 149</v>
          </cell>
          <cell r="G787" t="str">
            <v>323-0115</v>
          </cell>
        </row>
        <row r="788">
          <cell r="E788" t="str">
            <v>안성초등학교</v>
          </cell>
          <cell r="F788" t="str">
            <v>무주군 안성면 칠연로 58</v>
          </cell>
          <cell r="G788" t="str">
            <v>323-2013</v>
          </cell>
        </row>
        <row r="789">
          <cell r="E789" t="str">
            <v>적상중학교</v>
          </cell>
          <cell r="F789" t="str">
            <v>무주군 적상면 여용로 269</v>
          </cell>
          <cell r="G789" t="str">
            <v>324-6011</v>
          </cell>
        </row>
        <row r="790">
          <cell r="E790" t="str">
            <v>적상초등학교</v>
          </cell>
          <cell r="F790" t="str">
            <v>무주군 적상면 삼가로 16</v>
          </cell>
          <cell r="G790" t="str">
            <v>324-6007</v>
          </cell>
        </row>
        <row r="791">
          <cell r="E791" t="str">
            <v>푸른꿈고등학교</v>
          </cell>
          <cell r="F791" t="str">
            <v>무주군안성면진성로23129</v>
          </cell>
          <cell r="G791" t="str">
            <v>323-2058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사용설명서"/>
      <sheetName val="기초자료입력"/>
      <sheetName val="계약방법안내"/>
      <sheetName val="입찰계약절차안내"/>
      <sheetName val="서식선택_출력"/>
      <sheetName val="학교검색"/>
      <sheetName val="학교정보"/>
      <sheetName val="DB"/>
      <sheetName val="DB_품목"/>
      <sheetName val="DB_업체"/>
      <sheetName val="DB_위원"/>
      <sheetName val="DB_평가"/>
      <sheetName val="F-001_위원회구성기안"/>
      <sheetName val="F-002_위원수락확인서"/>
      <sheetName val="F-003_위원청렴보안서약서"/>
      <sheetName val="F-004_구매추진계획수립기안문"/>
      <sheetName val="F-005_구매추진계획안"/>
      <sheetName val="F-006_운영위원회심의안"/>
      <sheetName val="F-007_구매요청기안문"/>
      <sheetName val="F-008_교복사양서"/>
      <sheetName val="F-009_기초금액계약방법결정"/>
      <sheetName val="F-010_사전규격공개기안문"/>
      <sheetName val="F-011_입찰공고"/>
      <sheetName val="F-012_계약특수조건"/>
      <sheetName val="F-014_평가항목배점기준"/>
      <sheetName val="F-015_정량적평가"/>
      <sheetName val="F-016_정성적평가"/>
      <sheetName val="F-017_제출서류자기확인서"/>
      <sheetName val="F-018_정량적평가자기평점표"/>
      <sheetName val="F-019_입찰참가신청서"/>
      <sheetName val="F-020_입찰참가신고서"/>
      <sheetName val="F-021_교복납품제안서"/>
      <sheetName val="F-022_교복납품실적표"/>
      <sheetName val="F-023_교복제조사양서"/>
      <sheetName val="F-024_단가비율표"/>
      <sheetName val="F-025_교복AS계획서"/>
      <sheetName val="F-027_위임장"/>
      <sheetName val="F-029_개인정보제공동의서"/>
      <sheetName val="F-030_청렴계약이행서약서"/>
      <sheetName val="F-031_교복품목별금액표"/>
      <sheetName val="F-032_제안서접수결과"/>
      <sheetName val="F-033_제안서접수대장"/>
      <sheetName val="F-034_평가위원회개최"/>
      <sheetName val="F-035_정량평가결과"/>
      <sheetName val="F-036_제안서평가결과"/>
      <sheetName val="F-037_평가위원회참석등록부"/>
      <sheetName val="F-038_업체참가등록부"/>
      <sheetName val="F-039_업체별제안서평가표"/>
      <sheetName val="F-040_위원청렴보안서약서"/>
      <sheetName val="F-041_낙찰자결정"/>
      <sheetName val="F-042_낙찰자결정통보"/>
      <sheetName val="F-043_계약체결"/>
      <sheetName val="F-044_사전안내가정통신문안내"/>
      <sheetName val="F-045_사전안내가정통신문"/>
      <sheetName val="F-046_수요조사가정통신문안내"/>
      <sheetName val="F-047_수요조사가정통신문"/>
      <sheetName val="F-048_교복구매안내신청수량파악"/>
      <sheetName val="F-049_만족도설문조사실시"/>
      <sheetName val="F-050_만족도조사설문지"/>
      <sheetName val="DB_자기평점"/>
      <sheetName val="DB_정성평가"/>
      <sheetName val="DB_정량평가"/>
    </sheetNames>
    <sheetDataSet>
      <sheetData sheetId="0"/>
      <sheetData sheetId="1"/>
      <sheetData sheetId="2"/>
      <sheetData sheetId="3"/>
      <sheetData sheetId="4">
        <row r="5">
          <cell r="B5" t="str">
            <v>F-001</v>
          </cell>
        </row>
        <row r="7">
          <cell r="B7" t="str">
            <v>F-003</v>
          </cell>
          <cell r="C7" t="str">
            <v>위원 청렴 및 보안 서약서</v>
          </cell>
        </row>
        <row r="8">
          <cell r="B8" t="str">
            <v>F-004</v>
          </cell>
          <cell r="C8" t="str">
            <v>구매 추진 계획 수립</v>
          </cell>
        </row>
        <row r="9">
          <cell r="B9" t="str">
            <v>F-005</v>
          </cell>
          <cell r="C9" t="str">
            <v>구매 추진 계획안</v>
          </cell>
        </row>
        <row r="10">
          <cell r="B10" t="str">
            <v>F-006</v>
          </cell>
          <cell r="C10" t="str">
            <v>학교운영위원회 심의(안)</v>
          </cell>
        </row>
        <row r="11">
          <cell r="B11" t="str">
            <v>F-007</v>
          </cell>
          <cell r="C11" t="str">
            <v>교복구매 구매 요청</v>
          </cell>
        </row>
        <row r="12">
          <cell r="B12" t="str">
            <v>F-008</v>
          </cell>
          <cell r="C12" t="str">
            <v>교복 사양서</v>
          </cell>
        </row>
        <row r="13">
          <cell r="B13" t="str">
            <v>F-009</v>
          </cell>
          <cell r="C13" t="str">
            <v>기초금액 및 계약방법 결정</v>
          </cell>
        </row>
        <row r="14">
          <cell r="B14" t="str">
            <v>F-010</v>
          </cell>
          <cell r="C14" t="str">
            <v>사전규격공개 기안문</v>
          </cell>
        </row>
        <row r="15">
          <cell r="B15" t="str">
            <v>F-011</v>
          </cell>
          <cell r="C15" t="str">
            <v>교복 학교주관구매 입찰 공고</v>
          </cell>
        </row>
        <row r="16">
          <cell r="B16" t="str">
            <v>F-012</v>
          </cell>
          <cell r="C16" t="str">
            <v>계약 특수조건</v>
          </cell>
        </row>
        <row r="17">
          <cell r="B17" t="str">
            <v>F-013</v>
          </cell>
          <cell r="C17" t="str">
            <v>교복 디자인 및 규격서</v>
          </cell>
        </row>
        <row r="18">
          <cell r="B18" t="str">
            <v>F-014</v>
          </cell>
          <cell r="C18" t="str">
            <v>제안서 평가항목 및 배점기준</v>
          </cell>
        </row>
        <row r="19">
          <cell r="B19" t="str">
            <v>F-015</v>
          </cell>
          <cell r="C19" t="str">
            <v>정량적 평가</v>
          </cell>
        </row>
        <row r="20">
          <cell r="B20" t="str">
            <v>F-016</v>
          </cell>
          <cell r="C20" t="str">
            <v>정성적 평가</v>
          </cell>
        </row>
        <row r="21">
          <cell r="B21" t="str">
            <v>F-017</v>
          </cell>
          <cell r="C21" t="str">
            <v>제출서류 자기확인서</v>
          </cell>
        </row>
        <row r="22">
          <cell r="B22" t="str">
            <v>F-018</v>
          </cell>
          <cell r="C22" t="str">
            <v>정량적 평가 자기 평점표</v>
          </cell>
        </row>
        <row r="23">
          <cell r="B23" t="str">
            <v>F-019</v>
          </cell>
          <cell r="C23" t="str">
            <v>입찰참가신청서</v>
          </cell>
        </row>
        <row r="24">
          <cell r="B24" t="str">
            <v>F-020</v>
          </cell>
          <cell r="C24" t="str">
            <v>입찰 참가 신고서</v>
          </cell>
        </row>
        <row r="25">
          <cell r="B25" t="str">
            <v>F-021</v>
          </cell>
          <cell r="C25" t="str">
            <v>교복 납품 제안서</v>
          </cell>
        </row>
        <row r="26">
          <cell r="B26" t="str">
            <v>F-022</v>
          </cell>
          <cell r="C26" t="str">
            <v>교복 납품 실적표</v>
          </cell>
        </row>
        <row r="27">
          <cell r="B27" t="str">
            <v>F-023</v>
          </cell>
          <cell r="C27" t="str">
            <v>교복 제조 사양서</v>
          </cell>
        </row>
        <row r="28">
          <cell r="B28" t="str">
            <v>F-024</v>
          </cell>
          <cell r="C28" t="str">
            <v>품목별 단가 비율표</v>
          </cell>
        </row>
        <row r="29">
          <cell r="B29" t="str">
            <v>F-025</v>
          </cell>
          <cell r="C29" t="str">
            <v>교복 A/S 계획서</v>
          </cell>
        </row>
        <row r="30">
          <cell r="B30" t="str">
            <v>F-026</v>
          </cell>
          <cell r="C30" t="str">
            <v>소비자 불만 처리 계획</v>
          </cell>
        </row>
        <row r="31">
          <cell r="B31" t="str">
            <v>F-027</v>
          </cell>
          <cell r="C31" t="str">
            <v>위임장</v>
          </cell>
        </row>
        <row r="32">
          <cell r="B32" t="str">
            <v>F-028</v>
          </cell>
          <cell r="C32" t="str">
            <v>서약서</v>
          </cell>
        </row>
        <row r="33">
          <cell r="B33" t="str">
            <v>F-029</v>
          </cell>
          <cell r="C33" t="str">
            <v>개인정보제공 동의서</v>
          </cell>
        </row>
        <row r="34">
          <cell r="B34" t="str">
            <v>F-030</v>
          </cell>
          <cell r="C34" t="str">
            <v>청렴계약 이행서약서</v>
          </cell>
        </row>
        <row r="35">
          <cell r="B35" t="str">
            <v>F-031</v>
          </cell>
          <cell r="C35" t="str">
            <v>교복 품목별 금액표</v>
          </cell>
        </row>
        <row r="36">
          <cell r="B36" t="str">
            <v>F-032</v>
          </cell>
          <cell r="C36" t="str">
            <v>제안서 접수 결과</v>
          </cell>
        </row>
        <row r="37">
          <cell r="B37" t="str">
            <v>F-033</v>
          </cell>
          <cell r="C37" t="str">
            <v>제안서 접수대장</v>
          </cell>
        </row>
        <row r="38">
          <cell r="B38" t="str">
            <v>F-034</v>
          </cell>
          <cell r="C38" t="str">
            <v>제안서 평가위원회 개최</v>
          </cell>
        </row>
        <row r="39">
          <cell r="B39" t="str">
            <v>F-035</v>
          </cell>
          <cell r="C39" t="str">
            <v>제안서 정량평가 결과</v>
          </cell>
        </row>
        <row r="40">
          <cell r="B40" t="str">
            <v>F-036</v>
          </cell>
          <cell r="C40" t="str">
            <v>제안서 평가 결과</v>
          </cell>
        </row>
        <row r="41">
          <cell r="B41" t="str">
            <v>F-037</v>
          </cell>
          <cell r="C41" t="str">
            <v>평가위원회 참석 등록부</v>
          </cell>
        </row>
        <row r="42">
          <cell r="B42" t="str">
            <v>F-038</v>
          </cell>
          <cell r="C42" t="str">
            <v>업체 참가 등록부</v>
          </cell>
        </row>
        <row r="43">
          <cell r="B43" t="str">
            <v>F-039</v>
          </cell>
          <cell r="C43" t="str">
            <v>업체별 제안서 평가표</v>
          </cell>
        </row>
        <row r="44">
          <cell r="B44" t="str">
            <v>F-040</v>
          </cell>
          <cell r="C44" t="str">
            <v>위원 청렴 및 보안 서약서</v>
          </cell>
        </row>
        <row r="45">
          <cell r="B45" t="str">
            <v>F-041</v>
          </cell>
          <cell r="C45" t="str">
            <v>낙찰자 결정</v>
          </cell>
        </row>
        <row r="46">
          <cell r="B46" t="str">
            <v>F-042</v>
          </cell>
          <cell r="C46" t="str">
            <v>낙찰자 결정 통보</v>
          </cell>
        </row>
        <row r="47">
          <cell r="B47" t="str">
            <v>F-043</v>
          </cell>
          <cell r="C47" t="str">
            <v>계약체결</v>
          </cell>
        </row>
        <row r="48">
          <cell r="B48" t="str">
            <v>F-044</v>
          </cell>
          <cell r="C48" t="str">
            <v>사전 안내 가정통신문 안내</v>
          </cell>
        </row>
        <row r="49">
          <cell r="B49" t="str">
            <v>F-045</v>
          </cell>
          <cell r="C49" t="str">
            <v>교복구매 사전 안내 가정통신문</v>
          </cell>
        </row>
        <row r="50">
          <cell r="B50" t="str">
            <v>F-046</v>
          </cell>
          <cell r="C50" t="str">
            <v>수요조사 가정통신문 안내</v>
          </cell>
        </row>
        <row r="51">
          <cell r="B51" t="str">
            <v>F-047</v>
          </cell>
          <cell r="C51" t="str">
            <v>교복구매 수요조사 가정통신문</v>
          </cell>
        </row>
        <row r="52">
          <cell r="B52" t="str">
            <v>F-048</v>
          </cell>
          <cell r="C52" t="str">
            <v>교복 구매 안내(신청 수량 파악)</v>
          </cell>
        </row>
        <row r="53">
          <cell r="B53" t="str">
            <v>F-049</v>
          </cell>
          <cell r="C53" t="str">
            <v>만족도 설문조사 실시</v>
          </cell>
        </row>
        <row r="54">
          <cell r="B54" t="str">
            <v>F-050</v>
          </cell>
          <cell r="C54" t="str">
            <v>만족도 조사 설문지</v>
          </cell>
        </row>
        <row r="55">
          <cell r="B55" t="str">
            <v>F-051</v>
          </cell>
          <cell r="C55" t="str">
            <v>만족도 설문조사 결과</v>
          </cell>
        </row>
        <row r="56">
          <cell r="B56" t="str">
            <v>F-052</v>
          </cell>
          <cell r="C56" t="str">
            <v>만족도 조사 설문 결과 서식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63" Type="http://schemas.openxmlformats.org/officeDocument/2006/relationships/ctrlProp" Target="../ctrlProps/ctrlProp60.xml"/><Relationship Id="rId84" Type="http://schemas.openxmlformats.org/officeDocument/2006/relationships/ctrlProp" Target="../ctrlProps/ctrlProp81.xml"/><Relationship Id="rId138" Type="http://schemas.openxmlformats.org/officeDocument/2006/relationships/ctrlProp" Target="../ctrlProps/ctrlProp135.xml"/><Relationship Id="rId159" Type="http://schemas.openxmlformats.org/officeDocument/2006/relationships/ctrlProp" Target="../ctrlProps/ctrlProp156.xml"/><Relationship Id="rId170" Type="http://schemas.openxmlformats.org/officeDocument/2006/relationships/ctrlProp" Target="../ctrlProps/ctrlProp167.xml"/><Relationship Id="rId191" Type="http://schemas.openxmlformats.org/officeDocument/2006/relationships/ctrlProp" Target="../ctrlProps/ctrlProp188.xml"/><Relationship Id="rId205" Type="http://schemas.openxmlformats.org/officeDocument/2006/relationships/ctrlProp" Target="../ctrlProps/ctrlProp202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53" Type="http://schemas.openxmlformats.org/officeDocument/2006/relationships/ctrlProp" Target="../ctrlProps/ctrlProp50.xml"/><Relationship Id="rId74" Type="http://schemas.openxmlformats.org/officeDocument/2006/relationships/ctrlProp" Target="../ctrlProps/ctrlProp71.xml"/><Relationship Id="rId128" Type="http://schemas.openxmlformats.org/officeDocument/2006/relationships/ctrlProp" Target="../ctrlProps/ctrlProp125.xml"/><Relationship Id="rId149" Type="http://schemas.openxmlformats.org/officeDocument/2006/relationships/ctrlProp" Target="../ctrlProps/ctrlProp146.xml"/><Relationship Id="rId5" Type="http://schemas.openxmlformats.org/officeDocument/2006/relationships/ctrlProp" Target="../ctrlProps/ctrlProp2.xml"/><Relationship Id="rId95" Type="http://schemas.openxmlformats.org/officeDocument/2006/relationships/ctrlProp" Target="../ctrlProps/ctrlProp92.xml"/><Relationship Id="rId160" Type="http://schemas.openxmlformats.org/officeDocument/2006/relationships/ctrlProp" Target="../ctrlProps/ctrlProp157.xml"/><Relationship Id="rId181" Type="http://schemas.openxmlformats.org/officeDocument/2006/relationships/ctrlProp" Target="../ctrlProps/ctrlProp178.xml"/><Relationship Id="rId22" Type="http://schemas.openxmlformats.org/officeDocument/2006/relationships/ctrlProp" Target="../ctrlProps/ctrlProp19.xml"/><Relationship Id="rId43" Type="http://schemas.openxmlformats.org/officeDocument/2006/relationships/ctrlProp" Target="../ctrlProps/ctrlProp40.xml"/><Relationship Id="rId64" Type="http://schemas.openxmlformats.org/officeDocument/2006/relationships/ctrlProp" Target="../ctrlProps/ctrlProp61.xml"/><Relationship Id="rId118" Type="http://schemas.openxmlformats.org/officeDocument/2006/relationships/ctrlProp" Target="../ctrlProps/ctrlProp115.xml"/><Relationship Id="rId139" Type="http://schemas.openxmlformats.org/officeDocument/2006/relationships/ctrlProp" Target="../ctrlProps/ctrlProp136.xml"/><Relationship Id="rId85" Type="http://schemas.openxmlformats.org/officeDocument/2006/relationships/ctrlProp" Target="../ctrlProps/ctrlProp82.xml"/><Relationship Id="rId150" Type="http://schemas.openxmlformats.org/officeDocument/2006/relationships/ctrlProp" Target="../ctrlProps/ctrlProp147.xml"/><Relationship Id="rId171" Type="http://schemas.openxmlformats.org/officeDocument/2006/relationships/ctrlProp" Target="../ctrlProps/ctrlProp168.xml"/><Relationship Id="rId192" Type="http://schemas.openxmlformats.org/officeDocument/2006/relationships/ctrlProp" Target="../ctrlProps/ctrlProp189.xml"/><Relationship Id="rId206" Type="http://schemas.openxmlformats.org/officeDocument/2006/relationships/ctrlProp" Target="../ctrlProps/ctrlProp203.xml"/><Relationship Id="rId12" Type="http://schemas.openxmlformats.org/officeDocument/2006/relationships/ctrlProp" Target="../ctrlProps/ctrlProp9.xml"/><Relationship Id="rId33" Type="http://schemas.openxmlformats.org/officeDocument/2006/relationships/ctrlProp" Target="../ctrlProps/ctrlProp30.xml"/><Relationship Id="rId108" Type="http://schemas.openxmlformats.org/officeDocument/2006/relationships/ctrlProp" Target="../ctrlProps/ctrlProp105.xml"/><Relationship Id="rId129" Type="http://schemas.openxmlformats.org/officeDocument/2006/relationships/ctrlProp" Target="../ctrlProps/ctrlProp126.xml"/><Relationship Id="rId54" Type="http://schemas.openxmlformats.org/officeDocument/2006/relationships/ctrlProp" Target="../ctrlProps/ctrlProp51.xml"/><Relationship Id="rId75" Type="http://schemas.openxmlformats.org/officeDocument/2006/relationships/ctrlProp" Target="../ctrlProps/ctrlProp72.xml"/><Relationship Id="rId96" Type="http://schemas.openxmlformats.org/officeDocument/2006/relationships/ctrlProp" Target="../ctrlProps/ctrlProp93.xml"/><Relationship Id="rId140" Type="http://schemas.openxmlformats.org/officeDocument/2006/relationships/ctrlProp" Target="../ctrlProps/ctrlProp137.xml"/><Relationship Id="rId161" Type="http://schemas.openxmlformats.org/officeDocument/2006/relationships/ctrlProp" Target="../ctrlProps/ctrlProp158.xml"/><Relationship Id="rId182" Type="http://schemas.openxmlformats.org/officeDocument/2006/relationships/ctrlProp" Target="../ctrlProps/ctrlProp179.xml"/><Relationship Id="rId6" Type="http://schemas.openxmlformats.org/officeDocument/2006/relationships/ctrlProp" Target="../ctrlProps/ctrlProp3.xml"/><Relationship Id="rId23" Type="http://schemas.openxmlformats.org/officeDocument/2006/relationships/ctrlProp" Target="../ctrlProps/ctrlProp20.xml"/><Relationship Id="rId119" Type="http://schemas.openxmlformats.org/officeDocument/2006/relationships/ctrlProp" Target="../ctrlProps/ctrlProp116.xml"/><Relationship Id="rId44" Type="http://schemas.openxmlformats.org/officeDocument/2006/relationships/ctrlProp" Target="../ctrlProps/ctrlProp41.xml"/><Relationship Id="rId65" Type="http://schemas.openxmlformats.org/officeDocument/2006/relationships/ctrlProp" Target="../ctrlProps/ctrlProp62.xml"/><Relationship Id="rId86" Type="http://schemas.openxmlformats.org/officeDocument/2006/relationships/ctrlProp" Target="../ctrlProps/ctrlProp83.xml"/><Relationship Id="rId130" Type="http://schemas.openxmlformats.org/officeDocument/2006/relationships/ctrlProp" Target="../ctrlProps/ctrlProp127.xml"/><Relationship Id="rId151" Type="http://schemas.openxmlformats.org/officeDocument/2006/relationships/ctrlProp" Target="../ctrlProps/ctrlProp148.xml"/><Relationship Id="rId172" Type="http://schemas.openxmlformats.org/officeDocument/2006/relationships/ctrlProp" Target="../ctrlProps/ctrlProp169.xml"/><Relationship Id="rId193" Type="http://schemas.openxmlformats.org/officeDocument/2006/relationships/ctrlProp" Target="../ctrlProps/ctrlProp190.xml"/><Relationship Id="rId207" Type="http://schemas.openxmlformats.org/officeDocument/2006/relationships/ctrlProp" Target="../ctrlProps/ctrlProp204.xml"/><Relationship Id="rId13" Type="http://schemas.openxmlformats.org/officeDocument/2006/relationships/ctrlProp" Target="../ctrlProps/ctrlProp10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20" Type="http://schemas.openxmlformats.org/officeDocument/2006/relationships/ctrlProp" Target="../ctrlProps/ctrlProp117.xml"/><Relationship Id="rId141" Type="http://schemas.openxmlformats.org/officeDocument/2006/relationships/ctrlProp" Target="../ctrlProps/ctrlProp138.xml"/><Relationship Id="rId7" Type="http://schemas.openxmlformats.org/officeDocument/2006/relationships/ctrlProp" Target="../ctrlProps/ctrlProp4.xml"/><Relationship Id="rId162" Type="http://schemas.openxmlformats.org/officeDocument/2006/relationships/ctrlProp" Target="../ctrlProps/ctrlProp159.xml"/><Relationship Id="rId183" Type="http://schemas.openxmlformats.org/officeDocument/2006/relationships/ctrlProp" Target="../ctrlProps/ctrlProp180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131" Type="http://schemas.openxmlformats.org/officeDocument/2006/relationships/ctrlProp" Target="../ctrlProps/ctrlProp128.xml"/><Relationship Id="rId136" Type="http://schemas.openxmlformats.org/officeDocument/2006/relationships/ctrlProp" Target="../ctrlProps/ctrlProp133.xml"/><Relationship Id="rId157" Type="http://schemas.openxmlformats.org/officeDocument/2006/relationships/ctrlProp" Target="../ctrlProps/ctrlProp154.xml"/><Relationship Id="rId178" Type="http://schemas.openxmlformats.org/officeDocument/2006/relationships/ctrlProp" Target="../ctrlProps/ctrlProp175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52" Type="http://schemas.openxmlformats.org/officeDocument/2006/relationships/ctrlProp" Target="../ctrlProps/ctrlProp149.xml"/><Relationship Id="rId173" Type="http://schemas.openxmlformats.org/officeDocument/2006/relationships/ctrlProp" Target="../ctrlProps/ctrlProp170.xml"/><Relationship Id="rId194" Type="http://schemas.openxmlformats.org/officeDocument/2006/relationships/ctrlProp" Target="../ctrlProps/ctrlProp191.xml"/><Relationship Id="rId199" Type="http://schemas.openxmlformats.org/officeDocument/2006/relationships/ctrlProp" Target="../ctrlProps/ctrlProp196.xml"/><Relationship Id="rId203" Type="http://schemas.openxmlformats.org/officeDocument/2006/relationships/ctrlProp" Target="../ctrlProps/ctrlProp200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147" Type="http://schemas.openxmlformats.org/officeDocument/2006/relationships/ctrlProp" Target="../ctrlProps/ctrlProp144.xml"/><Relationship Id="rId168" Type="http://schemas.openxmlformats.org/officeDocument/2006/relationships/ctrlProp" Target="../ctrlProps/ctrlProp165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142" Type="http://schemas.openxmlformats.org/officeDocument/2006/relationships/ctrlProp" Target="../ctrlProps/ctrlProp139.xml"/><Relationship Id="rId163" Type="http://schemas.openxmlformats.org/officeDocument/2006/relationships/ctrlProp" Target="../ctrlProps/ctrlProp160.xml"/><Relationship Id="rId184" Type="http://schemas.openxmlformats.org/officeDocument/2006/relationships/ctrlProp" Target="../ctrlProps/ctrlProp181.xml"/><Relationship Id="rId189" Type="http://schemas.openxmlformats.org/officeDocument/2006/relationships/ctrlProp" Target="../ctrlProps/ctrlProp186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116" Type="http://schemas.openxmlformats.org/officeDocument/2006/relationships/ctrlProp" Target="../ctrlProps/ctrlProp113.xml"/><Relationship Id="rId137" Type="http://schemas.openxmlformats.org/officeDocument/2006/relationships/ctrlProp" Target="../ctrlProps/ctrlProp134.xml"/><Relationship Id="rId158" Type="http://schemas.openxmlformats.org/officeDocument/2006/relationships/ctrlProp" Target="../ctrlProps/ctrlProp155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32" Type="http://schemas.openxmlformats.org/officeDocument/2006/relationships/ctrlProp" Target="../ctrlProps/ctrlProp129.xml"/><Relationship Id="rId153" Type="http://schemas.openxmlformats.org/officeDocument/2006/relationships/ctrlProp" Target="../ctrlProps/ctrlProp150.xml"/><Relationship Id="rId174" Type="http://schemas.openxmlformats.org/officeDocument/2006/relationships/ctrlProp" Target="../ctrlProps/ctrlProp171.xml"/><Relationship Id="rId179" Type="http://schemas.openxmlformats.org/officeDocument/2006/relationships/ctrlProp" Target="../ctrlProps/ctrlProp176.xml"/><Relationship Id="rId195" Type="http://schemas.openxmlformats.org/officeDocument/2006/relationships/ctrlProp" Target="../ctrlProps/ctrlProp192.xml"/><Relationship Id="rId190" Type="http://schemas.openxmlformats.org/officeDocument/2006/relationships/ctrlProp" Target="../ctrlProps/ctrlProp187.xml"/><Relationship Id="rId204" Type="http://schemas.openxmlformats.org/officeDocument/2006/relationships/ctrlProp" Target="../ctrlProps/ctrlProp201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143" Type="http://schemas.openxmlformats.org/officeDocument/2006/relationships/ctrlProp" Target="../ctrlProps/ctrlProp140.xml"/><Relationship Id="rId148" Type="http://schemas.openxmlformats.org/officeDocument/2006/relationships/ctrlProp" Target="../ctrlProps/ctrlProp145.xml"/><Relationship Id="rId164" Type="http://schemas.openxmlformats.org/officeDocument/2006/relationships/ctrlProp" Target="../ctrlProps/ctrlProp161.xml"/><Relationship Id="rId169" Type="http://schemas.openxmlformats.org/officeDocument/2006/relationships/ctrlProp" Target="../ctrlProps/ctrlProp166.xml"/><Relationship Id="rId185" Type="http://schemas.openxmlformats.org/officeDocument/2006/relationships/ctrlProp" Target="../ctrlProps/ctrlProp18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80" Type="http://schemas.openxmlformats.org/officeDocument/2006/relationships/ctrlProp" Target="../ctrlProps/ctrlProp177.xml"/><Relationship Id="rId26" Type="http://schemas.openxmlformats.org/officeDocument/2006/relationships/ctrlProp" Target="../ctrlProps/ctrlProp23.xml"/><Relationship Id="rId47" Type="http://schemas.openxmlformats.org/officeDocument/2006/relationships/ctrlProp" Target="../ctrlProps/ctrlProp44.xml"/><Relationship Id="rId68" Type="http://schemas.openxmlformats.org/officeDocument/2006/relationships/ctrlProp" Target="../ctrlProps/ctrlProp65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33" Type="http://schemas.openxmlformats.org/officeDocument/2006/relationships/ctrlProp" Target="../ctrlProps/ctrlProp130.xml"/><Relationship Id="rId154" Type="http://schemas.openxmlformats.org/officeDocument/2006/relationships/ctrlProp" Target="../ctrlProps/ctrlProp151.xml"/><Relationship Id="rId175" Type="http://schemas.openxmlformats.org/officeDocument/2006/relationships/ctrlProp" Target="../ctrlProps/ctrlProp172.xml"/><Relationship Id="rId196" Type="http://schemas.openxmlformats.org/officeDocument/2006/relationships/ctrlProp" Target="../ctrlProps/ctrlProp193.xml"/><Relationship Id="rId200" Type="http://schemas.openxmlformats.org/officeDocument/2006/relationships/ctrlProp" Target="../ctrlProps/ctrlProp197.xml"/><Relationship Id="rId16" Type="http://schemas.openxmlformats.org/officeDocument/2006/relationships/ctrlProp" Target="../ctrlProps/ctrlProp13.xml"/><Relationship Id="rId37" Type="http://schemas.openxmlformats.org/officeDocument/2006/relationships/ctrlProp" Target="../ctrlProps/ctrlProp34.xml"/><Relationship Id="rId58" Type="http://schemas.openxmlformats.org/officeDocument/2006/relationships/ctrlProp" Target="../ctrlProps/ctrlProp55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44" Type="http://schemas.openxmlformats.org/officeDocument/2006/relationships/ctrlProp" Target="../ctrlProps/ctrlProp141.xml"/><Relationship Id="rId90" Type="http://schemas.openxmlformats.org/officeDocument/2006/relationships/ctrlProp" Target="../ctrlProps/ctrlProp87.xml"/><Relationship Id="rId165" Type="http://schemas.openxmlformats.org/officeDocument/2006/relationships/ctrlProp" Target="../ctrlProps/ctrlProp162.xml"/><Relationship Id="rId186" Type="http://schemas.openxmlformats.org/officeDocument/2006/relationships/ctrlProp" Target="../ctrlProps/ctrlProp183.xml"/><Relationship Id="rId27" Type="http://schemas.openxmlformats.org/officeDocument/2006/relationships/ctrlProp" Target="../ctrlProps/ctrlProp24.xml"/><Relationship Id="rId48" Type="http://schemas.openxmlformats.org/officeDocument/2006/relationships/ctrlProp" Target="../ctrlProps/ctrlProp45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34" Type="http://schemas.openxmlformats.org/officeDocument/2006/relationships/ctrlProp" Target="../ctrlProps/ctrlProp131.xml"/><Relationship Id="rId80" Type="http://schemas.openxmlformats.org/officeDocument/2006/relationships/ctrlProp" Target="../ctrlProps/ctrlProp77.xml"/><Relationship Id="rId155" Type="http://schemas.openxmlformats.org/officeDocument/2006/relationships/ctrlProp" Target="../ctrlProps/ctrlProp152.xml"/><Relationship Id="rId176" Type="http://schemas.openxmlformats.org/officeDocument/2006/relationships/ctrlProp" Target="../ctrlProps/ctrlProp173.xml"/><Relationship Id="rId197" Type="http://schemas.openxmlformats.org/officeDocument/2006/relationships/ctrlProp" Target="../ctrlProps/ctrlProp194.xml"/><Relationship Id="rId201" Type="http://schemas.openxmlformats.org/officeDocument/2006/relationships/ctrlProp" Target="../ctrlProps/ctrlProp198.xml"/><Relationship Id="rId17" Type="http://schemas.openxmlformats.org/officeDocument/2006/relationships/ctrlProp" Target="../ctrlProps/ctrlProp14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24" Type="http://schemas.openxmlformats.org/officeDocument/2006/relationships/ctrlProp" Target="../ctrlProps/ctrlProp121.xml"/><Relationship Id="rId70" Type="http://schemas.openxmlformats.org/officeDocument/2006/relationships/ctrlProp" Target="../ctrlProps/ctrlProp67.xml"/><Relationship Id="rId91" Type="http://schemas.openxmlformats.org/officeDocument/2006/relationships/ctrlProp" Target="../ctrlProps/ctrlProp88.xml"/><Relationship Id="rId145" Type="http://schemas.openxmlformats.org/officeDocument/2006/relationships/ctrlProp" Target="../ctrlProps/ctrlProp142.xml"/><Relationship Id="rId166" Type="http://schemas.openxmlformats.org/officeDocument/2006/relationships/ctrlProp" Target="../ctrlProps/ctrlProp163.xml"/><Relationship Id="rId187" Type="http://schemas.openxmlformats.org/officeDocument/2006/relationships/ctrlProp" Target="../ctrlProps/ctrlProp184.xml"/><Relationship Id="rId1" Type="http://schemas.openxmlformats.org/officeDocument/2006/relationships/printerSettings" Target="../printerSettings/printerSettings1.bin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60" Type="http://schemas.openxmlformats.org/officeDocument/2006/relationships/ctrlProp" Target="../ctrlProps/ctrlProp57.xml"/><Relationship Id="rId81" Type="http://schemas.openxmlformats.org/officeDocument/2006/relationships/ctrlProp" Target="../ctrlProps/ctrlProp78.xml"/><Relationship Id="rId135" Type="http://schemas.openxmlformats.org/officeDocument/2006/relationships/ctrlProp" Target="../ctrlProps/ctrlProp132.xml"/><Relationship Id="rId156" Type="http://schemas.openxmlformats.org/officeDocument/2006/relationships/ctrlProp" Target="../ctrlProps/ctrlProp153.xml"/><Relationship Id="rId177" Type="http://schemas.openxmlformats.org/officeDocument/2006/relationships/ctrlProp" Target="../ctrlProps/ctrlProp174.xml"/><Relationship Id="rId198" Type="http://schemas.openxmlformats.org/officeDocument/2006/relationships/ctrlProp" Target="../ctrlProps/ctrlProp195.xml"/><Relationship Id="rId202" Type="http://schemas.openxmlformats.org/officeDocument/2006/relationships/ctrlProp" Target="../ctrlProps/ctrlProp199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50" Type="http://schemas.openxmlformats.org/officeDocument/2006/relationships/ctrlProp" Target="../ctrlProps/ctrlProp47.xml"/><Relationship Id="rId104" Type="http://schemas.openxmlformats.org/officeDocument/2006/relationships/ctrlProp" Target="../ctrlProps/ctrlProp101.xml"/><Relationship Id="rId125" Type="http://schemas.openxmlformats.org/officeDocument/2006/relationships/ctrlProp" Target="../ctrlProps/ctrlProp122.xml"/><Relationship Id="rId146" Type="http://schemas.openxmlformats.org/officeDocument/2006/relationships/ctrlProp" Target="../ctrlProps/ctrlProp143.xml"/><Relationship Id="rId167" Type="http://schemas.openxmlformats.org/officeDocument/2006/relationships/ctrlProp" Target="../ctrlProps/ctrlProp164.xml"/><Relationship Id="rId188" Type="http://schemas.openxmlformats.org/officeDocument/2006/relationships/ctrlProp" Target="../ctrlProps/ctrlProp185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A6BDE-511B-4735-A46A-E8F984031DBA}">
  <sheetPr codeName="Sheet2"/>
  <dimension ref="A1:X82"/>
  <sheetViews>
    <sheetView tabSelected="1" workbookViewId="0">
      <selection activeCell="F17" sqref="F17"/>
    </sheetView>
  </sheetViews>
  <sheetFormatPr defaultRowHeight="17.399999999999999" x14ac:dyDescent="0.4"/>
  <cols>
    <col min="1" max="1" width="6.69921875" customWidth="1"/>
    <col min="2" max="3" width="20.69921875" customWidth="1"/>
    <col min="4" max="4" width="14.69921875" customWidth="1"/>
    <col min="5" max="6" width="16.69921875" customWidth="1"/>
    <col min="14" max="15" width="16.69921875" customWidth="1"/>
    <col min="16" max="16" width="15.69921875" customWidth="1"/>
    <col min="17" max="17" width="17.69921875" customWidth="1"/>
    <col min="18" max="18" width="13.69921875" customWidth="1"/>
    <col min="19" max="19" width="16.69921875" customWidth="1"/>
    <col min="20" max="20" width="8.69921875" customWidth="1"/>
    <col min="21" max="21" width="10.69921875" customWidth="1"/>
    <col min="22" max="22" width="30.69921875" customWidth="1"/>
    <col min="23" max="23" width="9.69921875" customWidth="1"/>
    <col min="24" max="24" width="14.69921875" customWidth="1"/>
  </cols>
  <sheetData>
    <row r="1" spans="1:23" ht="20.399999999999999" x14ac:dyDescent="0.4">
      <c r="A1" s="1" t="s">
        <v>0</v>
      </c>
      <c r="B1" s="2"/>
      <c r="C1" s="2"/>
      <c r="D1" s="2"/>
      <c r="E1" s="2"/>
      <c r="F1" s="2"/>
      <c r="G1" s="3" t="s">
        <v>1</v>
      </c>
      <c r="H1">
        <v>2</v>
      </c>
      <c r="T1" s="4" t="s">
        <v>2</v>
      </c>
      <c r="U1" s="4"/>
      <c r="V1" s="4"/>
      <c r="W1" s="4"/>
    </row>
    <row r="2" spans="1:23" x14ac:dyDescent="0.4">
      <c r="H2" s="5" t="s">
        <v>3</v>
      </c>
      <c r="I2" s="2"/>
      <c r="J2" s="2"/>
      <c r="K2" s="2"/>
      <c r="L2" s="2"/>
    </row>
    <row r="3" spans="1:23" x14ac:dyDescent="0.4">
      <c r="B3" s="5" t="s">
        <v>4</v>
      </c>
    </row>
    <row r="4" spans="1:23" x14ac:dyDescent="0.4">
      <c r="A4" s="6" t="s">
        <v>5</v>
      </c>
      <c r="B4" t="s">
        <v>6</v>
      </c>
      <c r="C4" s="7" t="s">
        <v>7</v>
      </c>
      <c r="E4" s="5" t="s">
        <v>8</v>
      </c>
      <c r="F4" s="8" t="str">
        <f>IFERROR(INDEX([1]학교정보!$F$2:$F$791,MATCH($C$4,[1]학교정보!$E$2:$E$791,0)),"")</f>
        <v>전주시 완산구 권삼득로 2</v>
      </c>
      <c r="G4" s="8"/>
      <c r="H4" s="8"/>
      <c r="T4" s="9" t="s">
        <v>9</v>
      </c>
      <c r="U4" s="9" t="s">
        <v>10</v>
      </c>
      <c r="V4" s="9" t="s">
        <v>11</v>
      </c>
      <c r="W4" s="9" t="s">
        <v>12</v>
      </c>
    </row>
    <row r="5" spans="1:23" x14ac:dyDescent="0.4">
      <c r="A5" s="6" t="s">
        <v>13</v>
      </c>
      <c r="B5" t="s">
        <v>14</v>
      </c>
      <c r="C5" s="10">
        <v>2026</v>
      </c>
      <c r="E5" s="5" t="s">
        <v>15</v>
      </c>
      <c r="F5" s="8" t="str">
        <f>IFERROR(INDEX([1]학교정보!$G$2:$G$791,MATCH($C$4,[1]학교정보!$E$2:$E$791,0)),"")</f>
        <v>285-0212</v>
      </c>
      <c r="G5" s="8"/>
      <c r="H5" s="8"/>
      <c r="T5" s="11"/>
      <c r="U5" s="11" t="str">
        <f>[1]서식선택_출력!B5</f>
        <v>F-001</v>
      </c>
      <c r="V5" s="11" t="str">
        <f>[1]서식선택_출력!C5</f>
        <v>교복선정위원회 구성 기안</v>
      </c>
      <c r="W5" s="11"/>
    </row>
    <row r="6" spans="1:23" x14ac:dyDescent="0.4">
      <c r="A6" s="6" t="s">
        <v>16</v>
      </c>
      <c r="B6" t="s">
        <v>17</v>
      </c>
      <c r="C6" s="7" t="s">
        <v>18</v>
      </c>
      <c r="T6" s="11"/>
      <c r="U6" s="11" t="str">
        <f>[1]서식선택_출력!B6</f>
        <v>F-002</v>
      </c>
      <c r="V6" s="11" t="str">
        <f>[1]서식선택_출력!C6</f>
        <v>위원 수락 및 확인서</v>
      </c>
      <c r="W6" s="11"/>
    </row>
    <row r="7" spans="1:23" x14ac:dyDescent="0.4">
      <c r="A7" s="6" t="s">
        <v>19</v>
      </c>
      <c r="B7" t="s">
        <v>20</v>
      </c>
      <c r="C7" s="7" t="s">
        <v>21</v>
      </c>
      <c r="T7" s="11"/>
      <c r="U7" s="11" t="str">
        <f>[2]서식선택_출력!B7</f>
        <v>F-003</v>
      </c>
      <c r="V7" s="11" t="str">
        <f>[2]서식선택_출력!C7</f>
        <v>위원 청렴 및 보안 서약서</v>
      </c>
      <c r="W7" s="11"/>
    </row>
    <row r="8" spans="1:23" x14ac:dyDescent="0.4">
      <c r="A8" s="6" t="s">
        <v>22</v>
      </c>
      <c r="B8" t="s">
        <v>23</v>
      </c>
      <c r="C8" s="12">
        <v>46023</v>
      </c>
      <c r="T8" s="11"/>
      <c r="U8" s="11" t="str">
        <f>[2]서식선택_출력!B8</f>
        <v>F-004</v>
      </c>
      <c r="V8" s="11" t="str">
        <f>[2]서식선택_출력!C8</f>
        <v>구매 추진 계획 수립</v>
      </c>
      <c r="W8" s="11"/>
    </row>
    <row r="9" spans="1:23" x14ac:dyDescent="0.4">
      <c r="A9" s="6" t="s">
        <v>24</v>
      </c>
      <c r="B9" t="s">
        <v>25</v>
      </c>
      <c r="C9" s="7" t="s">
        <v>26</v>
      </c>
      <c r="T9" s="11"/>
      <c r="U9" s="11" t="str">
        <f>[2]서식선택_출력!B9</f>
        <v>F-005</v>
      </c>
      <c r="V9" s="11" t="str">
        <f>[2]서식선택_출력!C9</f>
        <v>구매 추진 계획안</v>
      </c>
      <c r="W9" s="11"/>
    </row>
    <row r="10" spans="1:23" x14ac:dyDescent="0.4">
      <c r="A10" s="6" t="s">
        <v>27</v>
      </c>
      <c r="B10" t="s">
        <v>28</v>
      </c>
      <c r="C10" s="7" t="s">
        <v>29</v>
      </c>
      <c r="D10" s="6" t="s">
        <v>30</v>
      </c>
      <c r="E10" t="s">
        <v>31</v>
      </c>
      <c r="F10" s="7" t="s">
        <v>32</v>
      </c>
      <c r="T10" s="11"/>
      <c r="U10" s="11" t="str">
        <f>[2]서식선택_출력!B10</f>
        <v>F-006</v>
      </c>
      <c r="V10" s="11" t="str">
        <f>[2]서식선택_출력!C10</f>
        <v>학교운영위원회 심의(안)</v>
      </c>
      <c r="W10" s="11"/>
    </row>
    <row r="11" spans="1:23" x14ac:dyDescent="0.4">
      <c r="B11" s="5" t="s">
        <v>33</v>
      </c>
      <c r="T11" s="11"/>
      <c r="U11" s="11" t="str">
        <f>[2]서식선택_출력!B11</f>
        <v>F-007</v>
      </c>
      <c r="V11" s="11" t="str">
        <f>[2]서식선택_출력!C11</f>
        <v>교복구매 구매 요청</v>
      </c>
      <c r="W11" s="11"/>
    </row>
    <row r="12" spans="1:23" x14ac:dyDescent="0.4">
      <c r="A12" s="6" t="s">
        <v>34</v>
      </c>
      <c r="B12" t="s">
        <v>35</v>
      </c>
      <c r="C12" s="7" t="s">
        <v>36</v>
      </c>
      <c r="T12" s="11"/>
      <c r="U12" s="11" t="str">
        <f>[2]서식선택_출력!B12</f>
        <v>F-008</v>
      </c>
      <c r="V12" s="11" t="str">
        <f>[2]서식선택_출력!C12</f>
        <v>교복 사양서</v>
      </c>
      <c r="W12" s="11"/>
    </row>
    <row r="13" spans="1:23" x14ac:dyDescent="0.4">
      <c r="A13" s="6" t="s">
        <v>37</v>
      </c>
      <c r="B13" t="s">
        <v>38</v>
      </c>
      <c r="C13" s="7">
        <v>1</v>
      </c>
      <c r="T13" s="11"/>
      <c r="U13" s="11" t="str">
        <f>[2]서식선택_출력!B13</f>
        <v>F-009</v>
      </c>
      <c r="V13" s="11" t="str">
        <f>[2]서식선택_출력!C13</f>
        <v>기초금액 및 계약방법 결정</v>
      </c>
      <c r="W13" s="11"/>
    </row>
    <row r="14" spans="1:23" x14ac:dyDescent="0.4">
      <c r="A14" s="6" t="s">
        <v>39</v>
      </c>
      <c r="B14" t="s">
        <v>40</v>
      </c>
      <c r="C14" s="7" t="s">
        <v>41</v>
      </c>
      <c r="T14" s="11"/>
      <c r="U14" s="11" t="str">
        <f>[2]서식선택_출력!B14</f>
        <v>F-010</v>
      </c>
      <c r="V14" s="11" t="str">
        <f>[2]서식선택_출력!C14</f>
        <v>사전규격공개 기안문</v>
      </c>
      <c r="W14" s="11"/>
    </row>
    <row r="15" spans="1:23" x14ac:dyDescent="0.4">
      <c r="A15" s="6" t="s">
        <v>42</v>
      </c>
      <c r="B15" t="s">
        <v>43</v>
      </c>
      <c r="C15" s="13">
        <v>20000000</v>
      </c>
      <c r="T15" s="11"/>
      <c r="U15" s="11" t="str">
        <f>[2]서식선택_출력!B15</f>
        <v>F-011</v>
      </c>
      <c r="V15" s="11" t="str">
        <f>[2]서식선택_출력!C15</f>
        <v>교복 학교주관구매 입찰 공고</v>
      </c>
      <c r="W15" s="11"/>
    </row>
    <row r="16" spans="1:23" x14ac:dyDescent="0.4">
      <c r="A16" s="6" t="s">
        <v>44</v>
      </c>
      <c r="B16" t="s">
        <v>45</v>
      </c>
      <c r="C16" s="10">
        <v>200</v>
      </c>
      <c r="T16" s="11"/>
      <c r="U16" s="11" t="str">
        <f>[2]서식선택_출력!B16</f>
        <v>F-012</v>
      </c>
      <c r="V16" s="11" t="str">
        <f>[2]서식선택_출력!C16</f>
        <v>계약 특수조건</v>
      </c>
      <c r="W16" s="11"/>
    </row>
    <row r="17" spans="1:23" x14ac:dyDescent="0.4">
      <c r="A17" s="6" t="s">
        <v>46</v>
      </c>
      <c r="B17" t="s">
        <v>47</v>
      </c>
      <c r="C17" s="12">
        <v>46388</v>
      </c>
      <c r="T17" s="11"/>
      <c r="U17" s="11" t="str">
        <f>[2]서식선택_출력!B17</f>
        <v>F-013</v>
      </c>
      <c r="V17" s="11" t="str">
        <f>[2]서식선택_출력!C17</f>
        <v>교복 디자인 및 규격서</v>
      </c>
      <c r="W17" s="11"/>
    </row>
    <row r="18" spans="1:23" x14ac:dyDescent="0.4">
      <c r="A18" s="6" t="s">
        <v>48</v>
      </c>
      <c r="B18" t="s">
        <v>49</v>
      </c>
      <c r="C18" s="12">
        <v>46388</v>
      </c>
      <c r="T18" s="11"/>
      <c r="U18" s="11" t="str">
        <f>[2]서식선택_출력!B18</f>
        <v>F-014</v>
      </c>
      <c r="V18" s="11" t="str">
        <f>[2]서식선택_출력!C18</f>
        <v>제안서 평가항목 및 배점기준</v>
      </c>
      <c r="W18" s="11"/>
    </row>
    <row r="19" spans="1:23" x14ac:dyDescent="0.4">
      <c r="T19" s="11"/>
      <c r="U19" s="11" t="str">
        <f>[2]서식선택_출력!B19</f>
        <v>F-015</v>
      </c>
      <c r="V19" s="11" t="str">
        <f>[2]서식선택_출력!C19</f>
        <v>정량적 평가</v>
      </c>
      <c r="W19" s="11"/>
    </row>
    <row r="20" spans="1:23" x14ac:dyDescent="0.4">
      <c r="B20" s="5" t="s">
        <v>50</v>
      </c>
      <c r="T20" s="11"/>
      <c r="U20" s="11" t="str">
        <f>[2]서식선택_출력!B20</f>
        <v>F-016</v>
      </c>
      <c r="V20" s="11" t="str">
        <f>[2]서식선택_출력!C20</f>
        <v>정성적 평가</v>
      </c>
      <c r="W20" s="11"/>
    </row>
    <row r="21" spans="1:23" x14ac:dyDescent="0.4">
      <c r="A21" s="6" t="s">
        <v>51</v>
      </c>
      <c r="B21" t="s">
        <v>52</v>
      </c>
      <c r="C21" s="7"/>
      <c r="T21" s="11"/>
      <c r="U21" s="11" t="str">
        <f>[2]서식선택_출력!B21</f>
        <v>F-017</v>
      </c>
      <c r="V21" s="11" t="str">
        <f>[2]서식선택_출력!C21</f>
        <v>제출서류 자기확인서</v>
      </c>
      <c r="W21" s="11"/>
    </row>
    <row r="22" spans="1:23" x14ac:dyDescent="0.4">
      <c r="A22" s="6" t="s">
        <v>53</v>
      </c>
      <c r="B22" t="s">
        <v>54</v>
      </c>
      <c r="C22" s="7" t="s">
        <v>36</v>
      </c>
      <c r="T22" s="11"/>
      <c r="U22" s="11" t="str">
        <f>[2]서식선택_출력!B22</f>
        <v>F-018</v>
      </c>
      <c r="V22" s="11" t="str">
        <f>[2]서식선택_출력!C22</f>
        <v>정량적 평가 자기 평점표</v>
      </c>
      <c r="W22" s="11"/>
    </row>
    <row r="23" spans="1:23" x14ac:dyDescent="0.4">
      <c r="A23" s="6" t="s">
        <v>55</v>
      </c>
      <c r="B23" t="s">
        <v>56</v>
      </c>
      <c r="C23" s="7" t="s">
        <v>26</v>
      </c>
      <c r="T23" s="11"/>
      <c r="U23" s="11" t="str">
        <f>[2]서식선택_출력!B23</f>
        <v>F-019</v>
      </c>
      <c r="V23" s="11" t="str">
        <f>[2]서식선택_출력!C23</f>
        <v>입찰참가신청서</v>
      </c>
      <c r="W23" s="11"/>
    </row>
    <row r="24" spans="1:23" x14ac:dyDescent="0.4">
      <c r="A24" s="6" t="s">
        <v>57</v>
      </c>
      <c r="B24" t="s">
        <v>58</v>
      </c>
      <c r="C24" s="7"/>
      <c r="T24" s="11"/>
      <c r="U24" s="11" t="str">
        <f>[2]서식선택_출력!B24</f>
        <v>F-020</v>
      </c>
      <c r="V24" s="11" t="str">
        <f>[2]서식선택_출력!C24</f>
        <v>입찰 참가 신고서</v>
      </c>
      <c r="W24" s="11"/>
    </row>
    <row r="25" spans="1:23" ht="60" customHeight="1" x14ac:dyDescent="0.4">
      <c r="A25" s="6" t="s">
        <v>59</v>
      </c>
      <c r="B25" t="s">
        <v>60</v>
      </c>
      <c r="C25" s="14"/>
      <c r="D25" s="15"/>
      <c r="E25" s="15"/>
      <c r="F25" s="15"/>
      <c r="T25" s="11"/>
      <c r="U25" s="11" t="str">
        <f>[2]서식선택_출력!B25</f>
        <v>F-021</v>
      </c>
      <c r="V25" s="11" t="str">
        <f>[2]서식선택_출력!C25</f>
        <v>교복 납품 제안서</v>
      </c>
      <c r="W25" s="11"/>
    </row>
    <row r="26" spans="1:23" x14ac:dyDescent="0.4">
      <c r="T26" s="11"/>
      <c r="U26" s="11" t="str">
        <f>[2]서식선택_출력!B26</f>
        <v>F-022</v>
      </c>
      <c r="V26" s="11" t="str">
        <f>[2]서식선택_출력!C26</f>
        <v>교복 납품 실적표</v>
      </c>
      <c r="W26" s="11"/>
    </row>
    <row r="27" spans="1:23" x14ac:dyDescent="0.4">
      <c r="B27" s="5" t="s">
        <v>61</v>
      </c>
      <c r="T27" s="11"/>
      <c r="U27" s="11" t="str">
        <f>[2]서식선택_출력!B27</f>
        <v>F-023</v>
      </c>
      <c r="V27" s="11" t="str">
        <f>[2]서식선택_출력!C27</f>
        <v>교복 제조 사양서</v>
      </c>
      <c r="W27" s="11"/>
    </row>
    <row r="28" spans="1:23" x14ac:dyDescent="0.4">
      <c r="B28" s="5" t="s">
        <v>62</v>
      </c>
      <c r="C28" s="5" t="s">
        <v>63</v>
      </c>
      <c r="D28" s="5" t="s">
        <v>64</v>
      </c>
      <c r="E28" s="5" t="s">
        <v>65</v>
      </c>
      <c r="T28" s="11"/>
      <c r="U28" s="11" t="str">
        <f>[2]서식선택_출력!B28</f>
        <v>F-024</v>
      </c>
      <c r="V28" s="11" t="str">
        <f>[2]서식선택_출력!C28</f>
        <v>품목별 단가 비율표</v>
      </c>
      <c r="W28" s="11"/>
    </row>
    <row r="29" spans="1:23" x14ac:dyDescent="0.4">
      <c r="B29" s="7" t="s">
        <v>66</v>
      </c>
      <c r="C29" s="7">
        <v>200</v>
      </c>
      <c r="D29" s="13">
        <v>50000</v>
      </c>
      <c r="E29" s="16">
        <f t="shared" ref="E29:E38" si="0">IF(AND(B29&lt;&gt;"",C29&lt;&gt;"",D29&lt;&gt;""),C29*D29,"")</f>
        <v>10000000</v>
      </c>
      <c r="T29" s="11"/>
      <c r="U29" s="11" t="str">
        <f>[2]서식선택_출력!B29</f>
        <v>F-025</v>
      </c>
      <c r="V29" s="11" t="str">
        <f>[2]서식선택_출력!C29</f>
        <v>교복 A/S 계획서</v>
      </c>
      <c r="W29" s="11"/>
    </row>
    <row r="30" spans="1:23" x14ac:dyDescent="0.4">
      <c r="B30" s="7" t="s">
        <v>67</v>
      </c>
      <c r="C30" s="7">
        <v>200</v>
      </c>
      <c r="D30" s="13">
        <v>50000</v>
      </c>
      <c r="E30" s="16">
        <f t="shared" si="0"/>
        <v>10000000</v>
      </c>
      <c r="T30" s="11"/>
      <c r="U30" s="11" t="str">
        <f>[2]서식선택_출력!B30</f>
        <v>F-026</v>
      </c>
      <c r="V30" s="11" t="str">
        <f>[2]서식선택_출력!C30</f>
        <v>소비자 불만 처리 계획</v>
      </c>
      <c r="W30" s="11"/>
    </row>
    <row r="31" spans="1:23" x14ac:dyDescent="0.4">
      <c r="B31" s="7"/>
      <c r="C31" s="7"/>
      <c r="D31" s="13"/>
      <c r="E31" s="16" t="str">
        <f t="shared" si="0"/>
        <v/>
      </c>
      <c r="T31" s="11"/>
      <c r="U31" s="11" t="str">
        <f>[2]서식선택_출력!B31</f>
        <v>F-027</v>
      </c>
      <c r="V31" s="11" t="str">
        <f>[2]서식선택_출력!C31</f>
        <v>위임장</v>
      </c>
      <c r="W31" s="11"/>
    </row>
    <row r="32" spans="1:23" x14ac:dyDescent="0.4">
      <c r="B32" s="7"/>
      <c r="C32" s="7"/>
      <c r="D32" s="13"/>
      <c r="E32" s="16" t="str">
        <f t="shared" si="0"/>
        <v/>
      </c>
      <c r="T32" s="11"/>
      <c r="U32" s="11" t="str">
        <f>[2]서식선택_출력!B32</f>
        <v>F-028</v>
      </c>
      <c r="V32" s="11" t="str">
        <f>[2]서식선택_출력!C32</f>
        <v>서약서</v>
      </c>
      <c r="W32" s="11"/>
    </row>
    <row r="33" spans="2:24" x14ac:dyDescent="0.4">
      <c r="B33" s="7"/>
      <c r="C33" s="7"/>
      <c r="D33" s="13"/>
      <c r="E33" s="16" t="str">
        <f t="shared" si="0"/>
        <v/>
      </c>
      <c r="T33" s="11"/>
      <c r="U33" s="11" t="str">
        <f>[2]서식선택_출력!B33</f>
        <v>F-029</v>
      </c>
      <c r="V33" s="11" t="str">
        <f>[2]서식선택_출력!C33</f>
        <v>개인정보제공 동의서</v>
      </c>
      <c r="W33" s="11"/>
    </row>
    <row r="34" spans="2:24" x14ac:dyDescent="0.4">
      <c r="B34" s="7"/>
      <c r="C34" s="7"/>
      <c r="D34" s="13"/>
      <c r="E34" s="16" t="str">
        <f t="shared" si="0"/>
        <v/>
      </c>
      <c r="T34" s="11"/>
      <c r="U34" s="11" t="str">
        <f>[2]서식선택_출력!B34</f>
        <v>F-030</v>
      </c>
      <c r="V34" s="11" t="str">
        <f>[2]서식선택_출력!C34</f>
        <v>청렴계약 이행서약서</v>
      </c>
      <c r="W34" s="11"/>
    </row>
    <row r="35" spans="2:24" x14ac:dyDescent="0.4">
      <c r="B35" s="7"/>
      <c r="C35" s="7"/>
      <c r="D35" s="13"/>
      <c r="E35" s="16" t="str">
        <f t="shared" si="0"/>
        <v/>
      </c>
      <c r="T35" s="11"/>
      <c r="U35" s="11" t="str">
        <f>[2]서식선택_출력!B35</f>
        <v>F-031</v>
      </c>
      <c r="V35" s="11" t="str">
        <f>[2]서식선택_출력!C35</f>
        <v>교복 품목별 금액표</v>
      </c>
      <c r="W35" s="11"/>
    </row>
    <row r="36" spans="2:24" x14ac:dyDescent="0.4">
      <c r="B36" s="7"/>
      <c r="C36" s="7"/>
      <c r="D36" s="13"/>
      <c r="E36" s="16" t="str">
        <f t="shared" si="0"/>
        <v/>
      </c>
      <c r="T36" s="11"/>
      <c r="U36" s="11" t="str">
        <f>[2]서식선택_출력!B36</f>
        <v>F-032</v>
      </c>
      <c r="V36" s="11" t="str">
        <f>[2]서식선택_출력!C36</f>
        <v>제안서 접수 결과</v>
      </c>
      <c r="W36" s="11"/>
    </row>
    <row r="37" spans="2:24" x14ac:dyDescent="0.4">
      <c r="B37" s="7"/>
      <c r="C37" s="7"/>
      <c r="D37" s="13"/>
      <c r="E37" s="16" t="str">
        <f t="shared" si="0"/>
        <v/>
      </c>
      <c r="T37" s="11"/>
      <c r="U37" s="11" t="str">
        <f>[2]서식선택_출력!B37</f>
        <v>F-033</v>
      </c>
      <c r="V37" s="11" t="str">
        <f>[2]서식선택_출력!C37</f>
        <v>제안서 접수대장</v>
      </c>
      <c r="W37" s="11"/>
    </row>
    <row r="38" spans="2:24" x14ac:dyDescent="0.4">
      <c r="B38" s="7"/>
      <c r="C38" s="7"/>
      <c r="D38" s="13"/>
      <c r="E38" s="16" t="str">
        <f t="shared" si="0"/>
        <v/>
      </c>
      <c r="T38" s="11"/>
      <c r="U38" s="11" t="str">
        <f>[2]서식선택_출력!B38</f>
        <v>F-034</v>
      </c>
      <c r="V38" s="11" t="str">
        <f>[2]서식선택_출력!C38</f>
        <v>제안서 평가위원회 개최</v>
      </c>
      <c r="W38" s="11"/>
    </row>
    <row r="39" spans="2:24" x14ac:dyDescent="0.4">
      <c r="B39" s="5" t="s">
        <v>68</v>
      </c>
      <c r="E39" s="17">
        <f>SUM(E29:E38)</f>
        <v>20000000</v>
      </c>
      <c r="T39" s="11"/>
      <c r="U39" s="11" t="str">
        <f>[2]서식선택_출력!B39</f>
        <v>F-035</v>
      </c>
      <c r="V39" s="11" t="str">
        <f>[2]서식선택_출력!C39</f>
        <v>제안서 정량평가 결과</v>
      </c>
      <c r="W39" s="11"/>
    </row>
    <row r="40" spans="2:24" x14ac:dyDescent="0.4">
      <c r="T40" s="11"/>
      <c r="U40" s="11" t="str">
        <f>[2]서식선택_출력!B40</f>
        <v>F-036</v>
      </c>
      <c r="V40" s="11" t="str">
        <f>[2]서식선택_출력!C40</f>
        <v>제안서 평가 결과</v>
      </c>
      <c r="W40" s="11"/>
    </row>
    <row r="41" spans="2:24" x14ac:dyDescent="0.4">
      <c r="T41" s="11"/>
      <c r="U41" s="11" t="str">
        <f>[2]서식선택_출력!B41</f>
        <v>F-037</v>
      </c>
      <c r="V41" s="11" t="str">
        <f>[2]서식선택_출력!C41</f>
        <v>평가위원회 참석 등록부</v>
      </c>
      <c r="W41" s="11"/>
    </row>
    <row r="42" spans="2:24" x14ac:dyDescent="0.4">
      <c r="B42" s="5" t="s">
        <v>69</v>
      </c>
      <c r="T42" s="11"/>
      <c r="U42" s="11" t="str">
        <f>[2]서식선택_출력!B42</f>
        <v>F-038</v>
      </c>
      <c r="V42" s="11" t="str">
        <f>[2]서식선택_출력!C42</f>
        <v>업체 참가 등록부</v>
      </c>
      <c r="W42" s="11"/>
    </row>
    <row r="43" spans="2:24" x14ac:dyDescent="0.4">
      <c r="B43" s="5" t="s">
        <v>70</v>
      </c>
      <c r="C43" s="5" t="s">
        <v>71</v>
      </c>
      <c r="D43" s="5" t="s">
        <v>72</v>
      </c>
      <c r="E43" s="5" t="s">
        <v>73</v>
      </c>
      <c r="F43" s="5" t="s">
        <v>74</v>
      </c>
      <c r="G43" s="5" t="s">
        <v>75</v>
      </c>
      <c r="H43" s="5" t="s">
        <v>76</v>
      </c>
      <c r="I43" s="5" t="s">
        <v>77</v>
      </c>
      <c r="J43" s="5" t="s">
        <v>78</v>
      </c>
      <c r="K43" s="5" t="s">
        <v>79</v>
      </c>
      <c r="L43" s="5" t="s">
        <v>80</v>
      </c>
      <c r="M43" s="5" t="s">
        <v>81</v>
      </c>
      <c r="N43" s="5" t="s">
        <v>82</v>
      </c>
      <c r="O43" s="5" t="s">
        <v>83</v>
      </c>
      <c r="P43" s="5" t="s">
        <v>84</v>
      </c>
      <c r="Q43" s="5" t="s">
        <v>85</v>
      </c>
      <c r="R43" s="5" t="s">
        <v>86</v>
      </c>
      <c r="S43" s="5" t="s">
        <v>87</v>
      </c>
      <c r="T43" s="11"/>
      <c r="U43" s="11" t="str">
        <f>[2]서식선택_출력!B43</f>
        <v>F-039</v>
      </c>
      <c r="V43" s="11" t="str">
        <f>[2]서식선택_출력!C43</f>
        <v>업체별 제안서 평가표</v>
      </c>
      <c r="W43" s="11"/>
      <c r="X43" s="5" t="s">
        <v>88</v>
      </c>
    </row>
    <row r="44" spans="2:24" x14ac:dyDescent="0.4">
      <c r="B44" s="7" t="s">
        <v>89</v>
      </c>
      <c r="C44" s="18">
        <v>3</v>
      </c>
      <c r="D44">
        <v>3</v>
      </c>
      <c r="E44">
        <v>3</v>
      </c>
      <c r="F44">
        <v>3</v>
      </c>
      <c r="G44" t="str">
        <f t="shared" ref="G44:G53" si="1">IF(B44="","",IF(AND(ISNUMBER(C44),ISNUMBER(D44),ISNUMBER(E44),ISNUMBER(F44),C44&gt;=0,C44&lt;=10,D44&gt;=0,D44&lt;=10,E44&gt;=0,E44&lt;=15,F44&gt;=0,F44&lt;=15),"정상","점수 확인"))</f>
        <v>정상</v>
      </c>
      <c r="H44" s="19" t="s">
        <v>90</v>
      </c>
      <c r="I44" t="s">
        <v>91</v>
      </c>
      <c r="J44" t="s">
        <v>90</v>
      </c>
      <c r="K44" t="s">
        <v>90</v>
      </c>
      <c r="L44" s="18">
        <v>1</v>
      </c>
      <c r="M44" t="str">
        <f t="shared" ref="M44:M53" si="2">IF(B44="","",IF(AND(OR(H44="탁월",H44="우수",H44="보통",H44="미흡",H44="불량"),OR(I44="탁월",I44="우수",I44="보통",I44="미흡",I44="불량"),OR(J44="탁월",J44="우수",J44="보통",J44="미흡",J44="불량"),OR(K44="탁월",K44="우수",K44="보통",K44="미흡",K44="불량"),ISNUMBER(L44),L44&gt;=-15,L44&lt;=5),"정상","등급/가감점 확인"))</f>
        <v>정상</v>
      </c>
      <c r="N44" s="10">
        <v>1</v>
      </c>
      <c r="O44">
        <v>1</v>
      </c>
      <c r="P44">
        <v>1</v>
      </c>
      <c r="Q44">
        <v>1</v>
      </c>
      <c r="R44" t="str">
        <f t="shared" ref="R44:R53" si="3">IF(B44="","",IF(AND(ISNUMBER(N44),ISNUMBER(O44),ISNUMBER(P44),ISNUMBER(Q44),N44&gt;=0,N44&lt;=10,O44&gt;=0,O44&lt;=10,P44&gt;=0,P44&lt;=15,Q44&gt;=0,Q44&lt;=15),"정상","점수 확인"))</f>
        <v>정상</v>
      </c>
      <c r="S44" s="7" t="s">
        <v>92</v>
      </c>
      <c r="T44" s="11"/>
      <c r="U44" s="11" t="str">
        <f>[2]서식선택_출력!B44</f>
        <v>F-040</v>
      </c>
      <c r="V44" s="11" t="str">
        <f>[2]서식선택_출력!C44</f>
        <v>위원 청렴 및 보안 서약서</v>
      </c>
      <c r="W44" s="11"/>
      <c r="X44" s="7"/>
    </row>
    <row r="45" spans="2:24" x14ac:dyDescent="0.4">
      <c r="B45" s="7"/>
      <c r="C45" s="18"/>
      <c r="G45" t="str">
        <f t="shared" si="1"/>
        <v/>
      </c>
      <c r="H45" s="19"/>
      <c r="L45" s="18"/>
      <c r="M45" t="str">
        <f t="shared" si="2"/>
        <v/>
      </c>
      <c r="N45" s="10"/>
      <c r="R45" t="str">
        <f t="shared" si="3"/>
        <v/>
      </c>
      <c r="S45" s="7"/>
      <c r="T45" s="11"/>
      <c r="U45" s="11" t="str">
        <f>[2]서식선택_출력!B45</f>
        <v>F-041</v>
      </c>
      <c r="V45" s="11" t="str">
        <f>[2]서식선택_출력!C45</f>
        <v>낙찰자 결정</v>
      </c>
      <c r="W45" s="11"/>
      <c r="X45" s="7"/>
    </row>
    <row r="46" spans="2:24" x14ac:dyDescent="0.4">
      <c r="B46" s="7"/>
      <c r="C46" s="18"/>
      <c r="G46" t="str">
        <f t="shared" si="1"/>
        <v/>
      </c>
      <c r="H46" s="19"/>
      <c r="L46" s="18"/>
      <c r="M46" t="str">
        <f t="shared" si="2"/>
        <v/>
      </c>
      <c r="N46" s="10"/>
      <c r="R46" t="str">
        <f t="shared" si="3"/>
        <v/>
      </c>
      <c r="S46" s="7"/>
      <c r="T46" s="11"/>
      <c r="U46" s="11" t="str">
        <f>[2]서식선택_출력!B46</f>
        <v>F-042</v>
      </c>
      <c r="V46" s="11" t="str">
        <f>[2]서식선택_출력!C46</f>
        <v>낙찰자 결정 통보</v>
      </c>
      <c r="W46" s="11"/>
      <c r="X46" s="7"/>
    </row>
    <row r="47" spans="2:24" x14ac:dyDescent="0.4">
      <c r="B47" s="7"/>
      <c r="C47" s="18"/>
      <c r="G47" t="str">
        <f t="shared" si="1"/>
        <v/>
      </c>
      <c r="H47" s="19"/>
      <c r="L47" s="18"/>
      <c r="M47" t="str">
        <f t="shared" si="2"/>
        <v/>
      </c>
      <c r="N47" s="10"/>
      <c r="R47" t="str">
        <f t="shared" si="3"/>
        <v/>
      </c>
      <c r="S47" s="7"/>
      <c r="T47" s="11"/>
      <c r="U47" s="11" t="str">
        <f>[2]서식선택_출력!B47</f>
        <v>F-043</v>
      </c>
      <c r="V47" s="11" t="str">
        <f>[2]서식선택_출력!C47</f>
        <v>계약체결</v>
      </c>
      <c r="W47" s="11"/>
      <c r="X47" s="7"/>
    </row>
    <row r="48" spans="2:24" x14ac:dyDescent="0.4">
      <c r="B48" s="7"/>
      <c r="C48" s="18"/>
      <c r="G48" t="str">
        <f t="shared" si="1"/>
        <v/>
      </c>
      <c r="H48" s="19"/>
      <c r="L48" s="18"/>
      <c r="M48" t="str">
        <f t="shared" si="2"/>
        <v/>
      </c>
      <c r="N48" s="10"/>
      <c r="R48" t="str">
        <f t="shared" si="3"/>
        <v/>
      </c>
      <c r="S48" s="7"/>
      <c r="T48" s="11"/>
      <c r="U48" s="11" t="str">
        <f>[2]서식선택_출력!B48</f>
        <v>F-044</v>
      </c>
      <c r="V48" s="11" t="str">
        <f>[2]서식선택_출력!C48</f>
        <v>사전 안내 가정통신문 안내</v>
      </c>
      <c r="W48" s="11"/>
      <c r="X48" s="7"/>
    </row>
    <row r="49" spans="2:24" x14ac:dyDescent="0.4">
      <c r="B49" s="7"/>
      <c r="C49" s="18"/>
      <c r="G49" t="str">
        <f t="shared" si="1"/>
        <v/>
      </c>
      <c r="H49" s="19"/>
      <c r="L49" s="18"/>
      <c r="M49" t="str">
        <f t="shared" si="2"/>
        <v/>
      </c>
      <c r="N49" s="10"/>
      <c r="R49" t="str">
        <f t="shared" si="3"/>
        <v/>
      </c>
      <c r="S49" s="7"/>
      <c r="T49" s="11"/>
      <c r="U49" s="11" t="str">
        <f>[2]서식선택_출력!B49</f>
        <v>F-045</v>
      </c>
      <c r="V49" s="11" t="str">
        <f>[2]서식선택_출력!C49</f>
        <v>교복구매 사전 안내 가정통신문</v>
      </c>
      <c r="W49" s="11"/>
      <c r="X49" s="7"/>
    </row>
    <row r="50" spans="2:24" x14ac:dyDescent="0.4">
      <c r="B50" s="7"/>
      <c r="C50" s="18"/>
      <c r="G50" t="str">
        <f t="shared" si="1"/>
        <v/>
      </c>
      <c r="H50" s="19"/>
      <c r="L50" s="18"/>
      <c r="M50" t="str">
        <f t="shared" si="2"/>
        <v/>
      </c>
      <c r="N50" s="10"/>
      <c r="R50" t="str">
        <f t="shared" si="3"/>
        <v/>
      </c>
      <c r="S50" s="7"/>
      <c r="T50" s="11"/>
      <c r="U50" s="11" t="str">
        <f>[2]서식선택_출력!B50</f>
        <v>F-046</v>
      </c>
      <c r="V50" s="11" t="str">
        <f>[2]서식선택_출력!C50</f>
        <v>수요조사 가정통신문 안내</v>
      </c>
      <c r="W50" s="11"/>
      <c r="X50" s="7"/>
    </row>
    <row r="51" spans="2:24" x14ac:dyDescent="0.4">
      <c r="B51" s="7"/>
      <c r="C51" s="18"/>
      <c r="G51" t="str">
        <f t="shared" si="1"/>
        <v/>
      </c>
      <c r="H51" s="19"/>
      <c r="L51" s="18"/>
      <c r="M51" t="str">
        <f t="shared" si="2"/>
        <v/>
      </c>
      <c r="N51" s="10"/>
      <c r="R51" t="str">
        <f t="shared" si="3"/>
        <v/>
      </c>
      <c r="S51" s="7"/>
      <c r="T51" s="11"/>
      <c r="U51" s="11" t="str">
        <f>[2]서식선택_출력!B51</f>
        <v>F-047</v>
      </c>
      <c r="V51" s="11" t="str">
        <f>[2]서식선택_출력!C51</f>
        <v>교복구매 수요조사 가정통신문</v>
      </c>
      <c r="W51" s="11"/>
      <c r="X51" s="7"/>
    </row>
    <row r="52" spans="2:24" x14ac:dyDescent="0.4">
      <c r="B52" s="7"/>
      <c r="C52" s="18"/>
      <c r="G52" t="str">
        <f t="shared" si="1"/>
        <v/>
      </c>
      <c r="H52" s="19"/>
      <c r="L52" s="18"/>
      <c r="M52" t="str">
        <f t="shared" si="2"/>
        <v/>
      </c>
      <c r="N52" s="10"/>
      <c r="R52" t="str">
        <f t="shared" si="3"/>
        <v/>
      </c>
      <c r="S52" s="7"/>
      <c r="T52" s="11"/>
      <c r="U52" s="11" t="str">
        <f>[2]서식선택_출력!B52</f>
        <v>F-048</v>
      </c>
      <c r="V52" s="11" t="str">
        <f>[2]서식선택_출력!C52</f>
        <v>교복 구매 안내(신청 수량 파악)</v>
      </c>
      <c r="W52" s="11"/>
      <c r="X52" s="7"/>
    </row>
    <row r="53" spans="2:24" x14ac:dyDescent="0.4">
      <c r="B53" s="7"/>
      <c r="C53" s="18"/>
      <c r="G53" t="str">
        <f t="shared" si="1"/>
        <v/>
      </c>
      <c r="H53" s="19"/>
      <c r="L53" s="18"/>
      <c r="M53" t="str">
        <f t="shared" si="2"/>
        <v/>
      </c>
      <c r="N53" s="10"/>
      <c r="R53" t="str">
        <f t="shared" si="3"/>
        <v/>
      </c>
      <c r="S53" s="7"/>
      <c r="T53" s="11"/>
      <c r="U53" s="11" t="str">
        <f>[2]서식선택_출력!B53</f>
        <v>F-049</v>
      </c>
      <c r="V53" s="11" t="str">
        <f>[2]서식선택_출력!C53</f>
        <v>만족도 설문조사 실시</v>
      </c>
      <c r="W53" s="11"/>
      <c r="X53" s="7"/>
    </row>
    <row r="54" spans="2:24" x14ac:dyDescent="0.4">
      <c r="T54" s="11"/>
      <c r="U54" s="11" t="str">
        <f>[2]서식선택_출력!B54</f>
        <v>F-050</v>
      </c>
      <c r="V54" s="11" t="str">
        <f>[2]서식선택_출력!C54</f>
        <v>만족도 조사 설문지</v>
      </c>
      <c r="W54" s="11"/>
    </row>
    <row r="55" spans="2:24" x14ac:dyDescent="0.4">
      <c r="T55" s="11"/>
      <c r="U55" s="11" t="str">
        <f>[2]서식선택_출력!B55</f>
        <v>F-051</v>
      </c>
      <c r="V55" s="11" t="str">
        <f>[2]서식선택_출력!C55</f>
        <v>만족도 설문조사 결과</v>
      </c>
      <c r="W55" s="11"/>
    </row>
    <row r="56" spans="2:24" x14ac:dyDescent="0.4">
      <c r="B56" s="5" t="s">
        <v>93</v>
      </c>
      <c r="T56" s="11"/>
      <c r="U56" s="11" t="str">
        <f>[2]서식선택_출력!B56</f>
        <v>F-052</v>
      </c>
      <c r="V56" s="11" t="str">
        <f>[2]서식선택_출력!C56</f>
        <v>만족도 조사 설문 결과 서식</v>
      </c>
      <c r="W56" s="11"/>
    </row>
    <row r="57" spans="2:24" x14ac:dyDescent="0.4">
      <c r="B57" s="5" t="s">
        <v>94</v>
      </c>
      <c r="C57" s="5" t="s">
        <v>95</v>
      </c>
    </row>
    <row r="58" spans="2:24" x14ac:dyDescent="0.4">
      <c r="B58" s="7"/>
    </row>
    <row r="59" spans="2:24" x14ac:dyDescent="0.4">
      <c r="B59" s="7"/>
    </row>
    <row r="60" spans="2:24" x14ac:dyDescent="0.4">
      <c r="B60" s="7"/>
    </row>
    <row r="61" spans="2:24" x14ac:dyDescent="0.4">
      <c r="B61" s="7"/>
    </row>
    <row r="62" spans="2:24" x14ac:dyDescent="0.4">
      <c r="B62" s="7"/>
    </row>
    <row r="63" spans="2:24" x14ac:dyDescent="0.4">
      <c r="B63" s="7"/>
    </row>
    <row r="64" spans="2:24" x14ac:dyDescent="0.4">
      <c r="B64" s="7"/>
    </row>
    <row r="65" spans="2:5" x14ac:dyDescent="0.4">
      <c r="B65" s="7"/>
    </row>
    <row r="66" spans="2:5" x14ac:dyDescent="0.4">
      <c r="B66" s="7"/>
    </row>
    <row r="67" spans="2:5" x14ac:dyDescent="0.4">
      <c r="B67" s="7"/>
    </row>
    <row r="70" spans="2:5" x14ac:dyDescent="0.4">
      <c r="B70" s="5" t="s">
        <v>96</v>
      </c>
    </row>
    <row r="71" spans="2:5" x14ac:dyDescent="0.4">
      <c r="B71" s="5" t="s">
        <v>97</v>
      </c>
      <c r="C71" s="5" t="s">
        <v>98</v>
      </c>
      <c r="D71" s="5" t="s">
        <v>99</v>
      </c>
      <c r="E71" s="5" t="s">
        <v>100</v>
      </c>
    </row>
    <row r="72" spans="2:5" x14ac:dyDescent="0.4">
      <c r="B72" s="7"/>
      <c r="C72" s="20"/>
      <c r="E72" t="str">
        <f t="shared" ref="E72:E81" si="4">IF(AND(B72&lt;&gt;"",C72&lt;&gt;"",D72&lt;&gt;""),IF(AND(ISNUMBER(C72),ISNUMBER(D72),C72&gt;=0,D72&gt;=0,D72&lt;=C72),"정상","점수/배점 확인"),"")</f>
        <v/>
      </c>
    </row>
    <row r="73" spans="2:5" x14ac:dyDescent="0.4">
      <c r="B73" s="7"/>
      <c r="C73" s="20"/>
      <c r="E73" t="str">
        <f t="shared" si="4"/>
        <v/>
      </c>
    </row>
    <row r="74" spans="2:5" x14ac:dyDescent="0.4">
      <c r="B74" s="7"/>
      <c r="C74" s="20"/>
      <c r="E74" t="str">
        <f t="shared" si="4"/>
        <v/>
      </c>
    </row>
    <row r="75" spans="2:5" x14ac:dyDescent="0.4">
      <c r="B75" s="7"/>
      <c r="C75" s="20"/>
      <c r="E75" t="str">
        <f t="shared" si="4"/>
        <v/>
      </c>
    </row>
    <row r="76" spans="2:5" x14ac:dyDescent="0.4">
      <c r="B76" s="7"/>
      <c r="C76" s="20"/>
      <c r="E76" t="str">
        <f t="shared" si="4"/>
        <v/>
      </c>
    </row>
    <row r="77" spans="2:5" x14ac:dyDescent="0.4">
      <c r="B77" s="7"/>
      <c r="C77" s="20"/>
      <c r="E77" t="str">
        <f t="shared" si="4"/>
        <v/>
      </c>
    </row>
    <row r="78" spans="2:5" x14ac:dyDescent="0.4">
      <c r="B78" s="7"/>
      <c r="C78" s="20"/>
      <c r="E78" t="str">
        <f t="shared" si="4"/>
        <v/>
      </c>
    </row>
    <row r="79" spans="2:5" x14ac:dyDescent="0.4">
      <c r="B79" s="7"/>
      <c r="C79" s="20"/>
      <c r="E79" t="str">
        <f t="shared" si="4"/>
        <v/>
      </c>
    </row>
    <row r="80" spans="2:5" x14ac:dyDescent="0.4">
      <c r="B80" s="7"/>
      <c r="C80" s="20"/>
      <c r="E80" t="str">
        <f t="shared" si="4"/>
        <v/>
      </c>
    </row>
    <row r="81" spans="2:5" x14ac:dyDescent="0.4">
      <c r="B81" s="7"/>
      <c r="C81" s="20"/>
      <c r="E81" t="str">
        <f t="shared" si="4"/>
        <v/>
      </c>
    </row>
    <row r="82" spans="2:5" x14ac:dyDescent="0.4">
      <c r="B82" s="5" t="s">
        <v>101</v>
      </c>
      <c r="D82" s="21">
        <f>SUM(D72:D81)</f>
        <v>0</v>
      </c>
    </row>
  </sheetData>
  <mergeCells count="6">
    <mergeCell ref="A1:F1"/>
    <mergeCell ref="T1:W1"/>
    <mergeCell ref="I2:L2"/>
    <mergeCell ref="F4:H4"/>
    <mergeCell ref="F5:H5"/>
    <mergeCell ref="C25:F25"/>
  </mergeCells>
  <phoneticPr fontId="3" type="noConversion"/>
  <dataValidations count="2">
    <dataValidation type="list" allowBlank="1" showInputMessage="1" showErrorMessage="1" sqref="C4" xr:uid="{382ED826-2917-4FDB-AA21-9E94FF2A2D58}">
      <formula1>학교명목록</formula1>
    </dataValidation>
    <dataValidation type="list" allowBlank="1" showInputMessage="1" showErrorMessage="1" errorTitle="정성평가 등급 확인" error="재질·완성도·A/S·하자보상은 탁월, 우수, 보통, 미흡, 불량 중에서 선택하세요." sqref="H44:K53" xr:uid="{B0292632-6FDD-4284-AC71-6C76D5598320}">
      <formula1>"탁월,우수,보통,미흡,불량"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tn초기화">
              <controlPr defaultSize="0" print="0" autoFill="0" autoPict="0" macro="초기화">
                <anchor moveWithCells="1" sizeWithCells="1">
                  <from>
                    <xdr:col>5</xdr:col>
                    <xdr:colOff>541020</xdr:colOff>
                    <xdr:row>0</xdr:row>
                    <xdr:rowOff>121920</xdr:rowOff>
                  </from>
                  <to>
                    <xdr:col>6</xdr:col>
                    <xdr:colOff>289560</xdr:colOff>
                    <xdr:row>1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btn저장하기">
              <controlPr defaultSize="0" print="0" autoFill="0" autoPict="0" macro="저장하기">
                <anchor moveWithCells="1" sizeWithCells="1">
                  <from>
                    <xdr:col>6</xdr:col>
                    <xdr:colOff>411480</xdr:colOff>
                    <xdr:row>0</xdr:row>
                    <xdr:rowOff>121920</xdr:rowOff>
                  </from>
                  <to>
                    <xdr:col>8</xdr:col>
                    <xdr:colOff>91440</xdr:colOff>
                    <xdr:row>1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btn수정하기">
              <controlPr defaultSize="0" print="0" autoFill="0" autoPict="0" macro="수정하기">
                <anchor moveWithCells="1" sizeWithCells="1">
                  <from>
                    <xdr:col>8</xdr:col>
                    <xdr:colOff>213360</xdr:colOff>
                    <xdr:row>0</xdr:row>
                    <xdr:rowOff>121920</xdr:rowOff>
                  </from>
                  <to>
                    <xdr:col>9</xdr:col>
                    <xdr:colOff>563880</xdr:colOff>
                    <xdr:row>1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btn불러오기">
              <controlPr defaultSize="0" print="0" autoFill="0" autoPict="0" macro="불러오기">
                <anchor moveWithCells="1" sizeWithCells="1">
                  <from>
                    <xdr:col>10</xdr:col>
                    <xdr:colOff>15240</xdr:colOff>
                    <xdr:row>0</xdr:row>
                    <xdr:rowOff>121920</xdr:rowOff>
                  </from>
                  <to>
                    <xdr:col>11</xdr:col>
                    <xdr:colOff>365760</xdr:colOff>
                    <xdr:row>1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btn빠른미리보기">
              <controlPr defaultSize="0" print="0" autoFill="0" autoPict="0" macro="선택서식_인쇄미리보기">
                <anchor moveWithCells="1" sizeWithCells="1">
                  <from>
                    <xdr:col>19</xdr:col>
                    <xdr:colOff>0</xdr:colOff>
                    <xdr:row>1</xdr:row>
                    <xdr:rowOff>0</xdr:rowOff>
                  </from>
                  <to>
                    <xdr:col>21</xdr:col>
                    <xdr:colOff>548640</xdr:colOff>
                    <xdr:row>2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btn빠른PDF">
              <controlPr defaultSize="0" print="0" autoFill="0" autoPict="0" macro="선택서식_PDF저장">
                <anchor moveWithCells="1" sizeWithCells="1">
                  <from>
                    <xdr:col>21</xdr:col>
                    <xdr:colOff>678180</xdr:colOff>
                    <xdr:row>1</xdr:row>
                    <xdr:rowOff>0</xdr:rowOff>
                  </from>
                  <to>
                    <xdr:col>22</xdr:col>
                    <xdr:colOff>373380</xdr:colOff>
                    <xdr:row>2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btn빠른HWPX">
              <controlPr defaultSize="0" print="0" autoFill="0" autoPict="0" macro="선택서식_HWPX작성">
                <anchor moveWithCells="1" sizeWithCells="1">
                  <from>
                    <xdr:col>22</xdr:col>
                    <xdr:colOff>495300</xdr:colOff>
                    <xdr:row>1</xdr:row>
                    <xdr:rowOff>0</xdr:rowOff>
                  </from>
                  <to>
                    <xdr:col>24</xdr:col>
                    <xdr:colOff>541020</xdr:colOff>
                    <xdr:row>2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btn이동_계약방법안내">
              <controlPr defaultSize="0" print="0" autoFill="0" autoPict="0" macro="이동_계약방법안내">
                <anchor moveWithCells="1" sizeWithCells="1">
                  <from>
                    <xdr:col>25</xdr:col>
                    <xdr:colOff>0</xdr:colOff>
                    <xdr:row>1</xdr:row>
                    <xdr:rowOff>0</xdr:rowOff>
                  </from>
                  <to>
                    <xdr:col>27</xdr:col>
                    <xdr:colOff>563880</xdr:colOff>
                    <xdr:row>2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btn이동_DB열기">
              <controlPr defaultSize="0" print="0" autoFill="0" autoPict="0" macro="DB시트열기">
                <anchor moveWithCells="1" sizeWithCells="1">
                  <from>
                    <xdr:col>28</xdr:col>
                    <xdr:colOff>22860</xdr:colOff>
                    <xdr:row>1</xdr:row>
                    <xdr:rowOff>0</xdr:rowOff>
                  </from>
                  <to>
                    <xdr:col>30</xdr:col>
                    <xdr:colOff>586740</xdr:colOff>
                    <xdr:row>2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kQuick_F-001">
              <controlPr defaultSize="0" autoFill="0" autoLine="0" autoPict="0">
                <anchor moveWithCells="1">
                  <from>
                    <xdr:col>19</xdr:col>
                    <xdr:colOff>22860</xdr:colOff>
                    <xdr:row>4</xdr:row>
                    <xdr:rowOff>7620</xdr:rowOff>
                  </from>
                  <to>
                    <xdr:col>19</xdr:col>
                    <xdr:colOff>259080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btnQuickView_F-001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4</xdr:row>
                    <xdr:rowOff>15240</xdr:rowOff>
                  </from>
                  <to>
                    <xdr:col>23</xdr:col>
                    <xdr:colOff>60960</xdr:colOff>
                    <xdr:row>4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chkQuick_F-002">
              <controlPr defaultSize="0" autoFill="0" autoLine="0" autoPict="0">
                <anchor moveWithCells="1">
                  <from>
                    <xdr:col>19</xdr:col>
                    <xdr:colOff>22860</xdr:colOff>
                    <xdr:row>5</xdr:row>
                    <xdr:rowOff>7620</xdr:rowOff>
                  </from>
                  <to>
                    <xdr:col>19</xdr:col>
                    <xdr:colOff>259080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btnQuickView_F-002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5</xdr:row>
                    <xdr:rowOff>15240</xdr:rowOff>
                  </from>
                  <to>
                    <xdr:col>23</xdr:col>
                    <xdr:colOff>60960</xdr:colOff>
                    <xdr:row>5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chkQuick_F-003">
              <controlPr defaultSize="0" autoFill="0" autoLine="0" autoPict="0">
                <anchor moveWithCells="1">
                  <from>
                    <xdr:col>19</xdr:col>
                    <xdr:colOff>22860</xdr:colOff>
                    <xdr:row>6</xdr:row>
                    <xdr:rowOff>7620</xdr:rowOff>
                  </from>
                  <to>
                    <xdr:col>19</xdr:col>
                    <xdr:colOff>259080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btnQuickView_F-003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6</xdr:row>
                    <xdr:rowOff>15240</xdr:rowOff>
                  </from>
                  <to>
                    <xdr:col>23</xdr:col>
                    <xdr:colOff>60960</xdr:colOff>
                    <xdr:row>6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chkQuick_F-004">
              <controlPr defaultSize="0" autoFill="0" autoLine="0" autoPict="0">
                <anchor moveWithCells="1">
                  <from>
                    <xdr:col>19</xdr:col>
                    <xdr:colOff>22860</xdr:colOff>
                    <xdr:row>7</xdr:row>
                    <xdr:rowOff>7620</xdr:rowOff>
                  </from>
                  <to>
                    <xdr:col>19</xdr:col>
                    <xdr:colOff>259080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0" name="btnQuickView_F-004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7</xdr:row>
                    <xdr:rowOff>15240</xdr:rowOff>
                  </from>
                  <to>
                    <xdr:col>23</xdr:col>
                    <xdr:colOff>60960</xdr:colOff>
                    <xdr:row>7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1" name="chkQuick_F-005">
              <controlPr defaultSize="0" autoFill="0" autoLine="0" autoPict="0">
                <anchor moveWithCells="1">
                  <from>
                    <xdr:col>19</xdr:col>
                    <xdr:colOff>22860</xdr:colOff>
                    <xdr:row>8</xdr:row>
                    <xdr:rowOff>7620</xdr:rowOff>
                  </from>
                  <to>
                    <xdr:col>19</xdr:col>
                    <xdr:colOff>259080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2" name="btnQuickView_F-005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8</xdr:row>
                    <xdr:rowOff>15240</xdr:rowOff>
                  </from>
                  <to>
                    <xdr:col>23</xdr:col>
                    <xdr:colOff>60960</xdr:colOff>
                    <xdr:row>8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3" name="chkQuick_F-006">
              <controlPr defaultSize="0" autoFill="0" autoLine="0" autoPict="0">
                <anchor moveWithCells="1">
                  <from>
                    <xdr:col>19</xdr:col>
                    <xdr:colOff>22860</xdr:colOff>
                    <xdr:row>9</xdr:row>
                    <xdr:rowOff>7620</xdr:rowOff>
                  </from>
                  <to>
                    <xdr:col>19</xdr:col>
                    <xdr:colOff>259080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4" name="btnQuickView_F-006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9</xdr:row>
                    <xdr:rowOff>15240</xdr:rowOff>
                  </from>
                  <to>
                    <xdr:col>23</xdr:col>
                    <xdr:colOff>60960</xdr:colOff>
                    <xdr:row>9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5" name="chkQuick_F-007">
              <controlPr defaultSize="0" autoFill="0" autoLine="0" autoPict="0">
                <anchor moveWithCells="1">
                  <from>
                    <xdr:col>19</xdr:col>
                    <xdr:colOff>22860</xdr:colOff>
                    <xdr:row>10</xdr:row>
                    <xdr:rowOff>7620</xdr:rowOff>
                  </from>
                  <to>
                    <xdr:col>19</xdr:col>
                    <xdr:colOff>259080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6" name="btnQuickView_F-007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10</xdr:row>
                    <xdr:rowOff>15240</xdr:rowOff>
                  </from>
                  <to>
                    <xdr:col>23</xdr:col>
                    <xdr:colOff>60960</xdr:colOff>
                    <xdr:row>10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7" name="chkQuick_F-008">
              <controlPr defaultSize="0" autoFill="0" autoLine="0" autoPict="0">
                <anchor moveWithCells="1">
                  <from>
                    <xdr:col>19</xdr:col>
                    <xdr:colOff>22860</xdr:colOff>
                    <xdr:row>11</xdr:row>
                    <xdr:rowOff>7620</xdr:rowOff>
                  </from>
                  <to>
                    <xdr:col>19</xdr:col>
                    <xdr:colOff>259080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8" name="btnQuickView_F-008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11</xdr:row>
                    <xdr:rowOff>15240</xdr:rowOff>
                  </from>
                  <to>
                    <xdr:col>23</xdr:col>
                    <xdr:colOff>60960</xdr:colOff>
                    <xdr:row>11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9" name="chkQuick_F-009">
              <controlPr defaultSize="0" autoFill="0" autoLine="0" autoPict="0">
                <anchor moveWithCells="1">
                  <from>
                    <xdr:col>19</xdr:col>
                    <xdr:colOff>22860</xdr:colOff>
                    <xdr:row>12</xdr:row>
                    <xdr:rowOff>7620</xdr:rowOff>
                  </from>
                  <to>
                    <xdr:col>19</xdr:col>
                    <xdr:colOff>259080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30" name="btnQuickView_F-009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12</xdr:row>
                    <xdr:rowOff>15240</xdr:rowOff>
                  </from>
                  <to>
                    <xdr:col>23</xdr:col>
                    <xdr:colOff>60960</xdr:colOff>
                    <xdr:row>12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1" name="chkQuick_F-010">
              <controlPr defaultSize="0" autoFill="0" autoLine="0" autoPict="0">
                <anchor moveWithCells="1">
                  <from>
                    <xdr:col>19</xdr:col>
                    <xdr:colOff>22860</xdr:colOff>
                    <xdr:row>13</xdr:row>
                    <xdr:rowOff>7620</xdr:rowOff>
                  </from>
                  <to>
                    <xdr:col>19</xdr:col>
                    <xdr:colOff>259080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2" name="btnQuickView_F-010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13</xdr:row>
                    <xdr:rowOff>15240</xdr:rowOff>
                  </from>
                  <to>
                    <xdr:col>23</xdr:col>
                    <xdr:colOff>60960</xdr:colOff>
                    <xdr:row>13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3" name="chkQuick_F-011">
              <controlPr defaultSize="0" autoFill="0" autoLine="0" autoPict="0">
                <anchor moveWithCells="1">
                  <from>
                    <xdr:col>19</xdr:col>
                    <xdr:colOff>22860</xdr:colOff>
                    <xdr:row>14</xdr:row>
                    <xdr:rowOff>7620</xdr:rowOff>
                  </from>
                  <to>
                    <xdr:col>19</xdr:col>
                    <xdr:colOff>259080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4" name="btnQuickView_F-011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14</xdr:row>
                    <xdr:rowOff>15240</xdr:rowOff>
                  </from>
                  <to>
                    <xdr:col>23</xdr:col>
                    <xdr:colOff>60960</xdr:colOff>
                    <xdr:row>14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5" name="chkQuick_F-012">
              <controlPr defaultSize="0" autoFill="0" autoLine="0" autoPict="0">
                <anchor moveWithCells="1">
                  <from>
                    <xdr:col>19</xdr:col>
                    <xdr:colOff>22860</xdr:colOff>
                    <xdr:row>15</xdr:row>
                    <xdr:rowOff>7620</xdr:rowOff>
                  </from>
                  <to>
                    <xdr:col>19</xdr:col>
                    <xdr:colOff>259080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6" name="btnQuickView_F-012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15</xdr:row>
                    <xdr:rowOff>15240</xdr:rowOff>
                  </from>
                  <to>
                    <xdr:col>23</xdr:col>
                    <xdr:colOff>60960</xdr:colOff>
                    <xdr:row>15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7" name="chkQuick_F-013">
              <controlPr defaultSize="0" autoFill="0" autoLine="0" autoPict="0">
                <anchor moveWithCells="1">
                  <from>
                    <xdr:col>19</xdr:col>
                    <xdr:colOff>22860</xdr:colOff>
                    <xdr:row>16</xdr:row>
                    <xdr:rowOff>7620</xdr:rowOff>
                  </from>
                  <to>
                    <xdr:col>19</xdr:col>
                    <xdr:colOff>259080</xdr:colOff>
                    <xdr:row>17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8" name="chkQuick_F-014">
              <controlPr defaultSize="0" autoFill="0" autoLine="0" autoPict="0">
                <anchor moveWithCells="1">
                  <from>
                    <xdr:col>19</xdr:col>
                    <xdr:colOff>22860</xdr:colOff>
                    <xdr:row>17</xdr:row>
                    <xdr:rowOff>7620</xdr:rowOff>
                  </from>
                  <to>
                    <xdr:col>19</xdr:col>
                    <xdr:colOff>259080</xdr:colOff>
                    <xdr:row>18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9" name="btnQuickView_F-014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17</xdr:row>
                    <xdr:rowOff>15240</xdr:rowOff>
                  </from>
                  <to>
                    <xdr:col>23</xdr:col>
                    <xdr:colOff>60960</xdr:colOff>
                    <xdr:row>17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40" name="chkQuick_F-015">
              <controlPr defaultSize="0" autoFill="0" autoLine="0" autoPict="0">
                <anchor moveWithCells="1">
                  <from>
                    <xdr:col>19</xdr:col>
                    <xdr:colOff>22860</xdr:colOff>
                    <xdr:row>18</xdr:row>
                    <xdr:rowOff>7620</xdr:rowOff>
                  </from>
                  <to>
                    <xdr:col>19</xdr:col>
                    <xdr:colOff>259080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1" name="btnQuickView_F-015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18</xdr:row>
                    <xdr:rowOff>15240</xdr:rowOff>
                  </from>
                  <to>
                    <xdr:col>23</xdr:col>
                    <xdr:colOff>60960</xdr:colOff>
                    <xdr:row>18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2" name="chkQuick_F-016">
              <controlPr defaultSize="0" autoFill="0" autoLine="0" autoPict="0">
                <anchor moveWithCells="1">
                  <from>
                    <xdr:col>19</xdr:col>
                    <xdr:colOff>22860</xdr:colOff>
                    <xdr:row>19</xdr:row>
                    <xdr:rowOff>7620</xdr:rowOff>
                  </from>
                  <to>
                    <xdr:col>19</xdr:col>
                    <xdr:colOff>259080</xdr:colOff>
                    <xdr:row>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3" name="btnQuickView_F-016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19</xdr:row>
                    <xdr:rowOff>15240</xdr:rowOff>
                  </from>
                  <to>
                    <xdr:col>23</xdr:col>
                    <xdr:colOff>60960</xdr:colOff>
                    <xdr:row>19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4" name="chkQuick_F-017">
              <controlPr defaultSize="0" autoFill="0" autoLine="0" autoPict="0">
                <anchor moveWithCells="1">
                  <from>
                    <xdr:col>19</xdr:col>
                    <xdr:colOff>22860</xdr:colOff>
                    <xdr:row>20</xdr:row>
                    <xdr:rowOff>7620</xdr:rowOff>
                  </from>
                  <to>
                    <xdr:col>19</xdr:col>
                    <xdr:colOff>259080</xdr:colOff>
                    <xdr:row>21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5" name="btnQuickView_F-017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20</xdr:row>
                    <xdr:rowOff>15240</xdr:rowOff>
                  </from>
                  <to>
                    <xdr:col>23</xdr:col>
                    <xdr:colOff>60960</xdr:colOff>
                    <xdr:row>20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6" name="chkQuick_F-018">
              <controlPr defaultSize="0" autoFill="0" autoLine="0" autoPict="0">
                <anchor moveWithCells="1">
                  <from>
                    <xdr:col>19</xdr:col>
                    <xdr:colOff>22860</xdr:colOff>
                    <xdr:row>21</xdr:row>
                    <xdr:rowOff>7620</xdr:rowOff>
                  </from>
                  <to>
                    <xdr:col>19</xdr:col>
                    <xdr:colOff>259080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7" name="btnQuickView_F-018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21</xdr:row>
                    <xdr:rowOff>15240</xdr:rowOff>
                  </from>
                  <to>
                    <xdr:col>23</xdr:col>
                    <xdr:colOff>60960</xdr:colOff>
                    <xdr:row>21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8" name="chkQuick_F-019">
              <controlPr defaultSize="0" autoFill="0" autoLine="0" autoPict="0">
                <anchor moveWithCells="1">
                  <from>
                    <xdr:col>19</xdr:col>
                    <xdr:colOff>22860</xdr:colOff>
                    <xdr:row>22</xdr:row>
                    <xdr:rowOff>7620</xdr:rowOff>
                  </from>
                  <to>
                    <xdr:col>19</xdr:col>
                    <xdr:colOff>259080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9" name="btnQuickView_F-019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22</xdr:row>
                    <xdr:rowOff>15240</xdr:rowOff>
                  </from>
                  <to>
                    <xdr:col>23</xdr:col>
                    <xdr:colOff>60960</xdr:colOff>
                    <xdr:row>22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50" name="chkQuick_F-020">
              <controlPr defaultSize="0" autoFill="0" autoLine="0" autoPict="0">
                <anchor moveWithCells="1">
                  <from>
                    <xdr:col>19</xdr:col>
                    <xdr:colOff>22860</xdr:colOff>
                    <xdr:row>23</xdr:row>
                    <xdr:rowOff>7620</xdr:rowOff>
                  </from>
                  <to>
                    <xdr:col>19</xdr:col>
                    <xdr:colOff>259080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51" name="btnQuickView_F-020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23</xdr:row>
                    <xdr:rowOff>15240</xdr:rowOff>
                  </from>
                  <to>
                    <xdr:col>23</xdr:col>
                    <xdr:colOff>60960</xdr:colOff>
                    <xdr:row>23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2" name="chkQuick_F-021">
              <controlPr defaultSize="0" autoFill="0" autoLine="0" autoPict="0">
                <anchor moveWithCells="1">
                  <from>
                    <xdr:col>19</xdr:col>
                    <xdr:colOff>22860</xdr:colOff>
                    <xdr:row>24</xdr:row>
                    <xdr:rowOff>7620</xdr:rowOff>
                  </from>
                  <to>
                    <xdr:col>19</xdr:col>
                    <xdr:colOff>259080</xdr:colOff>
                    <xdr:row>24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3" name="btnQuickView_F-021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24</xdr:row>
                    <xdr:rowOff>281940</xdr:rowOff>
                  </from>
                  <to>
                    <xdr:col>23</xdr:col>
                    <xdr:colOff>60960</xdr:colOff>
                    <xdr:row>24</xdr:row>
                    <xdr:rowOff>472440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4" name="chkQuick_F-022">
              <controlPr defaultSize="0" autoFill="0" autoLine="0" autoPict="0">
                <anchor moveWithCells="1">
                  <from>
                    <xdr:col>19</xdr:col>
                    <xdr:colOff>22860</xdr:colOff>
                    <xdr:row>25</xdr:row>
                    <xdr:rowOff>7620</xdr:rowOff>
                  </from>
                  <to>
                    <xdr:col>19</xdr:col>
                    <xdr:colOff>259080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5" name="btnQuickView_F-022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25</xdr:row>
                    <xdr:rowOff>15240</xdr:rowOff>
                  </from>
                  <to>
                    <xdr:col>23</xdr:col>
                    <xdr:colOff>60960</xdr:colOff>
                    <xdr:row>25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6" name="chkQuick_F-023">
              <controlPr defaultSize="0" autoFill="0" autoLine="0" autoPict="0">
                <anchor moveWithCells="1">
                  <from>
                    <xdr:col>19</xdr:col>
                    <xdr:colOff>22860</xdr:colOff>
                    <xdr:row>26</xdr:row>
                    <xdr:rowOff>7620</xdr:rowOff>
                  </from>
                  <to>
                    <xdr:col>19</xdr:col>
                    <xdr:colOff>259080</xdr:colOff>
                    <xdr:row>27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7" name="btnQuickView_F-023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26</xdr:row>
                    <xdr:rowOff>15240</xdr:rowOff>
                  </from>
                  <to>
                    <xdr:col>23</xdr:col>
                    <xdr:colOff>60960</xdr:colOff>
                    <xdr:row>26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8" name="chkQuick_F-024">
              <controlPr defaultSize="0" autoFill="0" autoLine="0" autoPict="0">
                <anchor moveWithCells="1">
                  <from>
                    <xdr:col>19</xdr:col>
                    <xdr:colOff>22860</xdr:colOff>
                    <xdr:row>27</xdr:row>
                    <xdr:rowOff>7620</xdr:rowOff>
                  </from>
                  <to>
                    <xdr:col>19</xdr:col>
                    <xdr:colOff>259080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9" name="btnQuickView_F-024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27</xdr:row>
                    <xdr:rowOff>15240</xdr:rowOff>
                  </from>
                  <to>
                    <xdr:col>23</xdr:col>
                    <xdr:colOff>60960</xdr:colOff>
                    <xdr:row>27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60" name="chkQuick_F-025">
              <controlPr defaultSize="0" autoFill="0" autoLine="0" autoPict="0">
                <anchor moveWithCells="1">
                  <from>
                    <xdr:col>19</xdr:col>
                    <xdr:colOff>22860</xdr:colOff>
                    <xdr:row>28</xdr:row>
                    <xdr:rowOff>7620</xdr:rowOff>
                  </from>
                  <to>
                    <xdr:col>19</xdr:col>
                    <xdr:colOff>259080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61" name="btnQuickView_F-025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28</xdr:row>
                    <xdr:rowOff>15240</xdr:rowOff>
                  </from>
                  <to>
                    <xdr:col>23</xdr:col>
                    <xdr:colOff>60960</xdr:colOff>
                    <xdr:row>28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62" name="chkQuick_F-026">
              <controlPr defaultSize="0" autoFill="0" autoLine="0" autoPict="0">
                <anchor moveWithCells="1">
                  <from>
                    <xdr:col>19</xdr:col>
                    <xdr:colOff>22860</xdr:colOff>
                    <xdr:row>29</xdr:row>
                    <xdr:rowOff>7620</xdr:rowOff>
                  </from>
                  <to>
                    <xdr:col>19</xdr:col>
                    <xdr:colOff>259080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3" name="chkQuick_F-027">
              <controlPr defaultSize="0" autoFill="0" autoLine="0" autoPict="0">
                <anchor moveWithCells="1">
                  <from>
                    <xdr:col>19</xdr:col>
                    <xdr:colOff>22860</xdr:colOff>
                    <xdr:row>30</xdr:row>
                    <xdr:rowOff>7620</xdr:rowOff>
                  </from>
                  <to>
                    <xdr:col>19</xdr:col>
                    <xdr:colOff>259080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4" name="btnQuickView_F-027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30</xdr:row>
                    <xdr:rowOff>15240</xdr:rowOff>
                  </from>
                  <to>
                    <xdr:col>23</xdr:col>
                    <xdr:colOff>60960</xdr:colOff>
                    <xdr:row>30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5" name="chkQuick_F-028">
              <controlPr defaultSize="0" autoFill="0" autoLine="0" autoPict="0">
                <anchor moveWithCells="1">
                  <from>
                    <xdr:col>19</xdr:col>
                    <xdr:colOff>22860</xdr:colOff>
                    <xdr:row>31</xdr:row>
                    <xdr:rowOff>7620</xdr:rowOff>
                  </from>
                  <to>
                    <xdr:col>19</xdr:col>
                    <xdr:colOff>259080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6" name="chkQuick_F-029">
              <controlPr defaultSize="0" autoFill="0" autoLine="0" autoPict="0">
                <anchor moveWithCells="1">
                  <from>
                    <xdr:col>19</xdr:col>
                    <xdr:colOff>22860</xdr:colOff>
                    <xdr:row>32</xdr:row>
                    <xdr:rowOff>7620</xdr:rowOff>
                  </from>
                  <to>
                    <xdr:col>19</xdr:col>
                    <xdr:colOff>259080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7" name="btnQuickView_F-029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32</xdr:row>
                    <xdr:rowOff>15240</xdr:rowOff>
                  </from>
                  <to>
                    <xdr:col>23</xdr:col>
                    <xdr:colOff>60960</xdr:colOff>
                    <xdr:row>32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8" name="chkQuick_F-030">
              <controlPr defaultSize="0" autoFill="0" autoLine="0" autoPict="0">
                <anchor moveWithCells="1">
                  <from>
                    <xdr:col>19</xdr:col>
                    <xdr:colOff>22860</xdr:colOff>
                    <xdr:row>33</xdr:row>
                    <xdr:rowOff>7620</xdr:rowOff>
                  </from>
                  <to>
                    <xdr:col>19</xdr:col>
                    <xdr:colOff>259080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9" name="btnQuickView_F-030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33</xdr:row>
                    <xdr:rowOff>15240</xdr:rowOff>
                  </from>
                  <to>
                    <xdr:col>23</xdr:col>
                    <xdr:colOff>60960</xdr:colOff>
                    <xdr:row>33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70" name="chkQuick_F-031">
              <controlPr defaultSize="0" autoFill="0" autoLine="0" autoPict="0">
                <anchor moveWithCells="1">
                  <from>
                    <xdr:col>19</xdr:col>
                    <xdr:colOff>22860</xdr:colOff>
                    <xdr:row>34</xdr:row>
                    <xdr:rowOff>7620</xdr:rowOff>
                  </from>
                  <to>
                    <xdr:col>19</xdr:col>
                    <xdr:colOff>259080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71" name="btnQuickView_F-031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34</xdr:row>
                    <xdr:rowOff>15240</xdr:rowOff>
                  </from>
                  <to>
                    <xdr:col>23</xdr:col>
                    <xdr:colOff>60960</xdr:colOff>
                    <xdr:row>34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72" name="chkQuick_F-032">
              <controlPr defaultSize="0" autoFill="0" autoLine="0" autoPict="0">
                <anchor moveWithCells="1">
                  <from>
                    <xdr:col>19</xdr:col>
                    <xdr:colOff>22860</xdr:colOff>
                    <xdr:row>35</xdr:row>
                    <xdr:rowOff>7620</xdr:rowOff>
                  </from>
                  <to>
                    <xdr:col>19</xdr:col>
                    <xdr:colOff>259080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73" name="btnQuickView_F-032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35</xdr:row>
                    <xdr:rowOff>15240</xdr:rowOff>
                  </from>
                  <to>
                    <xdr:col>23</xdr:col>
                    <xdr:colOff>60960</xdr:colOff>
                    <xdr:row>35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74" name="chkQuick_F-033">
              <controlPr defaultSize="0" autoFill="0" autoLine="0" autoPict="0">
                <anchor moveWithCells="1">
                  <from>
                    <xdr:col>19</xdr:col>
                    <xdr:colOff>22860</xdr:colOff>
                    <xdr:row>36</xdr:row>
                    <xdr:rowOff>7620</xdr:rowOff>
                  </from>
                  <to>
                    <xdr:col>19</xdr:col>
                    <xdr:colOff>259080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75" name="btnQuickView_F-033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36</xdr:row>
                    <xdr:rowOff>15240</xdr:rowOff>
                  </from>
                  <to>
                    <xdr:col>23</xdr:col>
                    <xdr:colOff>60960</xdr:colOff>
                    <xdr:row>36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76" name="chkQuick_F-034">
              <controlPr defaultSize="0" autoFill="0" autoLine="0" autoPict="0">
                <anchor moveWithCells="1">
                  <from>
                    <xdr:col>19</xdr:col>
                    <xdr:colOff>22860</xdr:colOff>
                    <xdr:row>37</xdr:row>
                    <xdr:rowOff>7620</xdr:rowOff>
                  </from>
                  <to>
                    <xdr:col>19</xdr:col>
                    <xdr:colOff>259080</xdr:colOff>
                    <xdr:row>38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77" name="btnQuickView_F-034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37</xdr:row>
                    <xdr:rowOff>15240</xdr:rowOff>
                  </from>
                  <to>
                    <xdr:col>23</xdr:col>
                    <xdr:colOff>60960</xdr:colOff>
                    <xdr:row>37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78" name="chkQuick_F-035">
              <controlPr defaultSize="0" autoFill="0" autoLine="0" autoPict="0">
                <anchor moveWithCells="1">
                  <from>
                    <xdr:col>19</xdr:col>
                    <xdr:colOff>22860</xdr:colOff>
                    <xdr:row>38</xdr:row>
                    <xdr:rowOff>7620</xdr:rowOff>
                  </from>
                  <to>
                    <xdr:col>19</xdr:col>
                    <xdr:colOff>259080</xdr:colOff>
                    <xdr:row>39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79" name="btnQuickView_F-035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38</xdr:row>
                    <xdr:rowOff>15240</xdr:rowOff>
                  </from>
                  <to>
                    <xdr:col>23</xdr:col>
                    <xdr:colOff>60960</xdr:colOff>
                    <xdr:row>38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80" name="chkQuick_F-036">
              <controlPr defaultSize="0" autoFill="0" autoLine="0" autoPict="0">
                <anchor moveWithCells="1">
                  <from>
                    <xdr:col>19</xdr:col>
                    <xdr:colOff>22860</xdr:colOff>
                    <xdr:row>39</xdr:row>
                    <xdr:rowOff>7620</xdr:rowOff>
                  </from>
                  <to>
                    <xdr:col>19</xdr:col>
                    <xdr:colOff>259080</xdr:colOff>
                    <xdr:row>40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81" name="btnQuickView_F-036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39</xdr:row>
                    <xdr:rowOff>15240</xdr:rowOff>
                  </from>
                  <to>
                    <xdr:col>23</xdr:col>
                    <xdr:colOff>60960</xdr:colOff>
                    <xdr:row>39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82" name="chkQuick_F-037">
              <controlPr defaultSize="0" autoFill="0" autoLine="0" autoPict="0">
                <anchor moveWithCells="1">
                  <from>
                    <xdr:col>19</xdr:col>
                    <xdr:colOff>22860</xdr:colOff>
                    <xdr:row>40</xdr:row>
                    <xdr:rowOff>7620</xdr:rowOff>
                  </from>
                  <to>
                    <xdr:col>19</xdr:col>
                    <xdr:colOff>259080</xdr:colOff>
                    <xdr:row>41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83" name="btnQuickView_F-037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40</xdr:row>
                    <xdr:rowOff>15240</xdr:rowOff>
                  </from>
                  <to>
                    <xdr:col>23</xdr:col>
                    <xdr:colOff>60960</xdr:colOff>
                    <xdr:row>40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84" name="chkQuick_F-038">
              <controlPr defaultSize="0" autoFill="0" autoLine="0" autoPict="0">
                <anchor moveWithCells="1">
                  <from>
                    <xdr:col>19</xdr:col>
                    <xdr:colOff>22860</xdr:colOff>
                    <xdr:row>41</xdr:row>
                    <xdr:rowOff>7620</xdr:rowOff>
                  </from>
                  <to>
                    <xdr:col>19</xdr:col>
                    <xdr:colOff>259080</xdr:colOff>
                    <xdr:row>42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85" name="btnQuickView_F-038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41</xdr:row>
                    <xdr:rowOff>15240</xdr:rowOff>
                  </from>
                  <to>
                    <xdr:col>23</xdr:col>
                    <xdr:colOff>60960</xdr:colOff>
                    <xdr:row>41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86" name="chkQuick_F-039">
              <controlPr defaultSize="0" autoFill="0" autoLine="0" autoPict="0">
                <anchor moveWithCells="1">
                  <from>
                    <xdr:col>19</xdr:col>
                    <xdr:colOff>22860</xdr:colOff>
                    <xdr:row>42</xdr:row>
                    <xdr:rowOff>7620</xdr:rowOff>
                  </from>
                  <to>
                    <xdr:col>19</xdr:col>
                    <xdr:colOff>259080</xdr:colOff>
                    <xdr:row>43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87" name="btnQuickView_F-039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42</xdr:row>
                    <xdr:rowOff>15240</xdr:rowOff>
                  </from>
                  <to>
                    <xdr:col>23</xdr:col>
                    <xdr:colOff>60960</xdr:colOff>
                    <xdr:row>42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88" name="chkQuick_F-040">
              <controlPr defaultSize="0" autoFill="0" autoLine="0" autoPict="0">
                <anchor moveWithCells="1">
                  <from>
                    <xdr:col>19</xdr:col>
                    <xdr:colOff>22860</xdr:colOff>
                    <xdr:row>43</xdr:row>
                    <xdr:rowOff>7620</xdr:rowOff>
                  </from>
                  <to>
                    <xdr:col>19</xdr:col>
                    <xdr:colOff>259080</xdr:colOff>
                    <xdr:row>44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89" name="btnQuickView_F-040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43</xdr:row>
                    <xdr:rowOff>15240</xdr:rowOff>
                  </from>
                  <to>
                    <xdr:col>23</xdr:col>
                    <xdr:colOff>60960</xdr:colOff>
                    <xdr:row>43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90" name="chkQuick_F-041">
              <controlPr defaultSize="0" autoFill="0" autoLine="0" autoPict="0">
                <anchor moveWithCells="1">
                  <from>
                    <xdr:col>19</xdr:col>
                    <xdr:colOff>22860</xdr:colOff>
                    <xdr:row>44</xdr:row>
                    <xdr:rowOff>7620</xdr:rowOff>
                  </from>
                  <to>
                    <xdr:col>19</xdr:col>
                    <xdr:colOff>259080</xdr:colOff>
                    <xdr:row>45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91" name="btnQuickView_F-041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44</xdr:row>
                    <xdr:rowOff>15240</xdr:rowOff>
                  </from>
                  <to>
                    <xdr:col>23</xdr:col>
                    <xdr:colOff>60960</xdr:colOff>
                    <xdr:row>44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92" name="chkQuick_F-042">
              <controlPr defaultSize="0" autoFill="0" autoLine="0" autoPict="0">
                <anchor moveWithCells="1">
                  <from>
                    <xdr:col>19</xdr:col>
                    <xdr:colOff>22860</xdr:colOff>
                    <xdr:row>45</xdr:row>
                    <xdr:rowOff>7620</xdr:rowOff>
                  </from>
                  <to>
                    <xdr:col>19</xdr:col>
                    <xdr:colOff>259080</xdr:colOff>
                    <xdr:row>46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93" name="btnQuickView_F-042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45</xdr:row>
                    <xdr:rowOff>15240</xdr:rowOff>
                  </from>
                  <to>
                    <xdr:col>23</xdr:col>
                    <xdr:colOff>60960</xdr:colOff>
                    <xdr:row>45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94" name="chkQuick_F-043">
              <controlPr defaultSize="0" autoFill="0" autoLine="0" autoPict="0">
                <anchor moveWithCells="1">
                  <from>
                    <xdr:col>19</xdr:col>
                    <xdr:colOff>22860</xdr:colOff>
                    <xdr:row>46</xdr:row>
                    <xdr:rowOff>7620</xdr:rowOff>
                  </from>
                  <to>
                    <xdr:col>19</xdr:col>
                    <xdr:colOff>259080</xdr:colOff>
                    <xdr:row>47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95" name="btnQuickView_F-043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46</xdr:row>
                    <xdr:rowOff>15240</xdr:rowOff>
                  </from>
                  <to>
                    <xdr:col>23</xdr:col>
                    <xdr:colOff>60960</xdr:colOff>
                    <xdr:row>46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96" name="chkQuick_F-044">
              <controlPr defaultSize="0" autoFill="0" autoLine="0" autoPict="0">
                <anchor moveWithCells="1">
                  <from>
                    <xdr:col>19</xdr:col>
                    <xdr:colOff>22860</xdr:colOff>
                    <xdr:row>47</xdr:row>
                    <xdr:rowOff>7620</xdr:rowOff>
                  </from>
                  <to>
                    <xdr:col>19</xdr:col>
                    <xdr:colOff>259080</xdr:colOff>
                    <xdr:row>48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97" name="btnQuickView_F-044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47</xdr:row>
                    <xdr:rowOff>15240</xdr:rowOff>
                  </from>
                  <to>
                    <xdr:col>23</xdr:col>
                    <xdr:colOff>60960</xdr:colOff>
                    <xdr:row>47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98" name="chkQuick_F-045">
              <controlPr defaultSize="0" autoFill="0" autoLine="0" autoPict="0">
                <anchor moveWithCells="1">
                  <from>
                    <xdr:col>19</xdr:col>
                    <xdr:colOff>22860</xdr:colOff>
                    <xdr:row>48</xdr:row>
                    <xdr:rowOff>7620</xdr:rowOff>
                  </from>
                  <to>
                    <xdr:col>19</xdr:col>
                    <xdr:colOff>259080</xdr:colOff>
                    <xdr:row>49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99" name="btnQuickView_F-045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48</xdr:row>
                    <xdr:rowOff>15240</xdr:rowOff>
                  </from>
                  <to>
                    <xdr:col>23</xdr:col>
                    <xdr:colOff>60960</xdr:colOff>
                    <xdr:row>48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100" name="chkQuick_F-046">
              <controlPr defaultSize="0" autoFill="0" autoLine="0" autoPict="0">
                <anchor moveWithCells="1">
                  <from>
                    <xdr:col>19</xdr:col>
                    <xdr:colOff>22860</xdr:colOff>
                    <xdr:row>49</xdr:row>
                    <xdr:rowOff>7620</xdr:rowOff>
                  </from>
                  <to>
                    <xdr:col>19</xdr:col>
                    <xdr:colOff>259080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101" name="btnQuickView_F-046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49</xdr:row>
                    <xdr:rowOff>15240</xdr:rowOff>
                  </from>
                  <to>
                    <xdr:col>23</xdr:col>
                    <xdr:colOff>60960</xdr:colOff>
                    <xdr:row>49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102" name="chkQuick_F-047">
              <controlPr defaultSize="0" autoFill="0" autoLine="0" autoPict="0">
                <anchor moveWithCells="1">
                  <from>
                    <xdr:col>19</xdr:col>
                    <xdr:colOff>22860</xdr:colOff>
                    <xdr:row>50</xdr:row>
                    <xdr:rowOff>7620</xdr:rowOff>
                  </from>
                  <to>
                    <xdr:col>19</xdr:col>
                    <xdr:colOff>259080</xdr:colOff>
                    <xdr:row>51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103" name="btnQuickView_F-047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50</xdr:row>
                    <xdr:rowOff>15240</xdr:rowOff>
                  </from>
                  <to>
                    <xdr:col>23</xdr:col>
                    <xdr:colOff>60960</xdr:colOff>
                    <xdr:row>50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104" name="chkQuick_F-048">
              <controlPr defaultSize="0" autoFill="0" autoLine="0" autoPict="0">
                <anchor moveWithCells="1">
                  <from>
                    <xdr:col>19</xdr:col>
                    <xdr:colOff>22860</xdr:colOff>
                    <xdr:row>51</xdr:row>
                    <xdr:rowOff>7620</xdr:rowOff>
                  </from>
                  <to>
                    <xdr:col>19</xdr:col>
                    <xdr:colOff>259080</xdr:colOff>
                    <xdr:row>52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105" name="btnQuickView_F-048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51</xdr:row>
                    <xdr:rowOff>15240</xdr:rowOff>
                  </from>
                  <to>
                    <xdr:col>23</xdr:col>
                    <xdr:colOff>60960</xdr:colOff>
                    <xdr:row>51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106" name="chkQuick_F-049">
              <controlPr defaultSize="0" autoFill="0" autoLine="0" autoPict="0">
                <anchor moveWithCells="1">
                  <from>
                    <xdr:col>19</xdr:col>
                    <xdr:colOff>22860</xdr:colOff>
                    <xdr:row>52</xdr:row>
                    <xdr:rowOff>7620</xdr:rowOff>
                  </from>
                  <to>
                    <xdr:col>19</xdr:col>
                    <xdr:colOff>259080</xdr:colOff>
                    <xdr:row>53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107" name="btnQuickView_F-049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52</xdr:row>
                    <xdr:rowOff>15240</xdr:rowOff>
                  </from>
                  <to>
                    <xdr:col>23</xdr:col>
                    <xdr:colOff>60960</xdr:colOff>
                    <xdr:row>52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108" name="chkQuick_F-050">
              <controlPr defaultSize="0" autoFill="0" autoLine="0" autoPict="0">
                <anchor moveWithCells="1">
                  <from>
                    <xdr:col>19</xdr:col>
                    <xdr:colOff>22860</xdr:colOff>
                    <xdr:row>53</xdr:row>
                    <xdr:rowOff>7620</xdr:rowOff>
                  </from>
                  <to>
                    <xdr:col>19</xdr:col>
                    <xdr:colOff>259080</xdr:colOff>
                    <xdr:row>54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109" name="btnQuickView_F-050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53</xdr:row>
                    <xdr:rowOff>15240</xdr:rowOff>
                  </from>
                  <to>
                    <xdr:col>23</xdr:col>
                    <xdr:colOff>60960</xdr:colOff>
                    <xdr:row>53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110" name="chkQuick_F-051">
              <controlPr defaultSize="0" autoFill="0" autoLine="0" autoPict="0">
                <anchor moveWithCells="1">
                  <from>
                    <xdr:col>19</xdr:col>
                    <xdr:colOff>22860</xdr:colOff>
                    <xdr:row>54</xdr:row>
                    <xdr:rowOff>7620</xdr:rowOff>
                  </from>
                  <to>
                    <xdr:col>19</xdr:col>
                    <xdr:colOff>259080</xdr:colOff>
                    <xdr:row>55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111" name="chkQuick_F-052">
              <controlPr defaultSize="0" autoFill="0" autoLine="0" autoPict="0">
                <anchor moveWithCells="1">
                  <from>
                    <xdr:col>19</xdr:col>
                    <xdr:colOff>22860</xdr:colOff>
                    <xdr:row>55</xdr:row>
                    <xdr:rowOff>7620</xdr:rowOff>
                  </from>
                  <to>
                    <xdr:col>19</xdr:col>
                    <xdr:colOff>259080</xdr:colOff>
                    <xdr:row>56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112" name="Check Box 109">
              <controlPr defaultSize="0" autoFill="0" autoLine="0" autoPict="0">
                <anchor moveWithCells="1">
                  <from>
                    <xdr:col>19</xdr:col>
                    <xdr:colOff>22860</xdr:colOff>
                    <xdr:row>5</xdr:row>
                    <xdr:rowOff>7620</xdr:rowOff>
                  </from>
                  <to>
                    <xdr:col>19</xdr:col>
                    <xdr:colOff>259080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113" name="Check Box 110">
              <controlPr defaultSize="0" autoFill="0" autoLine="0" autoPict="0">
                <anchor moveWithCells="1">
                  <from>
                    <xdr:col>19</xdr:col>
                    <xdr:colOff>22860</xdr:colOff>
                    <xdr:row>6</xdr:row>
                    <xdr:rowOff>7620</xdr:rowOff>
                  </from>
                  <to>
                    <xdr:col>19</xdr:col>
                    <xdr:colOff>259080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114" name="Button 111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6</xdr:row>
                    <xdr:rowOff>15240</xdr:rowOff>
                  </from>
                  <to>
                    <xdr:col>23</xdr:col>
                    <xdr:colOff>60960</xdr:colOff>
                    <xdr:row>6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115" name="Check Box 112">
              <controlPr defaultSize="0" autoFill="0" autoLine="0" autoPict="0">
                <anchor moveWithCells="1">
                  <from>
                    <xdr:col>19</xdr:col>
                    <xdr:colOff>22860</xdr:colOff>
                    <xdr:row>7</xdr:row>
                    <xdr:rowOff>7620</xdr:rowOff>
                  </from>
                  <to>
                    <xdr:col>19</xdr:col>
                    <xdr:colOff>259080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116" name="Button 113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7</xdr:row>
                    <xdr:rowOff>15240</xdr:rowOff>
                  </from>
                  <to>
                    <xdr:col>23</xdr:col>
                    <xdr:colOff>60960</xdr:colOff>
                    <xdr:row>7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117" name="Check Box 114">
              <controlPr defaultSize="0" autoFill="0" autoLine="0" autoPict="0">
                <anchor moveWithCells="1">
                  <from>
                    <xdr:col>19</xdr:col>
                    <xdr:colOff>22860</xdr:colOff>
                    <xdr:row>8</xdr:row>
                    <xdr:rowOff>7620</xdr:rowOff>
                  </from>
                  <to>
                    <xdr:col>19</xdr:col>
                    <xdr:colOff>259080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118" name="Button 115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8</xdr:row>
                    <xdr:rowOff>15240</xdr:rowOff>
                  </from>
                  <to>
                    <xdr:col>23</xdr:col>
                    <xdr:colOff>60960</xdr:colOff>
                    <xdr:row>8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119" name="Check Box 116">
              <controlPr defaultSize="0" autoFill="0" autoLine="0" autoPict="0">
                <anchor moveWithCells="1">
                  <from>
                    <xdr:col>19</xdr:col>
                    <xdr:colOff>22860</xdr:colOff>
                    <xdr:row>9</xdr:row>
                    <xdr:rowOff>7620</xdr:rowOff>
                  </from>
                  <to>
                    <xdr:col>19</xdr:col>
                    <xdr:colOff>259080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120" name="Button 117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9</xdr:row>
                    <xdr:rowOff>15240</xdr:rowOff>
                  </from>
                  <to>
                    <xdr:col>23</xdr:col>
                    <xdr:colOff>60960</xdr:colOff>
                    <xdr:row>9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121" name="Check Box 118">
              <controlPr defaultSize="0" autoFill="0" autoLine="0" autoPict="0">
                <anchor moveWithCells="1">
                  <from>
                    <xdr:col>19</xdr:col>
                    <xdr:colOff>22860</xdr:colOff>
                    <xdr:row>10</xdr:row>
                    <xdr:rowOff>7620</xdr:rowOff>
                  </from>
                  <to>
                    <xdr:col>19</xdr:col>
                    <xdr:colOff>259080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122" name="Button 119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10</xdr:row>
                    <xdr:rowOff>15240</xdr:rowOff>
                  </from>
                  <to>
                    <xdr:col>23</xdr:col>
                    <xdr:colOff>60960</xdr:colOff>
                    <xdr:row>10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123" name="Check Box 120">
              <controlPr defaultSize="0" autoFill="0" autoLine="0" autoPict="0">
                <anchor moveWithCells="1">
                  <from>
                    <xdr:col>19</xdr:col>
                    <xdr:colOff>22860</xdr:colOff>
                    <xdr:row>11</xdr:row>
                    <xdr:rowOff>7620</xdr:rowOff>
                  </from>
                  <to>
                    <xdr:col>19</xdr:col>
                    <xdr:colOff>259080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124" name="Button 121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11</xdr:row>
                    <xdr:rowOff>15240</xdr:rowOff>
                  </from>
                  <to>
                    <xdr:col>23</xdr:col>
                    <xdr:colOff>60960</xdr:colOff>
                    <xdr:row>11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125" name="Check Box 122">
              <controlPr defaultSize="0" autoFill="0" autoLine="0" autoPict="0">
                <anchor moveWithCells="1">
                  <from>
                    <xdr:col>19</xdr:col>
                    <xdr:colOff>22860</xdr:colOff>
                    <xdr:row>12</xdr:row>
                    <xdr:rowOff>7620</xdr:rowOff>
                  </from>
                  <to>
                    <xdr:col>19</xdr:col>
                    <xdr:colOff>259080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126" name="Button 123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12</xdr:row>
                    <xdr:rowOff>15240</xdr:rowOff>
                  </from>
                  <to>
                    <xdr:col>23</xdr:col>
                    <xdr:colOff>60960</xdr:colOff>
                    <xdr:row>12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127" name="Check Box 124">
              <controlPr defaultSize="0" autoFill="0" autoLine="0" autoPict="0">
                <anchor moveWithCells="1">
                  <from>
                    <xdr:col>19</xdr:col>
                    <xdr:colOff>22860</xdr:colOff>
                    <xdr:row>13</xdr:row>
                    <xdr:rowOff>7620</xdr:rowOff>
                  </from>
                  <to>
                    <xdr:col>19</xdr:col>
                    <xdr:colOff>259080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128" name="Button 125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13</xdr:row>
                    <xdr:rowOff>15240</xdr:rowOff>
                  </from>
                  <to>
                    <xdr:col>23</xdr:col>
                    <xdr:colOff>60960</xdr:colOff>
                    <xdr:row>13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129" name="Check Box 126">
              <controlPr defaultSize="0" autoFill="0" autoLine="0" autoPict="0">
                <anchor moveWithCells="1">
                  <from>
                    <xdr:col>19</xdr:col>
                    <xdr:colOff>22860</xdr:colOff>
                    <xdr:row>14</xdr:row>
                    <xdr:rowOff>7620</xdr:rowOff>
                  </from>
                  <to>
                    <xdr:col>19</xdr:col>
                    <xdr:colOff>259080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130" name="Button 127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14</xdr:row>
                    <xdr:rowOff>15240</xdr:rowOff>
                  </from>
                  <to>
                    <xdr:col>23</xdr:col>
                    <xdr:colOff>60960</xdr:colOff>
                    <xdr:row>14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131" name="Check Box 128">
              <controlPr defaultSize="0" autoFill="0" autoLine="0" autoPict="0">
                <anchor moveWithCells="1">
                  <from>
                    <xdr:col>19</xdr:col>
                    <xdr:colOff>22860</xdr:colOff>
                    <xdr:row>15</xdr:row>
                    <xdr:rowOff>7620</xdr:rowOff>
                  </from>
                  <to>
                    <xdr:col>19</xdr:col>
                    <xdr:colOff>259080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132" name="Button 129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15</xdr:row>
                    <xdr:rowOff>15240</xdr:rowOff>
                  </from>
                  <to>
                    <xdr:col>23</xdr:col>
                    <xdr:colOff>60960</xdr:colOff>
                    <xdr:row>15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133" name="Check Box 130">
              <controlPr defaultSize="0" autoFill="0" autoLine="0" autoPict="0">
                <anchor moveWithCells="1">
                  <from>
                    <xdr:col>19</xdr:col>
                    <xdr:colOff>22860</xdr:colOff>
                    <xdr:row>16</xdr:row>
                    <xdr:rowOff>7620</xdr:rowOff>
                  </from>
                  <to>
                    <xdr:col>19</xdr:col>
                    <xdr:colOff>259080</xdr:colOff>
                    <xdr:row>17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134" name="Check Box 131">
              <controlPr defaultSize="0" autoFill="0" autoLine="0" autoPict="0">
                <anchor moveWithCells="1">
                  <from>
                    <xdr:col>19</xdr:col>
                    <xdr:colOff>22860</xdr:colOff>
                    <xdr:row>17</xdr:row>
                    <xdr:rowOff>7620</xdr:rowOff>
                  </from>
                  <to>
                    <xdr:col>19</xdr:col>
                    <xdr:colOff>259080</xdr:colOff>
                    <xdr:row>18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135" name="Button 132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17</xdr:row>
                    <xdr:rowOff>15240</xdr:rowOff>
                  </from>
                  <to>
                    <xdr:col>23</xdr:col>
                    <xdr:colOff>60960</xdr:colOff>
                    <xdr:row>17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136" name="Check Box 133">
              <controlPr defaultSize="0" autoFill="0" autoLine="0" autoPict="0">
                <anchor moveWithCells="1">
                  <from>
                    <xdr:col>19</xdr:col>
                    <xdr:colOff>22860</xdr:colOff>
                    <xdr:row>18</xdr:row>
                    <xdr:rowOff>7620</xdr:rowOff>
                  </from>
                  <to>
                    <xdr:col>19</xdr:col>
                    <xdr:colOff>259080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137" name="Button 134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18</xdr:row>
                    <xdr:rowOff>15240</xdr:rowOff>
                  </from>
                  <to>
                    <xdr:col>23</xdr:col>
                    <xdr:colOff>60960</xdr:colOff>
                    <xdr:row>18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138" name="Check Box 135">
              <controlPr defaultSize="0" autoFill="0" autoLine="0" autoPict="0">
                <anchor moveWithCells="1">
                  <from>
                    <xdr:col>19</xdr:col>
                    <xdr:colOff>22860</xdr:colOff>
                    <xdr:row>19</xdr:row>
                    <xdr:rowOff>7620</xdr:rowOff>
                  </from>
                  <to>
                    <xdr:col>19</xdr:col>
                    <xdr:colOff>259080</xdr:colOff>
                    <xdr:row>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139" name="Button 136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19</xdr:row>
                    <xdr:rowOff>15240</xdr:rowOff>
                  </from>
                  <to>
                    <xdr:col>23</xdr:col>
                    <xdr:colOff>60960</xdr:colOff>
                    <xdr:row>19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140" name="Check Box 137">
              <controlPr defaultSize="0" autoFill="0" autoLine="0" autoPict="0">
                <anchor moveWithCells="1">
                  <from>
                    <xdr:col>19</xdr:col>
                    <xdr:colOff>22860</xdr:colOff>
                    <xdr:row>20</xdr:row>
                    <xdr:rowOff>7620</xdr:rowOff>
                  </from>
                  <to>
                    <xdr:col>19</xdr:col>
                    <xdr:colOff>259080</xdr:colOff>
                    <xdr:row>21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141" name="Button 138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20</xdr:row>
                    <xdr:rowOff>15240</xdr:rowOff>
                  </from>
                  <to>
                    <xdr:col>23</xdr:col>
                    <xdr:colOff>60960</xdr:colOff>
                    <xdr:row>20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142" name="Check Box 139">
              <controlPr defaultSize="0" autoFill="0" autoLine="0" autoPict="0">
                <anchor moveWithCells="1">
                  <from>
                    <xdr:col>19</xdr:col>
                    <xdr:colOff>22860</xdr:colOff>
                    <xdr:row>21</xdr:row>
                    <xdr:rowOff>7620</xdr:rowOff>
                  </from>
                  <to>
                    <xdr:col>19</xdr:col>
                    <xdr:colOff>259080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143" name="Button 140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21</xdr:row>
                    <xdr:rowOff>15240</xdr:rowOff>
                  </from>
                  <to>
                    <xdr:col>23</xdr:col>
                    <xdr:colOff>60960</xdr:colOff>
                    <xdr:row>21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144" name="Check Box 141">
              <controlPr defaultSize="0" autoFill="0" autoLine="0" autoPict="0">
                <anchor moveWithCells="1">
                  <from>
                    <xdr:col>19</xdr:col>
                    <xdr:colOff>22860</xdr:colOff>
                    <xdr:row>22</xdr:row>
                    <xdr:rowOff>7620</xdr:rowOff>
                  </from>
                  <to>
                    <xdr:col>19</xdr:col>
                    <xdr:colOff>259080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145" name="Button 142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22</xdr:row>
                    <xdr:rowOff>15240</xdr:rowOff>
                  </from>
                  <to>
                    <xdr:col>23</xdr:col>
                    <xdr:colOff>60960</xdr:colOff>
                    <xdr:row>22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146" name="Check Box 143">
              <controlPr defaultSize="0" autoFill="0" autoLine="0" autoPict="0">
                <anchor moveWithCells="1">
                  <from>
                    <xdr:col>19</xdr:col>
                    <xdr:colOff>22860</xdr:colOff>
                    <xdr:row>23</xdr:row>
                    <xdr:rowOff>7620</xdr:rowOff>
                  </from>
                  <to>
                    <xdr:col>19</xdr:col>
                    <xdr:colOff>259080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147" name="Button 144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23</xdr:row>
                    <xdr:rowOff>15240</xdr:rowOff>
                  </from>
                  <to>
                    <xdr:col>23</xdr:col>
                    <xdr:colOff>60960</xdr:colOff>
                    <xdr:row>23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148" name="Check Box 145">
              <controlPr defaultSize="0" autoFill="0" autoLine="0" autoPict="0">
                <anchor moveWithCells="1">
                  <from>
                    <xdr:col>19</xdr:col>
                    <xdr:colOff>22860</xdr:colOff>
                    <xdr:row>24</xdr:row>
                    <xdr:rowOff>7620</xdr:rowOff>
                  </from>
                  <to>
                    <xdr:col>19</xdr:col>
                    <xdr:colOff>259080</xdr:colOff>
                    <xdr:row>24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149" name="Button 146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24</xdr:row>
                    <xdr:rowOff>281940</xdr:rowOff>
                  </from>
                  <to>
                    <xdr:col>23</xdr:col>
                    <xdr:colOff>60960</xdr:colOff>
                    <xdr:row>24</xdr:row>
                    <xdr:rowOff>472440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150" name="Check Box 147">
              <controlPr defaultSize="0" autoFill="0" autoLine="0" autoPict="0">
                <anchor moveWithCells="1">
                  <from>
                    <xdr:col>19</xdr:col>
                    <xdr:colOff>22860</xdr:colOff>
                    <xdr:row>25</xdr:row>
                    <xdr:rowOff>7620</xdr:rowOff>
                  </from>
                  <to>
                    <xdr:col>19</xdr:col>
                    <xdr:colOff>259080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151" name="Button 148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25</xdr:row>
                    <xdr:rowOff>15240</xdr:rowOff>
                  </from>
                  <to>
                    <xdr:col>23</xdr:col>
                    <xdr:colOff>60960</xdr:colOff>
                    <xdr:row>25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152" name="Check Box 149">
              <controlPr defaultSize="0" autoFill="0" autoLine="0" autoPict="0">
                <anchor moveWithCells="1">
                  <from>
                    <xdr:col>19</xdr:col>
                    <xdr:colOff>22860</xdr:colOff>
                    <xdr:row>26</xdr:row>
                    <xdr:rowOff>7620</xdr:rowOff>
                  </from>
                  <to>
                    <xdr:col>19</xdr:col>
                    <xdr:colOff>259080</xdr:colOff>
                    <xdr:row>27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153" name="Button 150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26</xdr:row>
                    <xdr:rowOff>15240</xdr:rowOff>
                  </from>
                  <to>
                    <xdr:col>23</xdr:col>
                    <xdr:colOff>60960</xdr:colOff>
                    <xdr:row>26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154" name="Check Box 151">
              <controlPr defaultSize="0" autoFill="0" autoLine="0" autoPict="0">
                <anchor moveWithCells="1">
                  <from>
                    <xdr:col>19</xdr:col>
                    <xdr:colOff>22860</xdr:colOff>
                    <xdr:row>27</xdr:row>
                    <xdr:rowOff>7620</xdr:rowOff>
                  </from>
                  <to>
                    <xdr:col>19</xdr:col>
                    <xdr:colOff>259080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155" name="Button 152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27</xdr:row>
                    <xdr:rowOff>15240</xdr:rowOff>
                  </from>
                  <to>
                    <xdr:col>23</xdr:col>
                    <xdr:colOff>60960</xdr:colOff>
                    <xdr:row>27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156" name="Check Box 153">
              <controlPr defaultSize="0" autoFill="0" autoLine="0" autoPict="0">
                <anchor moveWithCells="1">
                  <from>
                    <xdr:col>19</xdr:col>
                    <xdr:colOff>22860</xdr:colOff>
                    <xdr:row>28</xdr:row>
                    <xdr:rowOff>7620</xdr:rowOff>
                  </from>
                  <to>
                    <xdr:col>19</xdr:col>
                    <xdr:colOff>259080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157" name="Button 154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28</xdr:row>
                    <xdr:rowOff>15240</xdr:rowOff>
                  </from>
                  <to>
                    <xdr:col>23</xdr:col>
                    <xdr:colOff>60960</xdr:colOff>
                    <xdr:row>28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158" name="Check Box 155">
              <controlPr defaultSize="0" autoFill="0" autoLine="0" autoPict="0">
                <anchor moveWithCells="1">
                  <from>
                    <xdr:col>19</xdr:col>
                    <xdr:colOff>22860</xdr:colOff>
                    <xdr:row>29</xdr:row>
                    <xdr:rowOff>7620</xdr:rowOff>
                  </from>
                  <to>
                    <xdr:col>19</xdr:col>
                    <xdr:colOff>259080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159" name="Check Box 156">
              <controlPr defaultSize="0" autoFill="0" autoLine="0" autoPict="0">
                <anchor moveWithCells="1">
                  <from>
                    <xdr:col>19</xdr:col>
                    <xdr:colOff>22860</xdr:colOff>
                    <xdr:row>30</xdr:row>
                    <xdr:rowOff>7620</xdr:rowOff>
                  </from>
                  <to>
                    <xdr:col>19</xdr:col>
                    <xdr:colOff>259080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160" name="Button 157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30</xdr:row>
                    <xdr:rowOff>15240</xdr:rowOff>
                  </from>
                  <to>
                    <xdr:col>23</xdr:col>
                    <xdr:colOff>60960</xdr:colOff>
                    <xdr:row>30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161" name="Check Box 158">
              <controlPr defaultSize="0" autoFill="0" autoLine="0" autoPict="0">
                <anchor moveWithCells="1">
                  <from>
                    <xdr:col>19</xdr:col>
                    <xdr:colOff>22860</xdr:colOff>
                    <xdr:row>31</xdr:row>
                    <xdr:rowOff>7620</xdr:rowOff>
                  </from>
                  <to>
                    <xdr:col>19</xdr:col>
                    <xdr:colOff>259080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162" name="Check Box 159">
              <controlPr defaultSize="0" autoFill="0" autoLine="0" autoPict="0">
                <anchor moveWithCells="1">
                  <from>
                    <xdr:col>19</xdr:col>
                    <xdr:colOff>22860</xdr:colOff>
                    <xdr:row>32</xdr:row>
                    <xdr:rowOff>7620</xdr:rowOff>
                  </from>
                  <to>
                    <xdr:col>19</xdr:col>
                    <xdr:colOff>259080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163" name="Button 160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32</xdr:row>
                    <xdr:rowOff>15240</xdr:rowOff>
                  </from>
                  <to>
                    <xdr:col>23</xdr:col>
                    <xdr:colOff>60960</xdr:colOff>
                    <xdr:row>32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164" name="Check Box 161">
              <controlPr defaultSize="0" autoFill="0" autoLine="0" autoPict="0">
                <anchor moveWithCells="1">
                  <from>
                    <xdr:col>19</xdr:col>
                    <xdr:colOff>22860</xdr:colOff>
                    <xdr:row>33</xdr:row>
                    <xdr:rowOff>7620</xdr:rowOff>
                  </from>
                  <to>
                    <xdr:col>19</xdr:col>
                    <xdr:colOff>259080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165" name="Button 162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33</xdr:row>
                    <xdr:rowOff>15240</xdr:rowOff>
                  </from>
                  <to>
                    <xdr:col>23</xdr:col>
                    <xdr:colOff>60960</xdr:colOff>
                    <xdr:row>33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166" name="Check Box 163">
              <controlPr defaultSize="0" autoFill="0" autoLine="0" autoPict="0">
                <anchor moveWithCells="1">
                  <from>
                    <xdr:col>19</xdr:col>
                    <xdr:colOff>22860</xdr:colOff>
                    <xdr:row>34</xdr:row>
                    <xdr:rowOff>7620</xdr:rowOff>
                  </from>
                  <to>
                    <xdr:col>19</xdr:col>
                    <xdr:colOff>259080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167" name="Button 164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34</xdr:row>
                    <xdr:rowOff>15240</xdr:rowOff>
                  </from>
                  <to>
                    <xdr:col>23</xdr:col>
                    <xdr:colOff>60960</xdr:colOff>
                    <xdr:row>34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168" name="Check Box 165">
              <controlPr defaultSize="0" autoFill="0" autoLine="0" autoPict="0">
                <anchor moveWithCells="1">
                  <from>
                    <xdr:col>19</xdr:col>
                    <xdr:colOff>22860</xdr:colOff>
                    <xdr:row>35</xdr:row>
                    <xdr:rowOff>7620</xdr:rowOff>
                  </from>
                  <to>
                    <xdr:col>19</xdr:col>
                    <xdr:colOff>259080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169" name="Button 166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35</xdr:row>
                    <xdr:rowOff>15240</xdr:rowOff>
                  </from>
                  <to>
                    <xdr:col>23</xdr:col>
                    <xdr:colOff>60960</xdr:colOff>
                    <xdr:row>35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170" name="Check Box 167">
              <controlPr defaultSize="0" autoFill="0" autoLine="0" autoPict="0">
                <anchor moveWithCells="1">
                  <from>
                    <xdr:col>19</xdr:col>
                    <xdr:colOff>22860</xdr:colOff>
                    <xdr:row>36</xdr:row>
                    <xdr:rowOff>7620</xdr:rowOff>
                  </from>
                  <to>
                    <xdr:col>19</xdr:col>
                    <xdr:colOff>259080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171" name="Button 168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36</xdr:row>
                    <xdr:rowOff>15240</xdr:rowOff>
                  </from>
                  <to>
                    <xdr:col>23</xdr:col>
                    <xdr:colOff>60960</xdr:colOff>
                    <xdr:row>36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172" name="Check Box 169">
              <controlPr defaultSize="0" autoFill="0" autoLine="0" autoPict="0">
                <anchor moveWithCells="1">
                  <from>
                    <xdr:col>19</xdr:col>
                    <xdr:colOff>22860</xdr:colOff>
                    <xdr:row>37</xdr:row>
                    <xdr:rowOff>7620</xdr:rowOff>
                  </from>
                  <to>
                    <xdr:col>19</xdr:col>
                    <xdr:colOff>259080</xdr:colOff>
                    <xdr:row>38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173" name="Button 170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37</xdr:row>
                    <xdr:rowOff>15240</xdr:rowOff>
                  </from>
                  <to>
                    <xdr:col>23</xdr:col>
                    <xdr:colOff>60960</xdr:colOff>
                    <xdr:row>37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174" name="Check Box 171">
              <controlPr defaultSize="0" autoFill="0" autoLine="0" autoPict="0">
                <anchor moveWithCells="1">
                  <from>
                    <xdr:col>19</xdr:col>
                    <xdr:colOff>22860</xdr:colOff>
                    <xdr:row>38</xdr:row>
                    <xdr:rowOff>7620</xdr:rowOff>
                  </from>
                  <to>
                    <xdr:col>19</xdr:col>
                    <xdr:colOff>259080</xdr:colOff>
                    <xdr:row>39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175" name="Button 172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38</xdr:row>
                    <xdr:rowOff>15240</xdr:rowOff>
                  </from>
                  <to>
                    <xdr:col>23</xdr:col>
                    <xdr:colOff>60960</xdr:colOff>
                    <xdr:row>38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176" name="Check Box 173">
              <controlPr defaultSize="0" autoFill="0" autoLine="0" autoPict="0">
                <anchor moveWithCells="1">
                  <from>
                    <xdr:col>19</xdr:col>
                    <xdr:colOff>22860</xdr:colOff>
                    <xdr:row>39</xdr:row>
                    <xdr:rowOff>7620</xdr:rowOff>
                  </from>
                  <to>
                    <xdr:col>19</xdr:col>
                    <xdr:colOff>259080</xdr:colOff>
                    <xdr:row>40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177" name="Button 174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39</xdr:row>
                    <xdr:rowOff>15240</xdr:rowOff>
                  </from>
                  <to>
                    <xdr:col>23</xdr:col>
                    <xdr:colOff>60960</xdr:colOff>
                    <xdr:row>39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178" name="Check Box 175">
              <controlPr defaultSize="0" autoFill="0" autoLine="0" autoPict="0">
                <anchor moveWithCells="1">
                  <from>
                    <xdr:col>19</xdr:col>
                    <xdr:colOff>22860</xdr:colOff>
                    <xdr:row>40</xdr:row>
                    <xdr:rowOff>7620</xdr:rowOff>
                  </from>
                  <to>
                    <xdr:col>19</xdr:col>
                    <xdr:colOff>259080</xdr:colOff>
                    <xdr:row>41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179" name="Button 176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40</xdr:row>
                    <xdr:rowOff>15240</xdr:rowOff>
                  </from>
                  <to>
                    <xdr:col>23</xdr:col>
                    <xdr:colOff>60960</xdr:colOff>
                    <xdr:row>40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180" name="Check Box 177">
              <controlPr defaultSize="0" autoFill="0" autoLine="0" autoPict="0">
                <anchor moveWithCells="1">
                  <from>
                    <xdr:col>19</xdr:col>
                    <xdr:colOff>22860</xdr:colOff>
                    <xdr:row>41</xdr:row>
                    <xdr:rowOff>7620</xdr:rowOff>
                  </from>
                  <to>
                    <xdr:col>19</xdr:col>
                    <xdr:colOff>259080</xdr:colOff>
                    <xdr:row>42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181" name="Button 178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41</xdr:row>
                    <xdr:rowOff>15240</xdr:rowOff>
                  </from>
                  <to>
                    <xdr:col>23</xdr:col>
                    <xdr:colOff>60960</xdr:colOff>
                    <xdr:row>41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182" name="Check Box 179">
              <controlPr defaultSize="0" autoFill="0" autoLine="0" autoPict="0">
                <anchor moveWithCells="1">
                  <from>
                    <xdr:col>19</xdr:col>
                    <xdr:colOff>22860</xdr:colOff>
                    <xdr:row>42</xdr:row>
                    <xdr:rowOff>7620</xdr:rowOff>
                  </from>
                  <to>
                    <xdr:col>19</xdr:col>
                    <xdr:colOff>259080</xdr:colOff>
                    <xdr:row>43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183" name="Button 180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42</xdr:row>
                    <xdr:rowOff>15240</xdr:rowOff>
                  </from>
                  <to>
                    <xdr:col>23</xdr:col>
                    <xdr:colOff>60960</xdr:colOff>
                    <xdr:row>42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184" name="Check Box 181">
              <controlPr defaultSize="0" autoFill="0" autoLine="0" autoPict="0">
                <anchor moveWithCells="1">
                  <from>
                    <xdr:col>19</xdr:col>
                    <xdr:colOff>22860</xdr:colOff>
                    <xdr:row>43</xdr:row>
                    <xdr:rowOff>7620</xdr:rowOff>
                  </from>
                  <to>
                    <xdr:col>19</xdr:col>
                    <xdr:colOff>259080</xdr:colOff>
                    <xdr:row>44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185" name="Button 182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43</xdr:row>
                    <xdr:rowOff>15240</xdr:rowOff>
                  </from>
                  <to>
                    <xdr:col>23</xdr:col>
                    <xdr:colOff>60960</xdr:colOff>
                    <xdr:row>43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186" name="Check Box 183">
              <controlPr defaultSize="0" autoFill="0" autoLine="0" autoPict="0">
                <anchor moveWithCells="1">
                  <from>
                    <xdr:col>19</xdr:col>
                    <xdr:colOff>22860</xdr:colOff>
                    <xdr:row>44</xdr:row>
                    <xdr:rowOff>7620</xdr:rowOff>
                  </from>
                  <to>
                    <xdr:col>19</xdr:col>
                    <xdr:colOff>259080</xdr:colOff>
                    <xdr:row>45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187" name="Button 184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44</xdr:row>
                    <xdr:rowOff>15240</xdr:rowOff>
                  </from>
                  <to>
                    <xdr:col>23</xdr:col>
                    <xdr:colOff>60960</xdr:colOff>
                    <xdr:row>44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188" name="Check Box 185">
              <controlPr defaultSize="0" autoFill="0" autoLine="0" autoPict="0">
                <anchor moveWithCells="1">
                  <from>
                    <xdr:col>19</xdr:col>
                    <xdr:colOff>22860</xdr:colOff>
                    <xdr:row>45</xdr:row>
                    <xdr:rowOff>7620</xdr:rowOff>
                  </from>
                  <to>
                    <xdr:col>19</xdr:col>
                    <xdr:colOff>259080</xdr:colOff>
                    <xdr:row>46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189" name="Button 186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45</xdr:row>
                    <xdr:rowOff>15240</xdr:rowOff>
                  </from>
                  <to>
                    <xdr:col>23</xdr:col>
                    <xdr:colOff>60960</xdr:colOff>
                    <xdr:row>45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190" name="Check Box 187">
              <controlPr defaultSize="0" autoFill="0" autoLine="0" autoPict="0">
                <anchor moveWithCells="1">
                  <from>
                    <xdr:col>19</xdr:col>
                    <xdr:colOff>22860</xdr:colOff>
                    <xdr:row>46</xdr:row>
                    <xdr:rowOff>7620</xdr:rowOff>
                  </from>
                  <to>
                    <xdr:col>19</xdr:col>
                    <xdr:colOff>259080</xdr:colOff>
                    <xdr:row>47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191" name="Button 188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46</xdr:row>
                    <xdr:rowOff>15240</xdr:rowOff>
                  </from>
                  <to>
                    <xdr:col>23</xdr:col>
                    <xdr:colOff>60960</xdr:colOff>
                    <xdr:row>46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192" name="Check Box 189">
              <controlPr defaultSize="0" autoFill="0" autoLine="0" autoPict="0">
                <anchor moveWithCells="1">
                  <from>
                    <xdr:col>19</xdr:col>
                    <xdr:colOff>22860</xdr:colOff>
                    <xdr:row>47</xdr:row>
                    <xdr:rowOff>7620</xdr:rowOff>
                  </from>
                  <to>
                    <xdr:col>19</xdr:col>
                    <xdr:colOff>259080</xdr:colOff>
                    <xdr:row>48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193" name="Button 190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47</xdr:row>
                    <xdr:rowOff>15240</xdr:rowOff>
                  </from>
                  <to>
                    <xdr:col>23</xdr:col>
                    <xdr:colOff>60960</xdr:colOff>
                    <xdr:row>47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194" name="Check Box 191">
              <controlPr defaultSize="0" autoFill="0" autoLine="0" autoPict="0">
                <anchor moveWithCells="1">
                  <from>
                    <xdr:col>19</xdr:col>
                    <xdr:colOff>22860</xdr:colOff>
                    <xdr:row>48</xdr:row>
                    <xdr:rowOff>7620</xdr:rowOff>
                  </from>
                  <to>
                    <xdr:col>19</xdr:col>
                    <xdr:colOff>259080</xdr:colOff>
                    <xdr:row>49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195" name="Button 192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48</xdr:row>
                    <xdr:rowOff>15240</xdr:rowOff>
                  </from>
                  <to>
                    <xdr:col>23</xdr:col>
                    <xdr:colOff>60960</xdr:colOff>
                    <xdr:row>48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196" name="Check Box 193">
              <controlPr defaultSize="0" autoFill="0" autoLine="0" autoPict="0">
                <anchor moveWithCells="1">
                  <from>
                    <xdr:col>19</xdr:col>
                    <xdr:colOff>22860</xdr:colOff>
                    <xdr:row>49</xdr:row>
                    <xdr:rowOff>7620</xdr:rowOff>
                  </from>
                  <to>
                    <xdr:col>19</xdr:col>
                    <xdr:colOff>259080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197" name="Button 194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49</xdr:row>
                    <xdr:rowOff>15240</xdr:rowOff>
                  </from>
                  <to>
                    <xdr:col>23</xdr:col>
                    <xdr:colOff>60960</xdr:colOff>
                    <xdr:row>49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198" name="Check Box 195">
              <controlPr defaultSize="0" autoFill="0" autoLine="0" autoPict="0">
                <anchor moveWithCells="1">
                  <from>
                    <xdr:col>19</xdr:col>
                    <xdr:colOff>22860</xdr:colOff>
                    <xdr:row>50</xdr:row>
                    <xdr:rowOff>7620</xdr:rowOff>
                  </from>
                  <to>
                    <xdr:col>19</xdr:col>
                    <xdr:colOff>259080</xdr:colOff>
                    <xdr:row>51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199" name="Button 196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50</xdr:row>
                    <xdr:rowOff>15240</xdr:rowOff>
                  </from>
                  <to>
                    <xdr:col>23</xdr:col>
                    <xdr:colOff>60960</xdr:colOff>
                    <xdr:row>50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200" name="Check Box 197">
              <controlPr defaultSize="0" autoFill="0" autoLine="0" autoPict="0">
                <anchor moveWithCells="1">
                  <from>
                    <xdr:col>19</xdr:col>
                    <xdr:colOff>22860</xdr:colOff>
                    <xdr:row>51</xdr:row>
                    <xdr:rowOff>7620</xdr:rowOff>
                  </from>
                  <to>
                    <xdr:col>19</xdr:col>
                    <xdr:colOff>259080</xdr:colOff>
                    <xdr:row>52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201" name="Button 198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51</xdr:row>
                    <xdr:rowOff>15240</xdr:rowOff>
                  </from>
                  <to>
                    <xdr:col>23</xdr:col>
                    <xdr:colOff>60960</xdr:colOff>
                    <xdr:row>51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202" name="Check Box 199">
              <controlPr defaultSize="0" autoFill="0" autoLine="0" autoPict="0">
                <anchor moveWithCells="1">
                  <from>
                    <xdr:col>19</xdr:col>
                    <xdr:colOff>22860</xdr:colOff>
                    <xdr:row>52</xdr:row>
                    <xdr:rowOff>7620</xdr:rowOff>
                  </from>
                  <to>
                    <xdr:col>19</xdr:col>
                    <xdr:colOff>259080</xdr:colOff>
                    <xdr:row>53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203" name="Button 200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52</xdr:row>
                    <xdr:rowOff>15240</xdr:rowOff>
                  </from>
                  <to>
                    <xdr:col>23</xdr:col>
                    <xdr:colOff>60960</xdr:colOff>
                    <xdr:row>52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204" name="Check Box 201">
              <controlPr defaultSize="0" autoFill="0" autoLine="0" autoPict="0">
                <anchor moveWithCells="1">
                  <from>
                    <xdr:col>19</xdr:col>
                    <xdr:colOff>22860</xdr:colOff>
                    <xdr:row>53</xdr:row>
                    <xdr:rowOff>7620</xdr:rowOff>
                  </from>
                  <to>
                    <xdr:col>19</xdr:col>
                    <xdr:colOff>259080</xdr:colOff>
                    <xdr:row>54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" r:id="rId205" name="Button 202">
              <controlPr defaultSize="0" print="0" autoFill="0" autoPict="0" macro="기초자료_보기_실행">
                <anchor moveWithCells="1" sizeWithCells="1">
                  <from>
                    <xdr:col>22</xdr:col>
                    <xdr:colOff>7620</xdr:colOff>
                    <xdr:row>53</xdr:row>
                    <xdr:rowOff>15240</xdr:rowOff>
                  </from>
                  <to>
                    <xdr:col>23</xdr:col>
                    <xdr:colOff>60960</xdr:colOff>
                    <xdr:row>53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" r:id="rId206" name="Check Box 203">
              <controlPr defaultSize="0" autoFill="0" autoLine="0" autoPict="0">
                <anchor moveWithCells="1">
                  <from>
                    <xdr:col>19</xdr:col>
                    <xdr:colOff>22860</xdr:colOff>
                    <xdr:row>54</xdr:row>
                    <xdr:rowOff>7620</xdr:rowOff>
                  </from>
                  <to>
                    <xdr:col>19</xdr:col>
                    <xdr:colOff>259080</xdr:colOff>
                    <xdr:row>55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207" name="Check Box 204">
              <controlPr defaultSize="0" autoFill="0" autoLine="0" autoPict="0">
                <anchor moveWithCells="1">
                  <from>
                    <xdr:col>19</xdr:col>
                    <xdr:colOff>22860</xdr:colOff>
                    <xdr:row>55</xdr:row>
                    <xdr:rowOff>7620</xdr:rowOff>
                  </from>
                  <to>
                    <xdr:col>19</xdr:col>
                    <xdr:colOff>259080</xdr:colOff>
                    <xdr:row>56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4C4BA-E132-4647-A0DC-2D9A0D302A87}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기초자료입력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최익창</dc:creator>
  <cp:lastModifiedBy>최익창</cp:lastModifiedBy>
  <dcterms:created xsi:type="dcterms:W3CDTF">2026-09-24T03:37:25Z</dcterms:created>
  <dcterms:modified xsi:type="dcterms:W3CDTF">2026-09-24T03:38:00Z</dcterms:modified>
</cp:coreProperties>
</file>