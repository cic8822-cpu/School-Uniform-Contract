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5.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Downloads\나연수_26.9.10\artifacts\excel\"/>
    </mc:Choice>
  </mc:AlternateContent>
  <xr:revisionPtr revIDLastSave="0" documentId="13_ncr:1_{4B6D63F1-8853-4F03-A7D4-2810510F4B5C}" xr6:coauthVersionLast="47" xr6:coauthVersionMax="47" xr10:uidLastSave="{00000000-0000-0000-0000-000000000000}"/>
  <bookViews>
    <workbookView xWindow="-120" yWindow="-120" windowWidth="29040" windowHeight="15720" firstSheet="47" activeTab="61" xr2:uid="{04AFDBCC-0E0D-442A-86D5-1E438982F7A5}"/>
  </bookViews>
  <sheets>
    <sheet name="계약방법안내" sheetId="62" r:id="rId1"/>
    <sheet name="절차안내" sheetId="61" r:id="rId2"/>
    <sheet name="학교검색" sheetId="60" r:id="rId3"/>
    <sheet name="학교정보" sheetId="59" r:id="rId4"/>
    <sheet name="F-040_위원청렴보안서약서" sheetId="58" r:id="rId5"/>
    <sheet name="F-039_업체별제안서평가표" sheetId="57" r:id="rId6"/>
    <sheet name="F-038_업체참가등록부" sheetId="56" r:id="rId7"/>
    <sheet name="F-037_평가위원회참석등록부" sheetId="55" r:id="rId8"/>
    <sheet name="F-036_제안서평가결과" sheetId="54" r:id="rId9"/>
    <sheet name="F-035_정량평가결과" sheetId="53" r:id="rId10"/>
    <sheet name="F-034_평가위원회개최" sheetId="52" r:id="rId11"/>
    <sheet name="F-033_제안서접수대장" sheetId="51" r:id="rId12"/>
    <sheet name="F-032_제안서접수결과" sheetId="50" r:id="rId13"/>
    <sheet name="F-031_교복품목별금액표" sheetId="49" r:id="rId14"/>
    <sheet name="F-030_청렴계약이행서약서" sheetId="48" r:id="rId15"/>
    <sheet name="F-029_개인정보제공동의서" sheetId="47" r:id="rId16"/>
    <sheet name="F-027_위임장" sheetId="46" r:id="rId17"/>
    <sheet name="F-050_만족도조사설문지" sheetId="45" r:id="rId18"/>
    <sheet name="F-049_만족도설문조사실시" sheetId="44" r:id="rId19"/>
    <sheet name="F-047_수요조사가정통신문" sheetId="43" r:id="rId20"/>
    <sheet name="F-048_교복구매안내신청수량파악" sheetId="42" r:id="rId21"/>
    <sheet name="F-046_수요조사가정통신문안내" sheetId="41" r:id="rId22"/>
    <sheet name="F-045_사전안내가정통신문" sheetId="40" r:id="rId23"/>
    <sheet name="F-044_사전안내가정통신문안내" sheetId="39" r:id="rId24"/>
    <sheet name="F-043_계약체결" sheetId="38" r:id="rId25"/>
    <sheet name="F-042_낙찰자결정통보" sheetId="37" r:id="rId26"/>
    <sheet name="F-041_낙찰자결정" sheetId="36" r:id="rId27"/>
    <sheet name="F-008_교복사양서" sheetId="35" r:id="rId28"/>
    <sheet name="F-012_계약특수조건" sheetId="34" r:id="rId29"/>
    <sheet name="F-011_입찰공고" sheetId="33" r:id="rId30"/>
    <sheet name="F-010_사전규격공개기안문" sheetId="32" r:id="rId31"/>
    <sheet name="F-009_기초금액계약방법결정" sheetId="31" r:id="rId32"/>
    <sheet name="F-006_운영위원회심의안" sheetId="30" r:id="rId33"/>
    <sheet name="F-005_구매추진계획안" sheetId="29" r:id="rId34"/>
    <sheet name="F-004_구매추진계획수립기안문" sheetId="28" r:id="rId35"/>
    <sheet name="F-003_위원청렴보안서약서" sheetId="27" r:id="rId36"/>
    <sheet name="F-002_위원수락확인서" sheetId="26" r:id="rId37"/>
    <sheet name="F-001_위원회구성기안" sheetId="25" r:id="rId38"/>
    <sheet name="F-025_교복AS계획서" sheetId="24" r:id="rId39"/>
    <sheet name="F-023_교복제조사양서" sheetId="23" r:id="rId40"/>
    <sheet name="F-022_교복납품실적표" sheetId="22" r:id="rId41"/>
    <sheet name="F-021_교복납품제안서" sheetId="21" r:id="rId42"/>
    <sheet name="F-020_입찰참가신고서" sheetId="20" r:id="rId43"/>
    <sheet name="F-019_입찰참가신청서" sheetId="19" r:id="rId44"/>
    <sheet name="F-018_정량적평가자기평점표" sheetId="18" r:id="rId45"/>
    <sheet name="F-017_제출서류자기확인서" sheetId="17" r:id="rId46"/>
    <sheet name="F-016_정성적평가" sheetId="16" r:id="rId47"/>
    <sheet name="F-015_정량적평가" sheetId="15" r:id="rId48"/>
    <sheet name="F-014_평가항목배점기준" sheetId="14" r:id="rId49"/>
    <sheet name="F-024_단가비율표" sheetId="13" r:id="rId50"/>
    <sheet name="F-007_구매요청기안문" sheetId="12" r:id="rId51"/>
    <sheet name="서식선택_출력" sheetId="11" r:id="rId52"/>
    <sheet name="DB_자기평점" sheetId="10" state="veryHidden" r:id="rId53"/>
    <sheet name="DB_정성평가" sheetId="9" state="veryHidden" r:id="rId54"/>
    <sheet name="DB_정량평가" sheetId="8" state="veryHidden" r:id="rId55"/>
    <sheet name="DB_평가" sheetId="7" state="veryHidden" r:id="rId56"/>
    <sheet name="DB_위원" sheetId="6" state="veryHidden" r:id="rId57"/>
    <sheet name="DB_업체" sheetId="5" state="veryHidden" r:id="rId58"/>
    <sheet name="DB_품목" sheetId="4" state="veryHidden" r:id="rId59"/>
    <sheet name="DB" sheetId="3" state="hidden" r:id="rId60"/>
    <sheet name="기초자료입력" sheetId="2" r:id="rId61"/>
    <sheet name="사용설명서" sheetId="1" r:id="rId62"/>
  </sheets>
  <functionGroups builtInGroupCount="19"/>
  <definedNames>
    <definedName name="_xlnm._FilterDatabase" localSheetId="59" hidden="1">DB!$A$1:$T$1</definedName>
    <definedName name="_xlnm._FilterDatabase" localSheetId="57" hidden="1">DB_업체!$A$1:$C$1</definedName>
    <definedName name="_xlnm._FilterDatabase" localSheetId="56" hidden="1">DB_위원!$A$1:$D$1</definedName>
    <definedName name="_xlnm._FilterDatabase" localSheetId="52" hidden="1">DB_자기평점!$A$1:$F$1</definedName>
    <definedName name="_xlnm._FilterDatabase" localSheetId="54" hidden="1">DB_정량평가!$A$1:$F$1</definedName>
    <definedName name="_xlnm._FilterDatabase" localSheetId="53" hidden="1">DB_정성평가!$A$1:$G$1</definedName>
    <definedName name="_xlnm._FilterDatabase" localSheetId="55" hidden="1">DB_평가!$A$1:$E$1</definedName>
    <definedName name="_xlnm._FilterDatabase" localSheetId="58" hidden="1">DB_품목!$A$1:$F$1</definedName>
    <definedName name="_xlnm.Print_Area" localSheetId="37">'F-001_위원회구성기안'!$A$1:$H$43</definedName>
    <definedName name="_xlnm.Print_Area" localSheetId="36">'F-002_위원수락확인서'!$A$1:$E$21</definedName>
    <definedName name="_xlnm.Print_Area" localSheetId="35">'F-003_위원청렴보안서약서'!$A$1:$E$20</definedName>
    <definedName name="_xlnm.Print_Area" localSheetId="34">'F-004_구매추진계획수립기안문'!$A$1:$H$20</definedName>
    <definedName name="_xlnm.Print_Area" localSheetId="33">'F-005_구매추진계획안'!$A$1:$G$90</definedName>
    <definedName name="_xlnm.Print_Area" localSheetId="32">'F-006_운영위원회심의안'!$A$1:$H$40</definedName>
    <definedName name="_xlnm.Print_Area" localSheetId="50">'F-007_구매요청기안문'!$A$1:$H$26</definedName>
    <definedName name="_xlnm.Print_Area" localSheetId="27">'F-008_교복사양서'!$A$1:$H$29</definedName>
    <definedName name="_xlnm.Print_Area" localSheetId="31">'F-009_기초금액계약방법결정'!$A$1:$H$30</definedName>
    <definedName name="_xlnm.Print_Area" localSheetId="30">'F-010_사전규격공개기안문'!$A$1:$H$29</definedName>
    <definedName name="_xlnm.Print_Area" localSheetId="29">'F-011_입찰공고'!$A$1:$H$71</definedName>
    <definedName name="_xlnm.Print_Area" localSheetId="28">'F-012_계약특수조건'!$A$1:$H$86</definedName>
    <definedName name="_xlnm.Print_Area" localSheetId="48">'F-014_평가항목배점기준'!$A$1:$G$25</definedName>
    <definedName name="_xlnm.Print_Area" localSheetId="47">'F-015_정량적평가'!$B$1:$G$26</definedName>
    <definedName name="_xlnm.Print_Area" localSheetId="46">'F-016_정성적평가'!$B$1:$F$18</definedName>
    <definedName name="_xlnm.Print_Area" localSheetId="45">'F-017_제출서류자기확인서'!$B$1:$E$30</definedName>
    <definedName name="_xlnm.Print_Area" localSheetId="44">'F-018_정량적평가자기평점표'!$B$1:$F$25</definedName>
    <definedName name="_xlnm.Print_Area" localSheetId="43">'F-019_입찰참가신청서'!$B$1:$L$25</definedName>
    <definedName name="_xlnm.Print_Area" localSheetId="42">'F-020_입찰참가신고서'!$B$1:$E$20</definedName>
    <definedName name="_xlnm.Print_Area" localSheetId="41">'F-021_교복납품제안서'!$B$1:$E$31</definedName>
    <definedName name="_xlnm.Print_Area" localSheetId="40">'F-022_교복납품실적표'!$B$1:$G$25</definedName>
    <definedName name="_xlnm.Print_Area" localSheetId="39">'F-023_교복제조사양서'!$B$1:$E$21</definedName>
    <definedName name="_xlnm.Print_Area" localSheetId="49">'F-024_단가비율표'!$A$1:$G$19</definedName>
    <definedName name="_xlnm.Print_Area" localSheetId="38">'F-025_교복AS계획서'!$B$1:$E$31</definedName>
    <definedName name="_xlnm.Print_Area" localSheetId="16">'F-027_위임장'!$A$1:$F$24</definedName>
    <definedName name="_xlnm.Print_Area" localSheetId="15">'F-029_개인정보제공동의서'!$A$1:$F$25</definedName>
    <definedName name="_xlnm.Print_Area" localSheetId="14">'F-030_청렴계약이행서약서'!$A$1:$F$19</definedName>
    <definedName name="_xlnm.Print_Area" localSheetId="13">'F-031_교복품목별금액표'!$A$1:$G$29</definedName>
    <definedName name="_xlnm.Print_Area" localSheetId="12">'F-032_제안서접수결과'!$A$1:$H$36</definedName>
    <definedName name="_xlnm.Print_Area" localSheetId="11">'F-033_제안서접수대장'!$A$1:$L$21</definedName>
    <definedName name="_xlnm.Print_Area" localSheetId="10">'F-034_평가위원회개최'!$A$1:$H$38</definedName>
    <definedName name="_xlnm.Print_Area" localSheetId="9">'F-035_정량평가결과'!$A$1:$H$36</definedName>
    <definedName name="_xlnm.Print_Area" localSheetId="8">'F-036_제안서평가결과'!$A$1:$G$38</definedName>
    <definedName name="_xlnm.Print_Area" localSheetId="7">'F-037_평가위원회참석등록부'!$A$1:$H$21</definedName>
    <definedName name="_xlnm.Print_Area" localSheetId="6">'F-038_업체참가등록부'!$A$1:$I$23</definedName>
    <definedName name="_xlnm.Print_Area" localSheetId="5">'F-039_업체별제안서평가표'!$A$1:$J$19</definedName>
    <definedName name="_xlnm.Print_Area" localSheetId="4">'F-040_위원청렴보안서약서'!$A$1:$H$25</definedName>
    <definedName name="_xlnm.Print_Area" localSheetId="26">'F-041_낙찰자결정'!$A$1:$H$29</definedName>
    <definedName name="_xlnm.Print_Area" localSheetId="25">'F-042_낙찰자결정통보'!$A$1:$H$29</definedName>
    <definedName name="_xlnm.Print_Area" localSheetId="24">'F-043_계약체결'!$A$1:$H$37</definedName>
    <definedName name="_xlnm.Print_Area" localSheetId="23">'F-044_사전안내가정통신문안내'!$A$1:$H$25</definedName>
    <definedName name="_xlnm.Print_Area" localSheetId="22">'F-045_사전안내가정통신문'!$A$1:$H$22</definedName>
    <definedName name="_xlnm.Print_Area" localSheetId="21">'F-046_수요조사가정통신문안내'!$A$1:$H$25</definedName>
    <definedName name="_xlnm.Print_Area" localSheetId="19">'F-047_수요조사가정통신문'!$A$1:$H$41</definedName>
    <definedName name="_xlnm.Print_Area" localSheetId="20">'F-048_교복구매안내신청수량파악'!$A$1:$I$45</definedName>
    <definedName name="_xlnm.Print_Area" localSheetId="18">'F-049_만족도설문조사실시'!$A$1:$H$25</definedName>
    <definedName name="_xlnm.Print_Area" localSheetId="17">'F-050_만족도조사설문지'!$A$1:$I$35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7" i="62" l="1"/>
  <c r="C6" i="62"/>
  <c r="B7" i="62"/>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B18" i="56"/>
  <c r="B17" i="56"/>
  <c r="B16" i="56"/>
  <c r="B15" i="56"/>
  <c r="B14" i="56"/>
  <c r="B13" i="56"/>
  <c r="B12" i="56"/>
  <c r="B11" i="56"/>
  <c r="B10" i="56"/>
  <c r="B9" i="56"/>
  <c r="B5" i="56"/>
  <c r="C21" i="55"/>
  <c r="C20" i="55"/>
  <c r="C19" i="55"/>
  <c r="C18" i="55"/>
  <c r="C17" i="55"/>
  <c r="C16" i="55"/>
  <c r="C15" i="55"/>
  <c r="C14" i="55"/>
  <c r="C13" i="55"/>
  <c r="C12" i="55"/>
  <c r="B5" i="55"/>
  <c r="B3" i="55"/>
  <c r="C38"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B13" i="54"/>
  <c r="B11" i="54"/>
  <c r="C9" i="54"/>
  <c r="F5" i="54"/>
  <c r="C5" i="54"/>
  <c r="B3" i="54"/>
  <c r="C34"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D17" i="51"/>
  <c r="C17" i="51"/>
  <c r="D16" i="51"/>
  <c r="C16" i="51"/>
  <c r="D15" i="51"/>
  <c r="C15" i="51"/>
  <c r="D14" i="51"/>
  <c r="C14" i="51"/>
  <c r="D13" i="51"/>
  <c r="C13" i="51"/>
  <c r="D12" i="51"/>
  <c r="C12" i="51"/>
  <c r="D11" i="51"/>
  <c r="C11" i="51"/>
  <c r="D10" i="51"/>
  <c r="C10" i="51"/>
  <c r="D9" i="51"/>
  <c r="C9" i="51"/>
  <c r="D8" i="51"/>
  <c r="C8" i="51"/>
  <c r="B4" i="51"/>
  <c r="B3" i="51"/>
  <c r="C34" i="50"/>
  <c r="B30" i="50"/>
  <c r="D28" i="50"/>
  <c r="B28" i="50"/>
  <c r="D27" i="50"/>
  <c r="B27" i="50"/>
  <c r="D26" i="50"/>
  <c r="B26" i="50"/>
  <c r="D25" i="50"/>
  <c r="B25" i="50"/>
  <c r="D24" i="50"/>
  <c r="B24" i="50"/>
  <c r="D23" i="50"/>
  <c r="B23" i="50"/>
  <c r="D22" i="50"/>
  <c r="B22" i="50"/>
  <c r="D21" i="50"/>
  <c r="B21" i="50"/>
  <c r="D20" i="50"/>
  <c r="B20" i="50"/>
  <c r="D19" i="50"/>
  <c r="B19" i="50"/>
  <c r="B13" i="50"/>
  <c r="B11" i="50"/>
  <c r="C9" i="50"/>
  <c r="F5" i="50"/>
  <c r="C5" i="50"/>
  <c r="B3" i="50"/>
  <c r="B27" i="49"/>
  <c r="E18" i="49"/>
  <c r="D18" i="49"/>
  <c r="C18" i="49"/>
  <c r="E17" i="49"/>
  <c r="D17" i="49"/>
  <c r="B17" i="49"/>
  <c r="E16" i="49"/>
  <c r="D16" i="49"/>
  <c r="B16" i="49"/>
  <c r="E15" i="49"/>
  <c r="D15" i="49"/>
  <c r="B15" i="49"/>
  <c r="E14" i="49"/>
  <c r="D14" i="49"/>
  <c r="B14" i="49"/>
  <c r="E13" i="49"/>
  <c r="D13" i="49"/>
  <c r="B13" i="49"/>
  <c r="E12" i="49"/>
  <c r="D12" i="49"/>
  <c r="B12" i="49"/>
  <c r="B7" i="49"/>
  <c r="B5" i="49"/>
  <c r="B19" i="48"/>
  <c r="B25" i="47"/>
  <c r="B19" i="47"/>
  <c r="B6" i="47"/>
  <c r="B24" i="46"/>
  <c r="B12" i="46"/>
  <c r="B10" i="45"/>
  <c r="B9" i="45"/>
  <c r="B3" i="45"/>
  <c r="C23" i="44"/>
  <c r="C16" i="44"/>
  <c r="C15" i="44"/>
  <c r="C9" i="44"/>
  <c r="F5" i="44"/>
  <c r="C5" i="44"/>
  <c r="G2" i="44"/>
  <c r="B27" i="43"/>
  <c r="B26" i="43"/>
  <c r="B17" i="43"/>
  <c r="B14" i="43"/>
  <c r="B6" i="43"/>
  <c r="B3" i="43"/>
  <c r="B45" i="42"/>
  <c r="B28" i="42"/>
  <c r="B24" i="42"/>
  <c r="B23" i="42"/>
  <c r="B17" i="42"/>
  <c r="B11" i="42"/>
  <c r="B6" i="42"/>
  <c r="B3" i="42"/>
  <c r="C23" i="41"/>
  <c r="C16" i="41"/>
  <c r="C15" i="41"/>
  <c r="C9" i="41"/>
  <c r="F5" i="41"/>
  <c r="C5" i="41"/>
  <c r="G2" i="41"/>
  <c r="B22" i="40"/>
  <c r="B21" i="40"/>
  <c r="B8" i="40"/>
  <c r="B3" i="40"/>
  <c r="C23" i="39"/>
  <c r="C16" i="39"/>
  <c r="C15" i="39"/>
  <c r="C9" i="39"/>
  <c r="F5" i="39"/>
  <c r="C5" i="39"/>
  <c r="G2" i="39"/>
  <c r="C35" i="38"/>
  <c r="B25" i="38"/>
  <c r="B22" i="38"/>
  <c r="C17" i="38"/>
  <c r="C15" i="38"/>
  <c r="B13" i="38"/>
  <c r="C11" i="38"/>
  <c r="C9" i="38"/>
  <c r="F5" i="38"/>
  <c r="C5" i="38"/>
  <c r="C27" i="37"/>
  <c r="E17" i="37"/>
  <c r="B17" i="37"/>
  <c r="B13" i="37"/>
  <c r="C9" i="37"/>
  <c r="C7" i="37"/>
  <c r="F5" i="37"/>
  <c r="C5" i="37"/>
  <c r="C27" i="36"/>
  <c r="C21" i="36"/>
  <c r="C16" i="36"/>
  <c r="C15" i="36"/>
  <c r="B13" i="36"/>
  <c r="C11" i="36"/>
  <c r="C9" i="36"/>
  <c r="F5" i="36"/>
  <c r="C5" i="36"/>
  <c r="B29" i="35"/>
  <c r="B28" i="35"/>
  <c r="B27" i="35"/>
  <c r="B26" i="35"/>
  <c r="B25" i="35"/>
  <c r="B24" i="35"/>
  <c r="B13" i="35"/>
  <c r="B12" i="35"/>
  <c r="B11" i="35"/>
  <c r="B10" i="35"/>
  <c r="B9" i="35"/>
  <c r="B8" i="35"/>
  <c r="B3" i="35"/>
  <c r="B6" i="34"/>
  <c r="B3" i="34"/>
  <c r="B71" i="33"/>
  <c r="B68" i="33"/>
  <c r="B66" i="33"/>
  <c r="B35" i="33"/>
  <c r="C19" i="33"/>
  <c r="C18" i="33"/>
  <c r="C15" i="33"/>
  <c r="C14" i="33"/>
  <c r="C13" i="33"/>
  <c r="B9" i="33"/>
  <c r="B5" i="33"/>
  <c r="B3" i="33"/>
  <c r="B25" i="32"/>
  <c r="C23" i="32"/>
  <c r="C22" i="32"/>
  <c r="C21" i="32"/>
  <c r="C19" i="32"/>
  <c r="C18" i="32"/>
  <c r="C17" i="32"/>
  <c r="B14" i="32"/>
  <c r="C9" i="32"/>
  <c r="F5" i="32"/>
  <c r="C5" i="32"/>
  <c r="B3" i="32"/>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B15" i="28"/>
  <c r="B13" i="28"/>
  <c r="C11" i="28"/>
  <c r="C9" i="28"/>
  <c r="F5" i="28"/>
  <c r="C5" i="28"/>
  <c r="B20" i="27"/>
  <c r="B17" i="27"/>
  <c r="B14" i="27"/>
  <c r="B11" i="27"/>
  <c r="B10" i="27"/>
  <c r="B9" i="27"/>
  <c r="B8" i="27"/>
  <c r="B6" i="27"/>
  <c r="B21" i="26"/>
  <c r="B12" i="26"/>
  <c r="B7" i="26"/>
  <c r="B6" i="26"/>
  <c r="C41"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8" i="21"/>
  <c r="B3" i="21"/>
  <c r="B20" i="20"/>
  <c r="B18" i="20"/>
  <c r="B11" i="20"/>
  <c r="C7" i="20"/>
  <c r="B25" i="19"/>
  <c r="B24" i="19"/>
  <c r="B23" i="19"/>
  <c r="B20" i="19"/>
  <c r="F11" i="19"/>
  <c r="F10" i="19"/>
  <c r="F6" i="19"/>
  <c r="B25" i="18"/>
  <c r="F21" i="18"/>
  <c r="F19" i="18"/>
  <c r="F15" i="18"/>
  <c r="F12" i="18"/>
  <c r="F8" i="18"/>
  <c r="C5" i="18"/>
  <c r="B8" i="17"/>
  <c r="B3" i="17"/>
  <c r="B16" i="16"/>
  <c r="F14" i="16"/>
  <c r="F13" i="16"/>
  <c r="F12" i="16"/>
  <c r="F11" i="16"/>
  <c r="F10" i="16"/>
  <c r="F9" i="16"/>
  <c r="B6" i="16"/>
  <c r="E5" i="16"/>
  <c r="C5" i="16"/>
  <c r="B24" i="15"/>
  <c r="F22" i="15"/>
  <c r="F20" i="15"/>
  <c r="F16" i="15"/>
  <c r="F13" i="15"/>
  <c r="F9" i="15"/>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D15" i="13"/>
  <c r="E14" i="13"/>
  <c r="D14" i="13"/>
  <c r="C14" i="13"/>
  <c r="E13" i="13"/>
  <c r="D13" i="13"/>
  <c r="C13" i="13"/>
  <c r="E12" i="13"/>
  <c r="D12" i="13"/>
  <c r="C12" i="13"/>
  <c r="E11" i="13"/>
  <c r="D11" i="13"/>
  <c r="C11" i="13"/>
  <c r="E10" i="13"/>
  <c r="D10" i="13"/>
  <c r="C10" i="13"/>
  <c r="E9" i="13"/>
  <c r="D9" i="13"/>
  <c r="C9" i="13"/>
  <c r="G6" i="13"/>
  <c r="E6" i="13"/>
  <c r="C6" i="13"/>
  <c r="C24" i="12"/>
  <c r="C20" i="12"/>
  <c r="C18" i="12"/>
  <c r="C16" i="12"/>
  <c r="C15" i="12"/>
  <c r="B13" i="12"/>
  <c r="C11" i="12"/>
  <c r="C9" i="12"/>
  <c r="C7" i="12"/>
  <c r="F5" i="12"/>
  <c r="C5" i="12"/>
  <c r="D82" i="2"/>
  <c r="E81" i="2"/>
  <c r="E80" i="2"/>
  <c r="E79" i="2"/>
  <c r="E78" i="2"/>
  <c r="E77" i="2"/>
  <c r="E76" i="2"/>
  <c r="E75" i="2"/>
  <c r="E74" i="2"/>
  <c r="E73" i="2"/>
  <c r="E72"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9" i="2"/>
  <c r="E38" i="2"/>
  <c r="E37" i="2"/>
  <c r="E36" i="2"/>
  <c r="E35" i="2"/>
  <c r="E34" i="2"/>
  <c r="E33" i="2"/>
  <c r="E32" i="2"/>
  <c r="E31" i="2"/>
  <c r="E30" i="2"/>
  <c r="E29" i="2"/>
</calcChain>
</file>

<file path=xl/sharedStrings.xml><?xml version="1.0" encoding="utf-8"?>
<sst xmlns="http://schemas.openxmlformats.org/spreadsheetml/2006/main" count="2308" uniqueCount="1370">
  <si>
    <t>교복구매 학교주관구매 길라잡이 — Excel 기초자료·서식 선택 도구 (클린룸 재구현본, v1)</t>
  </si>
  <si>
    <t>1. 이 파일을 열면 Excel 상단에 '보안 경고 - 매크로 사용 안 함' 알림이 뜹니다. [콘텐츠 사용]을 눌러 매크로를 허용해야 입력·출력 기능이 동작합니다.</t>
  </si>
  <si>
    <t>2. '기초자료입력' 시트에 공통·사업·문서 정보와 품목·업체·위원·평가점수 반복행을 입력한 뒤 [저장하기] 버튼을 누르면 정규화 DB 시트에 기록됩니다.</t>
  </si>
  <si>
    <t>3. '서식선택_출력' 시트에서 서식 하나만 보려면 그 행의 [미리보기]/[PDF] 버튼을 바로 누릅니다. 여러 서식을 한 번에 묶어 출력하려면 선택(TRUE) 열에 체크한 뒤 상단 [선택 서식 인쇄 미리보기]/[선택 서식 PDF 저장] 버튼을 누릅니다.</t>
  </si>
  <si>
    <t>4. '학교검색' 시트에서 학교명·지역·급별 조건을 입력하고 [검색] 후 결과 행을 선택해 [선택 학교를 기초자료에 반영]을 누르면 학교명이 기초자료입력!C4에 반영됩니다.</t>
  </si>
  <si>
    <t>5. '절차안내' 시트는 교복구매 9단계와 단계별 관련 Form ID를 제공합니다. 단계 행을 선택하고 [관련 Form ID로 이동]을 누르면 서식선택_출력의 해당 Form ID로 이동합니다.</t>
  </si>
  <si>
    <t>6. 구현된 서식은 서식선택_출력의 '구현상태=Y'로 표시됩니다. 나머지 서식은 순차 추가 예정입니다.</t>
  </si>
  <si>
    <t>7. F-013(교복 디자인 및 규격서)은 표·이미지가 많은 다쪽(11쪽) 문서로, Excel보다 HWPX 경로가 적합하여 이번 버전에서는 보류하고 document-automation-engineer 협업 대상으로 남겼습니다.</t>
  </si>
  <si>
    <t>8. 업체 후보는 '기초자료입력' 시트의 업체 반복행에 상호명만 입력합니다. 대표자·연락처·전화번호·사업자번호는 입력·저장하지 않으며, 중복 상호는 실제 동일 업체인지 확인합니다.</t>
  </si>
  <si>
    <t>9. 위원 반복행에는 역할·직위와 ○ 또는 *를 포함한 마스킹 식별표시만 입력합니다. 실제 성명·연락처·서명은 입력·저장하지 않습니다. 평가점수는 항목별 배점을 초과할 수 없고 총점은 자동 계산됩니다.</t>
  </si>
  <si>
    <t>10. 내부 DB 시트의 숨김·무암호 보호는 우발적 편집 방지용이며 보안 경계가 아닙니다. 매크로 허용 상태에서는 저장 직전에 DB·반복행 전체를 재검증하고, 개인정보성 표기·불완전 위원·평가행 등 허용되지 않은 값이 있으면 저장을 취소합니다.</t>
  </si>
  <si>
    <t>원본 보호: 이 파일은 20230808_용역계약갈라잡이(디깅모멘텀)_이행원.xlsm 을 참고해 클린룸 방식으로 새로 작성한 사본이며, 원본 파일을 직접 열거나 수정하지 않습니다.</t>
  </si>
  <si>
    <t>개인정보 경계: 이 파일은 학교·계약 단위 업무 정보만 다루며, 학생·학부모 개인정보 및 서명·직인 자동처리는 포함하지 않습니다.</t>
  </si>
  <si>
    <t>기초자료 입력 (공통 C-01~C-06 / 사업 B-01~B-07 / 문서별 D-01~D-05 / 반복 R-01~R-07)</t>
  </si>
  <si>
    <t>1. 공통 정보 (C)</t>
  </si>
  <si>
    <t>학교명 *</t>
  </si>
  <si>
    <t>C-01</t>
  </si>
  <si>
    <t>학년도 *</t>
  </si>
  <si>
    <t>C-02</t>
  </si>
  <si>
    <t>담당부서</t>
  </si>
  <si>
    <t>C-03</t>
  </si>
  <si>
    <t>담당자 직위</t>
  </si>
  <si>
    <t>C-04</t>
  </si>
  <si>
    <t>문서 발행일</t>
  </si>
  <si>
    <t>C-05</t>
  </si>
  <si>
    <t>문서번호</t>
  </si>
  <si>
    <t>C-06</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</si>
  <si>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</si>
  <si>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</si>
  <si>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</si>
  <si>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</si>
  <si>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</si>
  <si>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</si>
  <si>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</si>
  <si>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</si>
  <si>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</si>
  <si>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</si>
  <si>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</si>
  <si>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</si>
  <si>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</si>
  <si>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</si>
  <si>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</si>
  <si>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</si>
  <si>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</si>
  <si>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</si>
  <si>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</si>
  <si>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</si>
  <si>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</si>
  <si>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</si>
  <si>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</si>
  <si>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</si>
  <si>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</si>
  <si>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</si>
  <si>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</si>
  <si>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</si>
  <si>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</si>
  <si>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</si>
  <si>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</si>
  <si>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</si>
  <si>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</si>
  <si>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</si>
  <si>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</si>
  <si>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</si>
  <si>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</si>
  <si>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</si>
  <si>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</si>
  <si>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재질(15)</t>
  </si>
  <si>
    <t>완성도(10)</t>
  </si>
  <si>
    <t>A/S(15)</t>
  </si>
  <si>
    <t>하자보상(10)</t>
  </si>
  <si>
    <t>가감점(-15~5)</t>
  </si>
  <si>
    <t>F-016 상태</t>
  </si>
  <si>
    <t>자기 수행경험(10)</t>
  </si>
  <si>
    <t>자기 공인인증(10)</t>
  </si>
  <si>
    <t>자기 거리(15)</t>
  </si>
  <si>
    <t>자기 상한가격(15)</t>
  </si>
  <si>
    <t>F-018 상태</t>
  </si>
  <si>
    <t>6. 위원 반복행 (R-01 역할·직위 / R-02 마스킹 식별표시) — 실제 성명·연락처·서명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</si>
  <si>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</si>
  <si>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</si>
  <si>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</si>
  <si>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</si>
  <si>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</si>
  <si>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</si>
  <si>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</si>
  <si>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</si>
  <si>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순번</t>
  </si>
  <si>
    <t>학교명</t>
  </si>
  <si>
    <t>학년도</t>
  </si>
  <si>
    <t>담당자직위</t>
  </si>
  <si>
    <t>문서발행일</t>
  </si>
  <si>
    <t>구매명</t>
  </si>
  <si>
    <t>구매학년</t>
  </si>
  <si>
    <t>계약방식</t>
  </si>
  <si>
    <t>기초금액</t>
  </si>
  <si>
    <t>제목</t>
  </si>
  <si>
    <t>붙임목록</t>
  </si>
  <si>
    <t>안내문본문</t>
  </si>
  <si>
    <t>저장시각</t>
  </si>
  <si>
    <t>레코드순번</t>
  </si>
  <si>
    <t>행번호</t>
  </si>
  <si>
    <t>단가</t>
  </si>
  <si>
    <t>금액</t>
  </si>
  <si>
    <t>역할직위</t>
  </si>
  <si>
    <t>마스킹식별표시</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</si>
  <si>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</si>
  <si>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</si>
  <si>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</si>
  <si>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</si>
  <si>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</si>
  <si>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</si>
  <si>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</si>
  <si>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</si>
  <si>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</si>
  <si>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</si>
  <si>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</si>
  <si>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</si>
  <si>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</si>
  <si>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</si>
  <si>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서식 하나만 보려면 해당 행의 [미리보기]/[PDF] 버튼을 바로 누릅니다(구현상태='Y'인 행만 동작). 여러 서식을 한 파일로 묶으려면 선택(TRUE) 열에 체크한 뒤 상단 매크로 버튼을 누릅니다. 구현상태가 'N'인 서식은 아직 연결된 시트가 없어 선택해도 건너뜁니다.</t>
  </si>
  <si>
    <t>선택</t>
  </si>
  <si>
    <t>Form ID</t>
  </si>
  <si>
    <t>서식명</t>
  </si>
  <si>
    <t>업무단계</t>
  </si>
  <si>
    <t>구현상태</t>
  </si>
  <si>
    <t>연결시트</t>
  </si>
  <si>
    <t>미리보기</t>
  </si>
  <si>
    <t>PDF</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</si>
  <si>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</si>
  <si>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</si>
  <si>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</si>
  <si>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</si>
  <si>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</si>
  <si>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</si>
  <si>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</si>
  <si>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</si>
  <si>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</si>
  <si>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</si>
  <si>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</si>
  <si>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</si>
  <si>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</si>
  <si>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</si>
  <si>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</si>
  <si>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</si>
  <si>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</si>
  <si>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</si>
  <si>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</si>
  <si>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</si>
  <si>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</si>
  <si>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</si>
  <si>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</si>
  <si>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</si>
  <si>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</si>
  <si>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</si>
  <si>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</si>
  <si>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</si>
  <si>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</si>
  <si>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</si>
  <si>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</si>
  <si>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</si>
  <si>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</si>
  <si>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</si>
  <si>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</si>
  <si>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</si>
  <si>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</si>
  <si>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</si>
  <si>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</si>
  <si>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</si>
  <si>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</si>
  <si>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</si>
  <si>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</si>
  <si>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</si>
  <si>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</si>
  <si>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</si>
  <si>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</si>
  <si>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</si>
  <si>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</si>
  <si>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</si>
  <si>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</si>
  <si>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</si>
  <si>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</si>
  <si>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</si>
  <si>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</si>
  <si>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</si>
  <si>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</si>
  <si>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</si>
  <si>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</si>
  <si>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</si>
  <si>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</si>
  <si>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</si>
  <si>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</si>
  <si>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</si>
  <si>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</si>
  <si>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</si>
  <si>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</si>
  <si>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</si>
  <si>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</si>
  <si>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</si>
  <si>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</si>
  <si>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</si>
  <si>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</si>
  <si>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</si>
  <si>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</si>
  <si>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</si>
  <si>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</si>
  <si>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</si>
  <si>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</si>
  <si>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</si>
  <si>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</si>
  <si>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</si>
  <si>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</si>
  <si>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</si>
  <si>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</si>
  <si>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</si>
  <si>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</si>
  <si>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</si>
  <si>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</si>
  <si>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</si>
  <si>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</si>
  <si>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</si>
  <si>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</si>
  <si>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</si>
  <si>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</si>
  <si>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</si>
  <si>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</si>
  <si>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</si>
  <si>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</si>
  <si>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</si>
  <si>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</si>
  <si>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</si>
  <si>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</si>
  <si>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</si>
  <si>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</si>
  <si>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</si>
  <si>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</si>
  <si>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</si>
  <si>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</si>
  <si>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</si>
  <si>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</si>
  <si>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</si>
  <si>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</si>
  <si>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</si>
  <si>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</si>
  <si>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</si>
  <si>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</si>
  <si>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</si>
  <si>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</si>
  <si>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</si>
  <si>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</si>
  <si>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</si>
  <si>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</si>
  <si>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</si>
  <si>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</si>
  <si>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</si>
  <si>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</si>
  <si>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</si>
  <si>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</si>
  <si>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</si>
  <si>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</si>
  <si>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</si>
  <si>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</si>
  <si>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</si>
  <si>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</si>
  <si>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</si>
  <si>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</si>
  <si>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</si>
  <si>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</si>
  <si>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</si>
  <si>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</si>
  <si>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</si>
  <si>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</si>
  <si>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</si>
  <si>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</si>
  <si>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</si>
  <si>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</si>
  <si>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</si>
  <si>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</si>
  <si>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</si>
  <si>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</si>
  <si>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</si>
  <si>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</si>
  <si>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</si>
  <si>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</si>
  <si>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</si>
  <si>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</si>
  <si>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</si>
  <si>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</si>
  <si>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</si>
  <si>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</si>
  <si>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</si>
  <si>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</si>
  <si>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</si>
  <si>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</si>
  <si>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</si>
  <si>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교장</t>
  </si>
  <si>
    <t>합계</t>
  </si>
  <si>
    <t>[검토중 — 담당자 최종 확인 후 사용] 상세 변경 이력: _workspace/03_excel/F-007_F024_수정후_재대조.md</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</si>
  <si>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</si>
  <si>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</si>
  <si>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</si>
  <si>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</si>
  <si>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</si>
  <si>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</si>
  <si>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</si>
  <si>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</si>
  <si>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</si>
  <si>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</si>
  <si>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</si>
  <si>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</si>
  <si>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</si>
  <si>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</si>
  <si>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</si>
  <si>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</si>
  <si>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</si>
  <si>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</si>
  <si>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</si>
  <si>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</si>
  <si>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</si>
  <si>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</si>
  <si>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</si>
  <si>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</si>
  <si>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</si>
  <si>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[검토중 — 담당자 최종 확인 후 사용] 원본 HWPX [9-3]의 예시안 구조를 대조하여 구성함</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</si>
  <si>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</si>
  <si>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</si>
  <si>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</si>
  <si>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</si>
  <si>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</si>
  <si>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</si>
  <si>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</si>
  <si>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</si>
  <si>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</si>
  <si>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K-03</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</si>
  <si>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</si>
  <si>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</si>
  <si>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</si>
  <si>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</si>
  <si>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[검토중 — 담당자 최종 확인 후 사용] 원본 HWPX [9-4]의 고정 배점표를 대조하여 구성함</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</si>
  <si>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</si>
  <si>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</si>
  <si>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</si>
  <si>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</si>
  <si>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</si>
  <si>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</si>
  <si>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</si>
  <si>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</si>
  <si>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</si>
  <si>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</si>
  <si>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</si>
  <si>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</si>
  <si>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</si>
  <si>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</si>
  <si>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</si>
  <si>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</si>
  <si>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</si>
  <si>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</si>
  <si>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</si>
  <si>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</si>
  <si>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</si>
  <si>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</si>
  <si>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</si>
  <si>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</si>
  <si>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</si>
  <si>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[검토중 — 담당자 최종 확인 후 사용] 원본 HWPX [9-5]의 고정 배점표를 대조하여 구성함</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</si>
  <si>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</si>
  <si>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</si>
  <si>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</si>
  <si>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</si>
  <si>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</si>
  <si>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</si>
  <si>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</si>
  <si>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</si>
  <si>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</si>
  <si>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</si>
  <si>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</si>
  <si>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</si>
  <si>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</si>
  <si>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</si>
  <si>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</si>
  <si>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</si>
  <si>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[검토중 — 담당자 최종 확인 후 사용] 원본 HWPX [9-6] 대조. 대표자·연락처·대리인 정보는 자동 반영하지 않음</t>
  </si>
  <si>
    <t>※ 업체명만 기초자료의 반복행에서 반영합니다. 대표자·연락처·대리인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</si>
  <si>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</si>
  <si>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</si>
  <si>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</si>
  <si>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</si>
  <si>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</si>
  <si>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</si>
  <si>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</si>
  <si>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</si>
  <si>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</si>
  <si>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</si>
  <si>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</si>
  <si>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</si>
  <si>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</si>
  <si>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</si>
  <si>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</si>
  <si>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</si>
  <si>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</si>
  <si>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</si>
  <si>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</si>
  <si>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</si>
  <si>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</si>
  <si>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</si>
  <si>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</si>
  <si>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</si>
  <si>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</si>
  <si>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</si>
  <si>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</si>
  <si>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</si>
  <si>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</si>
  <si>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</si>
  <si>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</si>
  <si>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</si>
  <si>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</si>
  <si>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[검토중 — 담당자 최종 확인 후 사용] 원본 HWPX [9-7] 대조. F-015 학교평가와 분리된 업체 자기평점이며 작성자·대표자·서명은 자동 반영하지 않음</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</si>
  <si>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</si>
  <si>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</si>
  <si>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</si>
  <si>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</si>
  <si>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</si>
  <si>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</si>
  <si>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</si>
  <si>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</si>
  <si>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</si>
  <si>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</si>
  <si>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업체명은 기초자료의 업체 반복행에서만 반영합니다. 작성자·대표자·서명은 제출자가 직접 작성하는 빈 칸으로 유지합니다.</t>
  </si>
  <si>
    <t>[검토중 — 담당자 최종 확인 후 사용] 원본 HWPX [9-7] [서식 2] 대조. 민감정보와 날인란은 자동 반영하지 않습니다.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</si>
  <si>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</si>
  <si>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</si>
  <si>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</si>
  <si>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</si>
  <si>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</si>
  <si>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</si>
  <si>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</si>
  <si>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</si>
  <si>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</si>
  <si>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</si>
  <si>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</si>
  <si>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</si>
  <si>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</si>
  <si>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</si>
  <si>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</si>
  <si>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</si>
  <si>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</si>
  <si>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</si>
  <si>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[검토중 — 담당자 최종 확인 후 사용] 원본 HWPX [9-8] [서식 3] 대조. 사업자 번호·대표자 성명·직인은 자동 반영하지 않습니다.</t>
  </si>
  <si>
    <t>교복 학교주관구매 입찰 참가 신고서</t>
  </si>
  <si>
    <t>※ 사업자 상호(업체명)만 기초자료의 반복행에서 반영합니다. 사업자 번호·대표자 성명·직인은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</si>
  <si>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</si>
  <si>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</si>
  <si>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</si>
  <si>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</si>
  <si>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위 신고인 사업자 대표 성명 ○○○ 사업자 직인</t>
  </si>
  <si>
    <t>[검토용] 원본 HWPX [9-9] [서식 4] 대조. 업체명만 자동 반영하며 대표자·주소·연락처·서명은 직접 작성합니다.</t>
  </si>
  <si>
    <t>※ 업체명만 기초자료의 반복행에서 반영합니다. 일반현황·연혁·제안자 성명은 직접 작성하십시오.</t>
  </si>
  <si>
    <t>1. 일반현황 및 연혁</t>
  </si>
  <si>
    <t>회사명</t>
  </si>
  <si>
    <t>사업분야</t>
  </si>
  <si>
    <t>회사설립년도</t>
  </si>
  <si>
    <t>직원현황</t>
  </si>
  <si>
    <t>해당부문 사업기간</t>
  </si>
  <si>
    <t>전화:                         FAX:</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</si>
  <si>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</si>
  <si>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</si>
  <si>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</si>
  <si>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</si>
  <si>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[검토용] 원본 HWPX [9-10] [서식 5] 대조. 업체명만 자동 반영하며 실적행은 업체별 증명서와 대조하여 직접 작성합니다.</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</si>
  <si>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</si>
  <si>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</si>
  <si>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</si>
  <si>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</si>
  <si>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</si>
  <si>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</si>
  <si>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</si>
  <si>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</si>
  <si>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[검토용] 원본 HWPX [9-11] [서식 6] 대조. 업체명만 자동 반영하며 재질·설명 내용은 직접 작성합니다.</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</si>
  <si>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</si>
  <si>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</si>
  <si>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</si>
  <si>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</si>
  <si>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</si>
  <si>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</si>
  <si>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</si>
  <si>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</si>
  <si>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</si>
  <si>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</si>
  <si>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</si>
  <si>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</si>
  <si>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</si>
  <si>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[검토용] 원본 HWPX [9-14] [서식 8] 대조. 원문에 업체명 표시 자리가 없어 반영하지 않으며 A/S 계획 전 항목은 직접 작성합니다.</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</si>
  <si>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</si>
  <si>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</si>
  <si>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</si>
  <si>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</si>
  <si>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</si>
  <si>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</si>
  <si>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</si>
  <si>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</si>
  <si>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</si>
  <si>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</si>
  <si>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</si>
  <si>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</si>
  <si>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</si>
  <si>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</si>
  <si>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</si>
  <si>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</si>
  <si>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</si>
  <si>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[검토중 — 담당자 최종 확인 후 사용] 원본 HWPX 3쪽 [1] 대조. 위원 성명은 개인정보이므로 마스킹 식별표시만 반영함</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</si>
  <si>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</si>
  <si>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</si>
  <si>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</si>
  <si>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</si>
  <si>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</si>
  <si>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</si>
  <si>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</si>
  <si>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</si>
  <si>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</si>
  <si>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</si>
  <si>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</si>
  <si>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</si>
  <si>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</si>
  <si>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</si>
  <si>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</si>
  <si>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</si>
  <si>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[검토중 — 담당자 최종 확인 후 사용] 원본 HWPX 4쪽 [1-1] 대조. 위원이 자필로 작성·서명하는 빈 양식이며 학교 공통정보만 반영함</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</si>
  <si>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</si>
  <si>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</si>
  <si>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</si>
  <si>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</si>
  <si>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</si>
  <si>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[검토중 — 담당자 최종 확인 후 사용] 원본 HWPX 5쪽 [1-2] 대조. 위원이 자필로 작성·서명하는 빈 양식이며 학교 공통정보만 반영함</t>
  </si>
  <si>
    <t>청렴 및 보안 서약서</t>
  </si>
  <si>
    <t>[검토중 — 담당자 최종 확인 후 사용] 원본 HWPX 6쪽 [2] 대조</t>
  </si>
  <si>
    <t>교복 학교주관구매 추진 계획 수립(안)</t>
  </si>
  <si>
    <t>[검토중 — 담당자 최종 확인 후 사용] 원본 HWPX 7~12쪽 [2-1] 대조. 원문이 6개 물리 페이지 분량이라 이 서식만 예외적으로 다중 페이지 자연 출력을 허용함(강제 압축 없음)</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</si>
  <si>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</si>
  <si>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</si>
  <si>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</si>
  <si>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</si>
  <si>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</si>
  <si>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</si>
  <si>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</si>
  <si>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</si>
  <si>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</si>
  <si>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</si>
  <si>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</si>
  <si>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</si>
  <si>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</si>
  <si>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</si>
  <si>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</si>
  <si>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</si>
  <si>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</si>
  <si>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</si>
  <si>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</si>
  <si>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</si>
  <si>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</si>
  <si>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</si>
  <si>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</si>
  <si>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</si>
  <si>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</si>
  <si>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</si>
  <si>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</si>
  <si>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</si>
  <si>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</si>
  <si>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</si>
  <si>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</si>
  <si>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</si>
  <si>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</si>
  <si>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</si>
  <si>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</si>
  <si>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</si>
  <si>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</si>
  <si>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</si>
  <si>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</si>
  <si>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</si>
  <si>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</si>
  <si>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</si>
  <si>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</si>
  <si>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</si>
  <si>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</si>
  <si>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</si>
  <si>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</si>
  <si>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</si>
  <si>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</si>
  <si>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</si>
  <si>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</si>
  <si>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</si>
  <si>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</si>
  <si>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</si>
  <si>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</si>
  <si>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</si>
  <si>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</si>
  <si>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</si>
  <si>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</si>
  <si>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</si>
  <si>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</si>
  <si>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</si>
  <si>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</si>
  <si>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</si>
  <si>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</si>
  <si>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</si>
  <si>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</si>
  <si>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</si>
  <si>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[검토중 — 담당자 최종 확인 후 사용] 원본 HWPX 13쪽 [3] 대조. 참고 서식이며 학교운영위원회 자체 서식 사용을 권장함(원문 안내문 그대로 반영)</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</si>
  <si>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</si>
  <si>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</si>
  <si>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</si>
  <si>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</si>
  <si>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</si>
  <si>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</si>
  <si>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</si>
  <si>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</si>
  <si>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</si>
  <si>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</si>
  <si>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</si>
  <si>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</si>
  <si>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</si>
  <si>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</si>
  <si>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</si>
  <si>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</si>
  <si>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</si>
  <si>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</si>
  <si>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[검토중 — 담당자 최종 확인 후 사용] 원본 HWPX 17쪽 [7] 대조. 기초금액·납품기한·계약방법은 담당자가 최신 계약 기준을 확인함</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</si>
  <si>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</si>
  <si>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</si>
  <si>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</si>
  <si>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</si>
  <si>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</si>
  <si>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</si>
  <si>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</si>
  <si>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</si>
  <si>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</si>
  <si>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[검토중 — 담당자 최종 확인 후 사용] 원본 HWPX 18쪽 [8] 대조. 공개기간·의견마감은 최신 지침을 담당자가 확인함</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</si>
  <si>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</si>
  <si>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</si>
  <si>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</si>
  <si>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</si>
  <si>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</si>
  <si>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</si>
  <si>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</si>
  <si>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</si>
  <si>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</si>
  <si>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[검토중 — 담당자 최종 확인 후 사용] 원본 HWPX 19~25쪽 [9] 대조. 법령·자격·일정·공고 조건은 담당자가 최종 확인함</t>
  </si>
  <si>
    <t>〔2단계 입찰(규격·가격 동시)〕</t>
  </si>
  <si>
    <t>1. 입찰에 부치는 사항</t>
  </si>
  <si>
    <t>구매예정수량</t>
  </si>
  <si>
    <t>구성품목 및 규격</t>
  </si>
  <si>
    <t>붙임 교복 사양서 참조</t>
  </si>
  <si>
    <t>입찰 방법</t>
  </si>
  <si>
    <t>단가입찰, 지역제한, 2단계입찰(규격·가격동시)</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</si>
  <si>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</si>
  <si>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</si>
  <si>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</si>
  <si>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</si>
  <si>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</si>
  <si>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</si>
  <si>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</si>
  <si>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</si>
  <si>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</si>
  <si>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</si>
  <si>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</si>
  <si>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</si>
  <si>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</si>
  <si>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</si>
  <si>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</si>
  <si>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</si>
  <si>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</si>
  <si>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</si>
  <si>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</si>
  <si>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</si>
  <si>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</si>
  <si>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</si>
  <si>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</si>
  <si>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</si>
  <si>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[검토중 — 담당자 최종 확인 후 사용] 원본 HWPX 26~29쪽 [9-1](F-011 붙임 1) 대조. 계약상대자명·금액·일자 등 계약 문구는 자동 반영하지 않으며 담당자가 최종 확인함</t>
  </si>
  <si>
    <t>제1조(구매 수량 및 구매 단가)</t>
  </si>
  <si>
    <t>① 교복 구매 수량은 20○○학년도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</si>
  <si>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</si>
  <si>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</si>
  <si>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</si>
  <si>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① 「공급자」는 완성된 교복을 기한 내에 지정된 장소에 납품해야 한다.
- 동복: 20○○.OO.OO(요일)까지, 학교에서 지정하는 장소
- 하복: 20○○.OO.OO(요일)까지, 학교에서 지정하는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</si>
  <si>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</si>
  <si>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</si>
  <si>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</si>
  <si>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</si>
  <si>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</si>
  <si>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</si>
  <si>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</si>
  <si>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</si>
  <si>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</si>
  <si>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</si>
  <si>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</si>
  <si>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</si>
  <si>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</si>
  <si>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</si>
  <si>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</si>
  <si>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</si>
  <si>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</si>
  <si>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</si>
  <si>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</si>
  <si>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</si>
  <si>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</si>
  <si>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</si>
  <si>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</si>
  <si>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</si>
  <si>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</si>
  <si>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</si>
  <si>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</si>
  <si>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</si>
  <si>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</si>
  <si>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</si>
  <si>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</si>
  <si>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</si>
  <si>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[검토중 — 담당자 최종 확인 후 사용] 원본 HWPX 15쪽 [6-1] 대조. 섬유혼용률·유의사항·디자인 이미지·원단 및 색상은 품목·업체마다 달라 자동 반영하지 않으며 담당자가 직접 작성·붙여넣음</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</si>
  <si>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</si>
  <si>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</si>
  <si>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</si>
  <si>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</si>
  <si>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</si>
  <si>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</si>
  <si>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</si>
  <si>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</si>
  <si>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</si>
  <si>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</si>
  <si>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[검토중 — 담당자 최종 확인 후 사용] 원본 HWPX 70쪽 [14] 대조. 낙찰 업체는 I3 순번으로 1곳만 선택 반영하며 대표자·비고(주소)는 수기 작성함</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</si>
  <si>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</si>
  <si>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</si>
  <si>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</si>
  <si>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</si>
  <si>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</si>
  <si>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</si>
  <si>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</si>
  <si>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</si>
  <si>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</si>
  <si>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</si>
  <si>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[검토중 — 담당자 최종 확인 후 사용] 원본 HWPX 71쪽 [15] 대조. 수신·업체명은 I3 순번으로 선택한 낙찰 업체를 반영하며 대표자·비고는 수기 작성함</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</si>
  <si>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</si>
  <si>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</si>
  <si>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</si>
  <si>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</si>
  <si>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</si>
  <si>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</si>
  <si>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</si>
  <si>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</si>
  <si>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</si>
  <si>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[검토중 — 담당자 최종 확인 후 사용] 원본 HWPX 72쪽 [16] 대조. 계약상대자 업체명은 I3 순번으로 선택 반영하며 소재지·대표자·전화번호는 수기 작성함. 납품기한은 기초자료입력의 단일 값만 반영(원문 동복/하복 구분 한계)</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</si>
  <si>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</si>
  <si>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</si>
  <si>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</si>
  <si>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</si>
  <si>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</si>
  <si>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</si>
  <si>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</si>
  <si>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</si>
  <si>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</si>
  <si>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</si>
  <si>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</si>
  <si>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</si>
  <si>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</si>
  <si>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</si>
  <si>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</si>
  <si>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</si>
  <si>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[검토중 — 담당자 최종 확인 후 사용] 원본 HWPX 73쪽 [17] 대조. 학교·학년도 공통값만 반영하며 학생·학부모 개인정보는 입력·저장·출력하지 않음</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</si>
  <si>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</si>
  <si>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</si>
  <si>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</si>
  <si>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</si>
  <si>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</si>
  <si>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</si>
  <si>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</si>
  <si>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[검토중 — 담당자 최종 확인 후 사용] 원본 HWPX 74쪽 [17-1] 대조. 학생·학부모 개인정보와 개별 신청값은 입력·저장·출력하지 않음</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</si>
  <si>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</si>
  <si>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</si>
  <si>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</si>
  <si>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</si>
  <si>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</si>
  <si>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[검토중 — 담당자 최종 확인 후 사용] 원본 HWPX 75쪽 [18] 대조. 학교·학년도·구매명 공통값만 반영하며 학생·학부모 개인정보는 입력·저장·출력하지 않음</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</si>
  <si>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</si>
  <si>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</si>
  <si>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</si>
  <si>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[검토중 — 담당자 최종 확인 후 사용] 원본 HWPX 77쪽 [18-3] 대조. 업체명·연락처·치수측정기간·단가는 예시 빈칸(○·0) 그대로 유지, 이름·보호자 성명·전화번호·신청 수량은 입력·저장·자동 출력하지 않음</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</si>
  <si>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</si>
  <si>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</si>
  <si>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</si>
  <si>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</si>
  <si>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</si>
  <si>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</si>
  <si>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</si>
  <si>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</si>
  <si>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</si>
  <si>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</si>
  <si>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</si>
  <si>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</si>
  <si>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</si>
  <si>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</si>
  <si>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</si>
  <si>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</si>
  <si>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</si>
  <si>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</si>
  <si>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[검토중 — 담당자 최종 확인 후 사용, 개인정보 보안검토 대상] 원본 HWPX 76쪽 [18-2] 대조. 참여/미참여 응답란과 이름·보호자 성명·전화번호는 입력·저장·자동 출력하지 않음(완전 공란)</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</si>
  <si>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</si>
  <si>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</si>
  <si>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</si>
  <si>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</si>
  <si>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</si>
  <si>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</si>
  <si>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</si>
  <si>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</si>
  <si>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</si>
  <si>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</si>
  <si>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</si>
  <si>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[검토중 — 담당자 최종 확인 후 사용] 원본 HWPX 78쪽 [19] 대조. 학교·학년도·구매명·제목 공통값만 반영하며 응답자 개인정보는 입력·저장·출력하지 않음</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</si>
  <si>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</si>
  <si>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</si>
  <si>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</si>
  <si>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[검토중 — 담당자 최종 확인 후 사용, 개인정보 보안검토 대상] 원본 HWPX 79쪽 [19-1] 대조. 문항별 응답·총점·평균·기타 의견은 입력·저장·자동 출력하지 않음(완전 공란)</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</si>
  <si>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</si>
  <si>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</si>
  <si>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</si>
  <si>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</si>
  <si>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</si>
  <si>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</si>
  <si>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</si>
  <si>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</si>
  <si>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</si>
  <si>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</si>
  <si>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</si>
  <si>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</si>
  <si>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</si>
  <si>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</si>
  <si>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</si>
  <si>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</si>
  <si>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</si>
  <si>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</si>
  <si>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</si>
  <si>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</si>
  <si>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</si>
  <si>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</si>
  <si>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</si>
  <si>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</si>
  <si>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</si>
  <si>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</si>
  <si>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</si>
  <si>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</si>
  <si>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</si>
  <si>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</si>
  <si>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[검토중 — 담당자 최종 확인 후 사용] 원본 HWPX 56쪽 [9-16] 대조. 위임하는 업체·위임받는 사람 정보는 전부 수기 작성 공란(R-03 업체명도 매핑표에 없어 반영하지 않음). D-02(표제)는 대응하는 동적 제목 행이 없어 미사용</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</si>
  <si>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</si>
  <si>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</si>
  <si>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</si>
  <si>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</si>
  <si>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</si>
  <si>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</si>
  <si>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</si>
  <si>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</si>
  <si>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</si>
  <si>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</si>
  <si>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</si>
  <si>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[검토중 — 담당자 최종 확인 후 사용, 개인정보 보안검토 대상] 원본 HWPX 58쪽 [9-18] 대조. 동의 여부 응답·성명·주소·연락처·식별번호·서명은 입력·저장·자동 출력하지 않음(완전 공란)</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</si>
  <si>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</si>
  <si>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</si>
  <si>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</si>
  <si>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</si>
  <si>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</si>
  <si>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</si>
  <si>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</si>
  <si>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</si>
  <si>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</si>
  <si>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[검토중 — 담당자 최종 확인 후 사용] 원본 HWPX 59쪽 [9-19] 대조. 서약자 업체명·대표자·서명은 수기 작성 공란(매핑표 R-03 입력출처 표기는 원문에 반영 자리가 없어 미적용, 기록만 함)</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</si>
  <si>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</si>
  <si>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</si>
  <si>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</si>
  <si>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</si>
  <si>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</si>
  <si>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</si>
  <si>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</si>
  <si>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[검토중 — 담당자 최종 확인 후 사용] 원본 HWPX 60쪽 [9-20] 대조. 최종 낙찰 업체가 작성·제출하는 문서라 업체명·대표자·서명은 수기 작성 공란. 금액비율(%)은 F-024와 동일 산식 재사용, 계약 금액(K-01)·합계(K-02)는 F-043 낙찰단가(C16) 기준 자동 계산</t>
  </si>
  <si>
    <t>교복 품목별 금액표(품목별 1인당 계약단가)</t>
  </si>
  <si>
    <t>2. 산출내역(※ 단가, 부가가치세 및 부속품, 부가비용(기장수선비 등) 일체 포함)</t>
  </si>
  <si>
    <t>■ 필수 항목</t>
  </si>
  <si>
    <t>금액비율(%)</t>
  </si>
  <si>
    <t>계약 금액(원단위 절사)</t>
  </si>
  <si>
    <t>K-02</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</si>
  <si>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</si>
  <si>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</si>
  <si>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</si>
  <si>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</si>
  <si>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[검토중 — 담당자 최종 확인 후 사용] 원본 HWPX 61쪽 [10] 대조. 업체명만 자동 반영하며 접수일자·대표자는 수기 작성함</t>
  </si>
  <si>
    <t>□ 제안서 접수 결과 □</t>
  </si>
  <si>
    <t>접수번호</t>
  </si>
  <si>
    <t>접수일자</t>
  </si>
  <si>
    <t>업체현황</t>
  </si>
  <si>
    <t>[검토중 — 담당자 최종 확인 후 사용] 원본 HWPX 62쪽 [10-1] 대조. 업체명 외 대표자·연락처·대리인·수령인은 수기 공란임</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</si>
  <si>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</si>
  <si>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</si>
  <si>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</si>
  <si>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</si>
  <si>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</si>
  <si>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</si>
  <si>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</si>
  <si>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</si>
  <si>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</si>
  <si>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</si>
  <si>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</si>
  <si>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</si>
  <si>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[검토중 — 담당자 최종 확인 후 사용] 원본 HWPX 63쪽 [11] 대조. 위원 성명은 마스킹 식별표시만 반영하며 일시·장소는 수기 작성함</t>
  </si>
  <si>
    <t>가. 일시：</t>
  </si>
  <si>
    <t>나. 장소：</t>
  </si>
  <si>
    <t>다. 대상：</t>
  </si>
  <si>
    <t>라. 안내방법：개별통지. 끝.</t>
  </si>
  <si>
    <t>[검토중 — 담당자 최종 확인 후 사용] 원본 HWPX 64쪽 [12] 대조. 업체별 점수는 F-015 학교 정량평가 입력값(기초자료입력 C:F열)을 재조회함</t>
  </si>
  <si>
    <t>□ 정량평가 □</t>
  </si>
  <si>
    <t>수행경험</t>
  </si>
  <si>
    <t>품질인증</t>
  </si>
  <si>
    <t>접근성</t>
  </si>
  <si>
    <t>상한가격</t>
  </si>
  <si>
    <t>붙임  1. 정량 평가표 각 1부.  2. 업체별 실적, 품질 인증, 상한 가격 자료(별첨) 각 1부.  끝.</t>
  </si>
  <si>
    <t>[검토중 — 담당자 최종 확인 후 사용] 원본 HWPX 65쪽 [13] 대조. 원문 표 헤더가 "성 명"이나 실제 값은 적격/부적격 판정이라 "적부 판정"으로 표시함(매핑표 미수정, 기록만)</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</si>
  <si>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</si>
  <si>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</si>
  <si>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</si>
  <si>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</si>
  <si>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</si>
  <si>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</si>
  <si>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</si>
  <si>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[검토중 — 담당자 최종 확인 후 사용] 원본 HWPX 66쪽 [13-1] 대조. 참석자 성명·서명은 자필 작성 공란임</t>
  </si>
  <si>
    <t>1. 일시：</t>
  </si>
  <si>
    <t>2. 장소：</t>
  </si>
  <si>
    <t>회의실</t>
  </si>
  <si>
    <t>3. 참석자 현황</t>
  </si>
  <si>
    <t>서명</t>
  </si>
  <si>
    <t>[검토중 — 담당자 최종 확인 후 사용] 원본 HWPX 67쪽 [13-2] 대조. 업체명 외 개인정보·연락처·대리인 정보는 수기 공란임</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</si>
  <si>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</si>
  <si>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</si>
  <si>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</si>
  <si>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</si>
  <si>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</si>
  <si>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</si>
  <si>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</si>
  <si>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</si>
  <si>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[검토중 — 담당자 최종 확인 후 사용] 원본 HWPX 68쪽 [13-3] 대조. 위원명은 자필 공란이며 옷감·완성도·A/S·하자 점수만 입력함(이 문서 전용 입력칸)</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</si>
  <si>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</si>
  <si>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</si>
  <si>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</si>
  <si>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</si>
  <si>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</si>
  <si>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</si>
  <si>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</si>
  <si>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</si>
  <si>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</si>
  <si>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</si>
  <si>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[검토중 — 담당자 최종 확인 후 사용] 원본 HWPX 69쪽 [13-4] 대조. 서약자 성명·서명은 자필 작성 공란임</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</si>
  <si>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</si>
  <si>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</si>
  <si>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</si>
  <si>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</si>
  <si>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</si>
  <si>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</si>
  <si>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</si>
  <si>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</si>
  <si>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</si>
  <si>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</si>
  <si>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</si>
  <si>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</si>
  <si>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상산고등학교</t>
  </si>
  <si>
    <t>전주시 완산구 거마평로 130</t>
  </si>
  <si>
    <t>239-5300</t>
  </si>
  <si>
    <t>중등</t>
  </si>
  <si>
    <t>공립</t>
  </si>
  <si>
    <t>서전주중학교</t>
  </si>
  <si>
    <t>전주시 완산구 거마평로 205</t>
  </si>
  <si>
    <t>221-1359</t>
  </si>
  <si>
    <t>양현고등학교</t>
  </si>
  <si>
    <t>전주시 덕진구 틀못2길 9</t>
  </si>
  <si>
    <t>249-6101</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</si>
  <si>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</si>
  <si>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</si>
  <si>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</si>
  <si>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</si>
  <si>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</si>
  <si>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</si>
  <si>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</si>
  <si>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</si>
  <si>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</si>
  <si>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</si>
  <si>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211-0991</t>
  </si>
  <si>
    <t>유일여자고등학교</t>
  </si>
  <si>
    <t>전주시 덕진구 안덕원로 301</t>
  </si>
  <si>
    <t>245-3314</t>
  </si>
  <si>
    <t>전라고등학교</t>
  </si>
  <si>
    <t>전주시 덕진구 솔내7길 25</t>
  </si>
  <si>
    <t>251-4902</t>
  </si>
  <si>
    <t>전라중학교</t>
  </si>
  <si>
    <t>전주시 덕진구 들사평1길 39</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</si>
  <si>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</si>
  <si>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</si>
  <si>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</si>
  <si>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</si>
  <si>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</si>
  <si>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</si>
  <si>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</si>
  <si>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</si>
  <si>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</si>
  <si>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</si>
  <si>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</si>
  <si>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</si>
  <si>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</si>
  <si>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</si>
  <si>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</si>
  <si>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252-2708</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</si>
  <si>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</si>
  <si>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</si>
  <si>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</si>
  <si>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</si>
  <si>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</si>
  <si>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</si>
  <si>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</si>
  <si>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</si>
  <si>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</si>
  <si>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</si>
  <si>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</si>
  <si>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</si>
  <si>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</si>
  <si>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</si>
  <si>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</si>
  <si>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</si>
  <si>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</si>
  <si>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</si>
  <si>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</si>
  <si>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</si>
  <si>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</si>
  <si>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</si>
  <si>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</si>
  <si>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</si>
  <si>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</si>
  <si>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</si>
  <si>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</si>
  <si>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</si>
  <si>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</si>
  <si>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</si>
  <si>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</si>
  <si>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</si>
  <si>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236-8930</t>
  </si>
  <si>
    <t>전주기전중학교</t>
  </si>
  <si>
    <t>236-5083</t>
  </si>
  <si>
    <t>전주남중학교</t>
  </si>
  <si>
    <t>전주시 완산구 덕적골2길 30</t>
  </si>
  <si>
    <t>282-6304</t>
  </si>
  <si>
    <t>전주남초등학교</t>
  </si>
  <si>
    <t>전주시 완산구 장승배기로 376</t>
  </si>
  <si>
    <t>284-4064</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</si>
  <si>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</si>
  <si>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</si>
  <si>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</si>
  <si>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</si>
  <si>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</si>
  <si>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</si>
  <si>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</si>
  <si>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</si>
  <si>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220-9500</t>
  </si>
  <si>
    <t>전주덕일중학교</t>
  </si>
  <si>
    <t>전주시 덕진구 하가로 67</t>
  </si>
  <si>
    <t>249-2600</t>
  </si>
  <si>
    <t>전주덕일초등학교</t>
  </si>
  <si>
    <t>전주시 덕진구 하가로 71</t>
  </si>
  <si>
    <t>279-3105</t>
  </si>
  <si>
    <t>전주덕진중학교</t>
  </si>
  <si>
    <t>전주시 덕진구 기린대로 541-48</t>
  </si>
  <si>
    <t>276-1579</t>
  </si>
  <si>
    <t>전주덕진초등학교</t>
  </si>
  <si>
    <t>전주시 덕진구 들사평로 61</t>
  </si>
  <si>
    <t>252-0871</t>
  </si>
  <si>
    <t>전주동북초등학교</t>
  </si>
  <si>
    <t>전주시 덕진구 견훤왕궁로 227</t>
  </si>
  <si>
    <t>275-6211</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</si>
  <si>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</si>
  <si>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</si>
  <si>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</si>
  <si>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</si>
  <si>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</si>
  <si>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</si>
  <si>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</si>
  <si>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</si>
  <si>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</si>
  <si>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</si>
  <si>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</si>
  <si>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</si>
  <si>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</si>
  <si>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</si>
  <si>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</si>
  <si>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</si>
  <si>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</si>
  <si>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247-7752</t>
  </si>
  <si>
    <t>전주문정초등학교</t>
  </si>
  <si>
    <t>전주시 완산구 구이로 1979</t>
  </si>
  <si>
    <t>221-8097</t>
  </si>
  <si>
    <t>전주문학초등학교</t>
  </si>
  <si>
    <t>전주시 완산구 문학로 30</t>
  </si>
  <si>
    <t>715-1034</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</si>
  <si>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</si>
  <si>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</si>
  <si>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</si>
  <si>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</si>
  <si>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</si>
  <si>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</si>
  <si>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</si>
  <si>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</si>
  <si>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</si>
  <si>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</si>
  <si>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</si>
  <si>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</si>
  <si>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</si>
  <si>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</si>
  <si>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</si>
  <si>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</si>
  <si>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</si>
  <si>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</si>
  <si>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전주상업정보고등학교</t>
  </si>
  <si>
    <t>전주시 완산구 따박골2길 21</t>
  </si>
  <si>
    <t>220-6401</t>
  </si>
  <si>
    <t>유치원</t>
  </si>
  <si>
    <t>전주새뜰유치원</t>
  </si>
  <si>
    <t>전주시 덕진구 중동 803</t>
  </si>
  <si>
    <t>717-3200</t>
  </si>
  <si>
    <t>전주새솔유치원</t>
  </si>
  <si>
    <t>전주시 덕진구 화암1길 24</t>
  </si>
  <si>
    <t>274-6102</t>
  </si>
  <si>
    <t>전주새연초등학교</t>
  </si>
  <si>
    <t>전주시 완산구 봉곡로 60</t>
  </si>
  <si>
    <t>270-8181</t>
  </si>
  <si>
    <t>전주생명과학고등학교</t>
  </si>
  <si>
    <t>전주시 덕진구 안덕원로 195</t>
  </si>
  <si>
    <t>240-1705</t>
  </si>
  <si>
    <t>전주서곡중학교</t>
  </si>
  <si>
    <t>전주시 완산구 서곡6길 23</t>
  </si>
  <si>
    <t>277-7832</t>
  </si>
  <si>
    <t>전주서곡초등학교</t>
  </si>
  <si>
    <t>전주시 완산구 서곡7길 30</t>
  </si>
  <si>
    <t>278-8121</t>
  </si>
  <si>
    <t>전주서문초등학교</t>
  </si>
  <si>
    <t>전주시 완산구 서신천변11길 19</t>
  </si>
  <si>
    <t>255-4382</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</si>
  <si>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</si>
  <si>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</si>
  <si>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</si>
  <si>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</si>
  <si>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</si>
  <si>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</si>
  <si>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</si>
  <si>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</si>
  <si>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</si>
  <si>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</si>
  <si>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</si>
  <si>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</si>
  <si>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</si>
  <si>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</si>
  <si>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</si>
  <si>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</si>
  <si>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</si>
  <si>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</si>
  <si>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특수</t>
  </si>
  <si>
    <t>전주선화학교</t>
  </si>
  <si>
    <t>전주시 완산구 효자로 39</t>
  </si>
  <si>
    <t>220-0581</t>
  </si>
  <si>
    <t>전주성심여자고등학교</t>
  </si>
  <si>
    <t>전주시 완산구 경기전길 130</t>
  </si>
  <si>
    <t>232-2517</t>
  </si>
  <si>
    <t>전주성심여자중학교</t>
  </si>
  <si>
    <t>232-0131</t>
  </si>
  <si>
    <t>전주성현유치원</t>
  </si>
  <si>
    <t>전주시 덕진구 만성남로 39-7</t>
  </si>
  <si>
    <t>213-0511</t>
  </si>
  <si>
    <t>전주솔내고등학교</t>
  </si>
  <si>
    <t>전주시 덕진구 송천중앙로 170</t>
  </si>
  <si>
    <t>270-8208</t>
  </si>
  <si>
    <t>전주솔빛중학교</t>
  </si>
  <si>
    <t>전주시 덕진구 솔내6길 33</t>
  </si>
  <si>
    <t>254-9911</t>
  </si>
  <si>
    <t>전주송북초등학교</t>
  </si>
  <si>
    <t>전주시 덕진구 천마산로 16</t>
  </si>
  <si>
    <t>251-5811</t>
  </si>
  <si>
    <t>전주송원초등학교</t>
  </si>
  <si>
    <t>전주시 덕진구 와룡로 25</t>
  </si>
  <si>
    <t>251-7156</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</si>
  <si>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</si>
  <si>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</si>
  <si>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</si>
  <si>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</si>
  <si>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</si>
  <si>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</si>
  <si>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</si>
  <si>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</si>
  <si>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</si>
  <si>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</si>
  <si>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</si>
  <si>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</si>
  <si>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</si>
  <si>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</si>
  <si>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232-7070</t>
  </si>
  <si>
    <t>전주신흥중학교</t>
  </si>
  <si>
    <t>287-2112</t>
  </si>
  <si>
    <t>전주아름유치원</t>
  </si>
  <si>
    <t>덕진구 정여립로 874</t>
  </si>
  <si>
    <t>279-6700</t>
  </si>
  <si>
    <t>전주아중중학교</t>
  </si>
  <si>
    <t>전주시 덕진구 중상보로 16</t>
  </si>
  <si>
    <t>240-7903</t>
  </si>
  <si>
    <t>전주아중초등학교</t>
  </si>
  <si>
    <t>전주시 덕진구 인교5길 23</t>
  </si>
  <si>
    <t>241-7743</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</si>
  <si>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</si>
  <si>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</si>
  <si>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</si>
  <si>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</si>
  <si>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</si>
  <si>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</si>
  <si>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</si>
  <si>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</si>
  <si>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</si>
  <si>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</si>
  <si>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</si>
  <si>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</si>
  <si>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</si>
  <si>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</si>
  <si>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255-9078</t>
  </si>
  <si>
    <t>전주여자고등학교</t>
  </si>
  <si>
    <t>전주시 덕진구 모래내6길 14</t>
  </si>
  <si>
    <t>710-5500</t>
  </si>
  <si>
    <t>전주영생고등학교</t>
  </si>
  <si>
    <t>전주시 완산구 천잠로 333</t>
  </si>
  <si>
    <t>220-3500</t>
  </si>
  <si>
    <t>전주오송중학교</t>
  </si>
  <si>
    <t>전주시 덕진구 천마산로 69</t>
  </si>
  <si>
    <t>250-4301</t>
  </si>
  <si>
    <t>전주오송초등학교</t>
  </si>
  <si>
    <t>전주시 덕진구 천마산로 87</t>
  </si>
  <si>
    <t>251-6471</t>
  </si>
  <si>
    <t>전주온고을중학교</t>
  </si>
  <si>
    <t>전주시 덕진구 무삼지로 26</t>
  </si>
  <si>
    <t>245-5219</t>
  </si>
  <si>
    <t>전주온빛중학교</t>
  </si>
  <si>
    <t>전주시 덕진구 틀못4길 10</t>
  </si>
  <si>
    <t>214-8452</t>
  </si>
  <si>
    <t>전주온빛초등학교</t>
  </si>
  <si>
    <t>전주시 덕진구 틀못3길 7</t>
  </si>
  <si>
    <t>249-6610</t>
  </si>
  <si>
    <t>전주온샘유치원</t>
  </si>
  <si>
    <t>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</si>
  <si>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</si>
  <si>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</si>
  <si>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</si>
  <si>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</si>
  <si>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</si>
  <si>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</si>
  <si>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</si>
  <si>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</si>
  <si>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</si>
  <si>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</si>
  <si>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</si>
  <si>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</si>
  <si>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</si>
  <si>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</si>
  <si>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</si>
  <si>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</si>
  <si>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</si>
  <si>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</si>
  <si>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</si>
  <si>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</si>
  <si>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</si>
  <si>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</si>
  <si>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</si>
  <si>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</si>
  <si>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</si>
  <si>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</si>
  <si>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220-4900</t>
  </si>
  <si>
    <t>전주우림초등학교</t>
  </si>
  <si>
    <t>전주시 완산구 소태정로 21</t>
  </si>
  <si>
    <t>715-1052</t>
  </si>
  <si>
    <t>전주우아중학교</t>
  </si>
  <si>
    <t>전주시 덕진구 호성로 6</t>
  </si>
  <si>
    <t>241-2652</t>
  </si>
  <si>
    <t>전주우전중학교</t>
  </si>
  <si>
    <t>전주시 완산구 쑥고개로 375-28</t>
  </si>
  <si>
    <t>222-8932</t>
  </si>
  <si>
    <t>전주우전초등학교</t>
  </si>
  <si>
    <t>전주시 완산구 우전2길 11</t>
  </si>
  <si>
    <t>221-9892</t>
  </si>
  <si>
    <t>전주원동초등학교</t>
  </si>
  <si>
    <t>전주시 덕진구 원동로 3</t>
  </si>
  <si>
    <t>212-9119</t>
  </si>
  <si>
    <t>전주유치원</t>
  </si>
  <si>
    <t>완산구 대동로 33</t>
  </si>
  <si>
    <t>253-9561</t>
  </si>
  <si>
    <t>전주유화학교</t>
  </si>
  <si>
    <t>전주시 덕진구 모래내6길 26-16</t>
  </si>
  <si>
    <t>253-0686</t>
  </si>
  <si>
    <t>전주은화학교</t>
  </si>
  <si>
    <t>전주시 완산구 효자로 28-20</t>
  </si>
  <si>
    <t>220-0902</t>
  </si>
  <si>
    <t>전주인봉초등학교</t>
  </si>
  <si>
    <t>전주시 덕진구 무삼지로 7</t>
  </si>
  <si>
    <t>240-1907</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</si>
  <si>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</si>
  <si>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</si>
  <si>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</si>
  <si>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</si>
  <si>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</si>
  <si>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</si>
  <si>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</si>
  <si>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</si>
  <si>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</si>
  <si>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</si>
  <si>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전주시 덕진구 심방죽로 24</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</si>
  <si>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</si>
  <si>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</si>
  <si>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</si>
  <si>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</si>
  <si>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</si>
  <si>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</si>
  <si>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</si>
  <si>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</si>
  <si>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</si>
  <si>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</si>
  <si>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학교정보 표본 행 수</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</si>
  <si>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</si>
  <si>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</si>
  <si>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</si>
  <si>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</si>
  <si>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</si>
  <si>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</si>
  <si>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</si>
  <si>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</si>
  <si>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</si>
  <si>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</si>
  <si>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</si>
  <si>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</si>
  <si>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</si>
  <si>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</si>
  <si>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</si>
  <si>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</si>
  <si>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</si>
  <si>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</si>
  <si>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</si>
  <si>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</si>
  <si>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</si>
  <si>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</si>
  <si>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</si>
  <si>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</si>
  <si>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</si>
  <si>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</si>
  <si>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</si>
  <si>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</si>
  <si>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</si>
  <si>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</si>
  <si>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</si>
  <si>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</si>
  <si>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</si>
  <si>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</si>
  <si>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물품 구매(교복 등)의 주요 계약방법 유형을 선택해 안내합니다. 이 시트는 계약금액 구간·예외사유·법령 적용에 따른 계약방법을 자동 판정하지 않으며, 행정실 담당자가 최신 지방계약법 시행령·별표 기준과 사실관계를 확인한 뒤에만 반영해야 합니다.</t>
  </si>
  <si>
    <t>확인 항목</t>
  </si>
  <si>
    <t>확인 값</t>
  </si>
  <si>
    <t>안내</t>
  </si>
  <si>
    <t>계약방법 유형 선택</t>
  </si>
  <si>
    <t>선택 유형의 법령상 요건을 최신 기준으로 확인했는가</t>
  </si>
  <si>
    <t>안내된 계약방법</t>
  </si>
  <si>
    <t>물품 구매 계약방법은 지방계약법 시행령 체계상 수의계약·일반경쟁입찰·제한경쟁입찰·(필요 시)2단계 입찰로 나뉨. 유형별 적용 금액 구간·사유는 법령 개정이 잦아 이 표에 고정하지 않음</t>
  </si>
  <si>
    <t>반영 전 확인</t>
  </si>
  <si>
    <t>계약방법 유형을 먼저 선택하고, 담당자가 최신 법령·지침과 사실관계(금액 구간·수의계약 사유·지역제한 요건 등)를 확인한 뒤 '예'를 명시적으로 선택한 경우에만 [계약방법을 기초자료에 반영] 버튼이 B-03에 안내값을 기록합니다. 금액 기준에 따른 자동 판정은 제공하지 않습니다(법령 개정이 잦아 하드코딩하지 않음).</t>
  </si>
  <si>
    <t>불러온 레코드 순번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</si>
</sst>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yyyy\.mm\.dd\.\ hh:mm"/>
    <numFmt numFmtId="178" formatCode="0.0"/>
  </numFmts>
  <fonts count="21" x14ac:knownFonts="1">
    <font>
      <sz val="11"/>
      <color theme="1"/>
      <name val="맑은 고딕"/>
      <family val="2"/>
      <charset val="129"/>
      <scheme val="minor"/>
    </font>
    <font>
      <b/>
      <sz val="14"/>
      <color theme="1"/>
      <name val="맑은 고딕"/>
      <family val="3"/>
      <charset val="129"/>
      <scheme val="minor"/>
    </font>
    <font>
      <b/>
      <sz val="13"/>
      <color theme="1"/>
      <name val="맑은 고딕"/>
      <family val="3"/>
      <charset val="129"/>
      <scheme val="minor"/>
    </font>
    <font>
      <b/>
      <sz val="11"/>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s>
  <fills count="4">
    <fill>
      <patternFill patternType="none"/>
    </fill>
    <fill>
      <patternFill patternType="gray125"/>
    </fill>
    <fill>
      <patternFill patternType="solid">
        <fgColor rgb="FFCCFFFF"/>
        <bgColor indexed="64"/>
      </patternFill>
    </fill>
    <fill>
      <patternFill patternType="solid">
        <fgColor rgb="FFF3F3F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1">
    <xf numFmtId="0" fontId="0" fillId="0" borderId="0">
      <alignment vertical="center"/>
    </xf>
  </cellStyleXfs>
  <cellXfs count="147">
    <xf numFmtId="0" fontId="0" fillId="0" borderId="0" xfId="0">
      <alignment vertical="center"/>
    </xf>
    <xf numFmtId="0" fontId="1" fillId="0" borderId="0" xfId="0" applyFont="1">
      <alignment vertical="center"/>
    </xf>
    <xf numFmtId="0" fontId="0" fillId="0" borderId="0" xfId="0" applyAlignme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3" fontId="0" fillId="0" borderId="0" xfId="0" applyNumberFormat="1">
      <alignment vertical="center"/>
    </xf>
    <xf numFmtId="3" fontId="3" fillId="0" borderId="0" xfId="0" applyNumberFormat="1" applyFont="1">
      <alignment vertical="center"/>
    </xf>
    <xf numFmtId="0" fontId="0" fillId="2" borderId="0" xfId="0" applyFill="1">
      <alignment vertical="center"/>
    </xf>
    <xf numFmtId="1" fontId="0" fillId="2" borderId="0" xfId="0" applyNumberFormat="1" applyFill="1">
      <alignment vertical="center"/>
    </xf>
    <xf numFmtId="2" fontId="0" fillId="0" borderId="0" xfId="0" applyNumberFormat="1">
      <alignment vertical="center"/>
    </xf>
    <xf numFmtId="2" fontId="3"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177" fontId="0" fillId="2" borderId="0" xfId="0" applyNumberFormat="1" applyFill="1">
      <alignment vertical="center"/>
    </xf>
    <xf numFmtId="0" fontId="2" fillId="0" borderId="0" xfId="0" applyFont="1">
      <alignment vertical="center"/>
    </xf>
    <xf numFmtId="0" fontId="3" fillId="0" borderId="1" xfId="0" applyFont="1" applyBorder="1">
      <alignment vertical="center"/>
    </xf>
    <xf numFmtId="0" fontId="0" fillId="0" borderId="1" xfId="0" applyBorder="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10" fillId="0" borderId="1" xfId="0" applyFont="1" applyBorder="1" applyAlignment="1">
      <alignment horizontal="center" vertical="center"/>
    </xf>
    <xf numFmtId="0" fontId="0" fillId="0" borderId="0" xfId="0" applyAlignment="1">
      <alignment vertical="center" wrapText="1"/>
    </xf>
    <xf numFmtId="0" fontId="3"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1" xfId="0" applyFont="1" applyBorder="1">
      <alignment vertical="center"/>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3"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0" fillId="0" borderId="0" xfId="0" applyAlignment="1">
      <alignment vertical="center" wrapText="1"/>
    </xf>
    <xf numFmtId="0" fontId="9" fillId="0" borderId="0" xfId="0" applyFont="1" applyAlignment="1">
      <alignment vertical="center" wrapText="1"/>
    </xf>
    <xf numFmtId="0" fontId="9" fillId="0" borderId="0" xfId="0" applyFont="1" applyAlignment="1">
      <alignment horizontal="center" vertical="center"/>
    </xf>
    <xf numFmtId="0" fontId="10" fillId="0" borderId="0" xfId="0" applyFont="1" applyAlignment="1">
      <alignment horizontal="center" vertical="center"/>
    </xf>
    <xf numFmtId="0" fontId="12" fillId="0" borderId="1" xfId="0" applyFont="1" applyBorder="1" applyAlignment="1">
      <alignment horizontal="center" vertical="center"/>
    </xf>
    <xf numFmtId="0" fontId="13" fillId="0" borderId="0" xfId="0" applyFont="1">
      <alignment vertical="center"/>
    </xf>
    <xf numFmtId="0" fontId="12" fillId="0" borderId="0" xfId="0" applyFont="1" applyAlignment="1">
      <alignment horizontal="center" vertical="center"/>
    </xf>
    <xf numFmtId="0" fontId="13" fillId="0" borderId="0" xfId="0" applyFont="1" applyAlignment="1">
      <alignment horizontal="center" vertical="center"/>
    </xf>
    <xf numFmtId="0" fontId="13" fillId="0" borderId="1" xfId="0" applyFont="1" applyBorder="1" applyAlignment="1">
      <alignment horizontal="center" vertical="center"/>
    </xf>
    <xf numFmtId="0" fontId="13" fillId="0" borderId="1" xfId="0" applyFont="1" applyBorder="1" applyAlignment="1">
      <alignment horizontal="center" vertical="center" wrapText="1"/>
    </xf>
    <xf numFmtId="0" fontId="12" fillId="0" borderId="0" xfId="0" applyFont="1">
      <alignment vertical="center"/>
    </xf>
    <xf numFmtId="0" fontId="12" fillId="3" borderId="1" xfId="0" applyFont="1" applyFill="1" applyBorder="1" applyAlignment="1">
      <alignment horizontal="center" vertical="center" wrapText="1"/>
    </xf>
    <xf numFmtId="0" fontId="9" fillId="0" borderId="0" xfId="0" applyFont="1">
      <alignment vertical="center"/>
    </xf>
    <xf numFmtId="0" fontId="10" fillId="0" borderId="0" xfId="0" applyFont="1">
      <alignment vertical="center"/>
    </xf>
    <xf numFmtId="0" fontId="12" fillId="3" borderId="1" xfId="0" applyFont="1" applyFill="1" applyBorder="1" applyAlignment="1">
      <alignment horizontal="center" vertical="center"/>
    </xf>
    <xf numFmtId="0" fontId="13" fillId="0" borderId="0" xfId="0" applyFont="1" applyAlignment="1">
      <alignment vertical="center" wrapText="1"/>
    </xf>
    <xf numFmtId="0" fontId="11" fillId="0" borderId="0" xfId="0" applyFont="1" applyAlignment="1">
      <alignment horizontal="center" vertical="center"/>
    </xf>
    <xf numFmtId="0" fontId="0" fillId="0" borderId="0" xfId="0" applyAlignment="1">
      <alignment horizontal="center" vertical="center"/>
    </xf>
    <xf numFmtId="0" fontId="13" fillId="0" borderId="1" xfId="0" applyFont="1" applyBorder="1">
      <alignment vertical="center"/>
    </xf>
    <xf numFmtId="0" fontId="0" fillId="0" borderId="0" xfId="0">
      <alignment vertical="center"/>
    </xf>
    <xf numFmtId="0" fontId="12" fillId="0" borderId="1" xfId="0" applyFont="1" applyBorder="1">
      <alignment vertical="center"/>
    </xf>
    <xf numFmtId="0" fontId="13" fillId="2" borderId="0" xfId="0" applyFont="1" applyFill="1">
      <alignment vertical="center"/>
    </xf>
    <xf numFmtId="3" fontId="10" fillId="0" borderId="1" xfId="0" applyNumberFormat="1" applyFont="1" applyBorder="1" applyAlignment="1">
      <alignment vertical="center"/>
    </xf>
    <xf numFmtId="0" fontId="9" fillId="0" borderId="1" xfId="0" applyFont="1" applyBorder="1" applyAlignment="1">
      <alignment vertical="center"/>
    </xf>
    <xf numFmtId="0" fontId="9" fillId="0" borderId="0" xfId="0" applyFont="1" applyAlignment="1">
      <alignment vertical="center"/>
    </xf>
    <xf numFmtId="0" fontId="10" fillId="0" borderId="0" xfId="0" applyFont="1" applyAlignment="1">
      <alignment vertical="center"/>
    </xf>
    <xf numFmtId="0" fontId="10" fillId="0" borderId="1" xfId="0" applyFont="1" applyBorder="1" applyAlignment="1">
      <alignment horizontal="center" vertical="center"/>
    </xf>
    <xf numFmtId="0" fontId="19" fillId="0" borderId="0" xfId="0" applyFont="1" applyAlignment="1">
      <alignment horizontal="center" vertical="center"/>
    </xf>
    <xf numFmtId="0" fontId="19" fillId="0" borderId="0" xfId="0" applyFont="1" applyAlignment="1">
      <alignment vertical="center"/>
    </xf>
    <xf numFmtId="0" fontId="3"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19" fillId="0" borderId="1" xfId="0" applyFont="1" applyBorder="1" applyAlignment="1">
      <alignment vertical="center"/>
    </xf>
    <xf numFmtId="0" fontId="13" fillId="0" borderId="1" xfId="0" applyFont="1" applyBorder="1" applyAlignment="1">
      <alignment vertical="top" wrapText="1"/>
    </xf>
    <xf numFmtId="0" fontId="9" fillId="0" borderId="1" xfId="0" applyFont="1" applyBorder="1" applyAlignment="1">
      <alignment horizontal="center"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6" fillId="0" borderId="0" xfId="0" applyFont="1">
      <alignment vertical="center"/>
    </xf>
    <xf numFmtId="0" fontId="12" fillId="0" borderId="0" xfId="0" applyFont="1" applyAlignment="1">
      <alignment vertical="center" wrapText="1"/>
    </xf>
    <xf numFmtId="3" fontId="13" fillId="2" borderId="0" xfId="0" applyNumberFormat="1" applyFont="1" applyFill="1">
      <alignment vertical="center"/>
    </xf>
    <xf numFmtId="0" fontId="13" fillId="3" borderId="1" xfId="0" applyFont="1" applyFill="1" applyBorder="1">
      <alignment vertical="center"/>
    </xf>
    <xf numFmtId="0" fontId="13" fillId="0" borderId="0" xfId="0" applyFont="1" applyAlignment="1">
      <alignment vertical="top" wrapText="1"/>
    </xf>
    <xf numFmtId="0" fontId="13" fillId="0" borderId="1" xfId="0" applyFont="1" applyBorder="1" applyAlignment="1">
      <alignment vertical="center" wrapText="1"/>
    </xf>
    <xf numFmtId="0" fontId="9" fillId="0" borderId="1" xfId="0" applyFont="1" applyBorder="1">
      <alignment vertical="center"/>
    </xf>
    <xf numFmtId="0" fontId="10" fillId="0" borderId="1" xfId="0" applyFont="1" applyBorder="1">
      <alignment vertical="center"/>
    </xf>
    <xf numFmtId="0" fontId="12" fillId="0" borderId="2" xfId="0" applyFont="1" applyBorder="1">
      <alignment vertical="center"/>
    </xf>
    <xf numFmtId="0" fontId="13" fillId="0" borderId="3" xfId="0" applyFont="1" applyBorder="1" applyAlignment="1">
      <alignment vertical="center" wrapText="1"/>
    </xf>
    <xf numFmtId="0" fontId="13" fillId="0" borderId="4" xfId="0" applyFont="1" applyBorder="1">
      <alignment vertical="center"/>
    </xf>
    <xf numFmtId="0" fontId="19" fillId="0" borderId="1" xfId="0" applyFont="1" applyBorder="1" applyAlignment="1">
      <alignment horizontal="center" vertical="center"/>
    </xf>
    <xf numFmtId="0" fontId="3" fillId="0" borderId="1" xfId="0" applyFont="1" applyBorder="1" applyAlignment="1">
      <alignment horizontal="center" vertical="center"/>
    </xf>
    <xf numFmtId="0" fontId="19" fillId="0" borderId="1" xfId="0" applyFont="1" applyBorder="1" applyAlignment="1">
      <alignment vertical="center" wrapText="1"/>
    </xf>
    <xf numFmtId="0" fontId="12" fillId="0" borderId="1" xfId="0" applyFont="1" applyBorder="1" applyAlignment="1">
      <alignment vertical="center" wrapText="1"/>
    </xf>
    <xf numFmtId="0" fontId="9" fillId="0" borderId="1" xfId="0" applyFont="1" applyBorder="1" applyAlignment="1">
      <alignment vertical="center" wrapText="1"/>
    </xf>
    <xf numFmtId="0" fontId="10" fillId="0" borderId="1" xfId="0" applyFont="1" applyBorder="1" applyAlignment="1">
      <alignment vertical="center"/>
    </xf>
    <xf numFmtId="0" fontId="10" fillId="0" borderId="1" xfId="0" applyFont="1" applyBorder="1" applyAlignment="1">
      <alignment vertical="center" wrapText="1"/>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vertical="center" wrapText="1"/>
    </xf>
    <xf numFmtId="0" fontId="13"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xf>
    <xf numFmtId="0" fontId="13" fillId="0" borderId="1" xfId="0" applyFont="1" applyBorder="1" applyAlignment="1">
      <alignment vertical="center"/>
    </xf>
    <xf numFmtId="0" fontId="15" fillId="0" borderId="0" xfId="0" applyFont="1" applyAlignment="1">
      <alignment horizontal="center" vertical="center"/>
    </xf>
    <xf numFmtId="0" fontId="16" fillId="0" borderId="0" xfId="0" applyFont="1" applyAlignment="1">
      <alignment horizontal="center" vertical="center"/>
    </xf>
    <xf numFmtId="0" fontId="12" fillId="0" borderId="0" xfId="0" applyFont="1" applyAlignment="1">
      <alignment vertical="center"/>
    </xf>
    <xf numFmtId="0" fontId="8" fillId="0" borderId="0" xfId="0" applyFont="1" applyAlignment="1">
      <alignment horizontal="center" vertical="center"/>
    </xf>
    <xf numFmtId="0" fontId="2" fillId="0" borderId="0" xfId="0" applyFont="1">
      <alignment vertical="center"/>
    </xf>
    <xf numFmtId="0" fontId="0" fillId="2" borderId="0" xfId="0" applyFill="1" applyAlignment="1">
      <alignment vertical="top" wrapText="1"/>
    </xf>
    <xf numFmtId="0" fontId="0" fillId="0" borderId="0" xfId="0"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1933575</xdr:colOff>
          <xdr:row>1</xdr:row>
          <xdr:rowOff>485775</xdr:rowOff>
        </xdr:from>
        <xdr:to>
          <xdr:col>2</xdr:col>
          <xdr:colOff>4476750</xdr:colOff>
          <xdr:row>3</xdr:row>
          <xdr:rowOff>47625</xdr:rowOff>
        </xdr:to>
        <xdr:sp macro="" textlink="">
          <xdr:nvSpPr>
            <xdr:cNvPr id="2049" name="btn계약방법반영" hidden="1">
              <a:extLst>
                <a:ext uri="{63B3BB69-23CF-44E3-9099-C40C66FF867C}">
                  <a14:compatExt spid="_x0000_s2049"/>
                </a:ext>
                <a:ext uri="{FF2B5EF4-FFF2-40B4-BE49-F238E27FC236}">
                  <a16:creationId xmlns:a16="http://schemas.microsoft.com/office/drawing/2014/main" id="{DEFD324B-D635-4382-8C34-93A306B20B3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1</xdr:row>
          <xdr:rowOff>190500</xdr:rowOff>
        </xdr:from>
        <xdr:to>
          <xdr:col>5</xdr:col>
          <xdr:colOff>285750</xdr:colOff>
          <xdr:row>3</xdr:row>
          <xdr:rowOff>76200</xdr:rowOff>
        </xdr:to>
        <xdr:sp macro="" textlink="">
          <xdr:nvSpPr>
            <xdr:cNvPr id="3073" name="btn관련FormID이동" hidden="1">
              <a:extLst>
                <a:ext uri="{63B3BB69-23CF-44E3-9099-C40C66FF867C}">
                  <a14:compatExt spid="_x0000_s3073"/>
                </a:ext>
                <a:ext uri="{FF2B5EF4-FFF2-40B4-BE49-F238E27FC236}">
                  <a16:creationId xmlns:a16="http://schemas.microsoft.com/office/drawing/2014/main" id="{434B1E9B-BD65-4AC8-9D37-7094252CF22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2143125</xdr:colOff>
          <xdr:row>1</xdr:row>
          <xdr:rowOff>190500</xdr:rowOff>
        </xdr:from>
        <xdr:to>
          <xdr:col>5</xdr:col>
          <xdr:colOff>219075</xdr:colOff>
          <xdr:row>3</xdr:row>
          <xdr:rowOff>76200</xdr:rowOff>
        </xdr:to>
        <xdr:sp macro="" textlink="">
          <xdr:nvSpPr>
            <xdr:cNvPr id="4097" name="btn학교검색" hidden="1">
              <a:extLst>
                <a:ext uri="{63B3BB69-23CF-44E3-9099-C40C66FF867C}">
                  <a14:compatExt spid="_x0000_s4097"/>
                </a:ext>
                <a:ext uri="{FF2B5EF4-FFF2-40B4-BE49-F238E27FC236}">
                  <a16:creationId xmlns:a16="http://schemas.microsoft.com/office/drawing/2014/main" id="{7796D1C9-B224-417A-A296-A57DAED9AF8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190500</xdr:rowOff>
        </xdr:from>
        <xdr:to>
          <xdr:col>8</xdr:col>
          <xdr:colOff>114300</xdr:colOff>
          <xdr:row>3</xdr:row>
          <xdr:rowOff>76200</xdr:rowOff>
        </xdr:to>
        <xdr:sp macro="" textlink="">
          <xdr:nvSpPr>
            <xdr:cNvPr id="4098" name="btn선택학교반영" hidden="1">
              <a:extLst>
                <a:ext uri="{63B3BB69-23CF-44E3-9099-C40C66FF867C}">
                  <a14:compatExt spid="_x0000_s4098"/>
                </a:ext>
                <a:ext uri="{FF2B5EF4-FFF2-40B4-BE49-F238E27FC236}">
                  <a16:creationId xmlns:a16="http://schemas.microsoft.com/office/drawing/2014/main" id="{A2381E04-4E09-4A90-9A90-1DDBD83A3F1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2343150</xdr:colOff>
          <xdr:row>0</xdr:row>
          <xdr:rowOff>123825</xdr:rowOff>
        </xdr:from>
        <xdr:to>
          <xdr:col>5</xdr:col>
          <xdr:colOff>266700</xdr:colOff>
          <xdr:row>1</xdr:row>
          <xdr:rowOff>180975</xdr:rowOff>
        </xdr:to>
        <xdr:sp macro="" textlink="">
          <xdr:nvSpPr>
            <xdr:cNvPr id="54273" name="btn인쇄미리보기" hidden="1">
              <a:extLst>
                <a:ext uri="{63B3BB69-23CF-44E3-9099-C40C66FF867C}">
                  <a14:compatExt spid="_x0000_s54273"/>
                </a:ext>
                <a:ext uri="{FF2B5EF4-FFF2-40B4-BE49-F238E27FC236}">
                  <a16:creationId xmlns:a16="http://schemas.microsoft.com/office/drawing/2014/main" id="{99ADA5B4-6054-4224-B40E-8843CE9ED85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390525</xdr:colOff>
          <xdr:row>0</xdr:row>
          <xdr:rowOff>123825</xdr:rowOff>
        </xdr:from>
        <xdr:to>
          <xdr:col>6</xdr:col>
          <xdr:colOff>400050</xdr:colOff>
          <xdr:row>1</xdr:row>
          <xdr:rowOff>180975</xdr:rowOff>
        </xdr:to>
        <xdr:sp macro="" textlink="">
          <xdr:nvSpPr>
            <xdr:cNvPr id="54274" name="btnPDF저장" hidden="1">
              <a:extLst>
                <a:ext uri="{63B3BB69-23CF-44E3-9099-C40C66FF867C}">
                  <a14:compatExt spid="_x0000_s54274"/>
                </a:ext>
                <a:ext uri="{FF2B5EF4-FFF2-40B4-BE49-F238E27FC236}">
                  <a16:creationId xmlns:a16="http://schemas.microsoft.com/office/drawing/2014/main" id="{047D38B8-FFD2-4E2A-87E8-91F50EF237F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19050</xdr:rowOff>
        </xdr:from>
        <xdr:to>
          <xdr:col>6</xdr:col>
          <xdr:colOff>800100</xdr:colOff>
          <xdr:row>4</xdr:row>
          <xdr:rowOff>209550</xdr:rowOff>
        </xdr:to>
        <xdr:sp macro="" textlink="">
          <xdr:nvSpPr>
            <xdr:cNvPr id="54275" name="btnPrev_F-001" hidden="1">
              <a:extLst>
                <a:ext uri="{63B3BB69-23CF-44E3-9099-C40C66FF867C}">
                  <a14:compatExt spid="_x0000_s54275"/>
                </a:ext>
                <a:ext uri="{FF2B5EF4-FFF2-40B4-BE49-F238E27FC236}">
                  <a16:creationId xmlns:a16="http://schemas.microsoft.com/office/drawing/2014/main" id="{90999C00-C95E-400C-B497-224C092A31BD}"/>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xdr:row>
          <xdr:rowOff>19050</xdr:rowOff>
        </xdr:from>
        <xdr:to>
          <xdr:col>7</xdr:col>
          <xdr:colOff>800100</xdr:colOff>
          <xdr:row>4</xdr:row>
          <xdr:rowOff>209550</xdr:rowOff>
        </xdr:to>
        <xdr:sp macro="" textlink="">
          <xdr:nvSpPr>
            <xdr:cNvPr id="54276" name="btnPdf_F-001" hidden="1">
              <a:extLst>
                <a:ext uri="{63B3BB69-23CF-44E3-9099-C40C66FF867C}">
                  <a14:compatExt spid="_x0000_s54276"/>
                </a:ext>
                <a:ext uri="{FF2B5EF4-FFF2-40B4-BE49-F238E27FC236}">
                  <a16:creationId xmlns:a16="http://schemas.microsoft.com/office/drawing/2014/main" id="{95EE2442-09FE-4322-A365-8C7AADD5C7C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19050</xdr:rowOff>
        </xdr:from>
        <xdr:to>
          <xdr:col>6</xdr:col>
          <xdr:colOff>800100</xdr:colOff>
          <xdr:row>5</xdr:row>
          <xdr:rowOff>209550</xdr:rowOff>
        </xdr:to>
        <xdr:sp macro="" textlink="">
          <xdr:nvSpPr>
            <xdr:cNvPr id="54277" name="btnPrev_F-002" hidden="1">
              <a:extLst>
                <a:ext uri="{63B3BB69-23CF-44E3-9099-C40C66FF867C}">
                  <a14:compatExt spid="_x0000_s54277"/>
                </a:ext>
                <a:ext uri="{FF2B5EF4-FFF2-40B4-BE49-F238E27FC236}">
                  <a16:creationId xmlns:a16="http://schemas.microsoft.com/office/drawing/2014/main" id="{46126C97-C6BA-4E29-89B4-CB746E62C30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19050</xdr:rowOff>
        </xdr:from>
        <xdr:to>
          <xdr:col>7</xdr:col>
          <xdr:colOff>800100</xdr:colOff>
          <xdr:row>5</xdr:row>
          <xdr:rowOff>209550</xdr:rowOff>
        </xdr:to>
        <xdr:sp macro="" textlink="">
          <xdr:nvSpPr>
            <xdr:cNvPr id="54278" name="btnPdf_F-002" hidden="1">
              <a:extLst>
                <a:ext uri="{63B3BB69-23CF-44E3-9099-C40C66FF867C}">
                  <a14:compatExt spid="_x0000_s54278"/>
                </a:ext>
                <a:ext uri="{FF2B5EF4-FFF2-40B4-BE49-F238E27FC236}">
                  <a16:creationId xmlns:a16="http://schemas.microsoft.com/office/drawing/2014/main" id="{5926C3A5-1F59-409F-868F-F08D2FC61EAE}"/>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6</xdr:col>
          <xdr:colOff>800100</xdr:colOff>
          <xdr:row>6</xdr:row>
          <xdr:rowOff>209550</xdr:rowOff>
        </xdr:to>
        <xdr:sp macro="" textlink="">
          <xdr:nvSpPr>
            <xdr:cNvPr id="54279" name="btnPrev_F-003" hidden="1">
              <a:extLst>
                <a:ext uri="{63B3BB69-23CF-44E3-9099-C40C66FF867C}">
                  <a14:compatExt spid="_x0000_s54279"/>
                </a:ext>
                <a:ext uri="{FF2B5EF4-FFF2-40B4-BE49-F238E27FC236}">
                  <a16:creationId xmlns:a16="http://schemas.microsoft.com/office/drawing/2014/main" id="{91B086CE-BD0C-4135-AF38-4E3514FC6B7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6</xdr:row>
          <xdr:rowOff>19050</xdr:rowOff>
        </xdr:from>
        <xdr:to>
          <xdr:col>7</xdr:col>
          <xdr:colOff>800100</xdr:colOff>
          <xdr:row>6</xdr:row>
          <xdr:rowOff>209550</xdr:rowOff>
        </xdr:to>
        <xdr:sp macro="" textlink="">
          <xdr:nvSpPr>
            <xdr:cNvPr id="54280" name="btnPdf_F-003" hidden="1">
              <a:extLst>
                <a:ext uri="{63B3BB69-23CF-44E3-9099-C40C66FF867C}">
                  <a14:compatExt spid="_x0000_s54280"/>
                </a:ext>
                <a:ext uri="{FF2B5EF4-FFF2-40B4-BE49-F238E27FC236}">
                  <a16:creationId xmlns:a16="http://schemas.microsoft.com/office/drawing/2014/main" id="{FA56EE6A-EEB9-4FC0-A1C1-4184F877819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xdr:row>
          <xdr:rowOff>19050</xdr:rowOff>
        </xdr:from>
        <xdr:to>
          <xdr:col>6</xdr:col>
          <xdr:colOff>800100</xdr:colOff>
          <xdr:row>7</xdr:row>
          <xdr:rowOff>209550</xdr:rowOff>
        </xdr:to>
        <xdr:sp macro="" textlink="">
          <xdr:nvSpPr>
            <xdr:cNvPr id="54281" name="btnPrev_F-004" hidden="1">
              <a:extLst>
                <a:ext uri="{63B3BB69-23CF-44E3-9099-C40C66FF867C}">
                  <a14:compatExt spid="_x0000_s54281"/>
                </a:ext>
                <a:ext uri="{FF2B5EF4-FFF2-40B4-BE49-F238E27FC236}">
                  <a16:creationId xmlns:a16="http://schemas.microsoft.com/office/drawing/2014/main" id="{7F757F32-51FD-472C-9F13-D0A8CA9B323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7</xdr:row>
          <xdr:rowOff>19050</xdr:rowOff>
        </xdr:from>
        <xdr:to>
          <xdr:col>7</xdr:col>
          <xdr:colOff>800100</xdr:colOff>
          <xdr:row>7</xdr:row>
          <xdr:rowOff>209550</xdr:rowOff>
        </xdr:to>
        <xdr:sp macro="" textlink="">
          <xdr:nvSpPr>
            <xdr:cNvPr id="54282" name="btnPdf_F-004" hidden="1">
              <a:extLst>
                <a:ext uri="{63B3BB69-23CF-44E3-9099-C40C66FF867C}">
                  <a14:compatExt spid="_x0000_s54282"/>
                </a:ext>
                <a:ext uri="{FF2B5EF4-FFF2-40B4-BE49-F238E27FC236}">
                  <a16:creationId xmlns:a16="http://schemas.microsoft.com/office/drawing/2014/main" id="{9F0585E5-584D-43BE-842C-E35E6D8EC27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8</xdr:row>
          <xdr:rowOff>19050</xdr:rowOff>
        </xdr:from>
        <xdr:to>
          <xdr:col>6</xdr:col>
          <xdr:colOff>800100</xdr:colOff>
          <xdr:row>8</xdr:row>
          <xdr:rowOff>209550</xdr:rowOff>
        </xdr:to>
        <xdr:sp macro="" textlink="">
          <xdr:nvSpPr>
            <xdr:cNvPr id="54283" name="btnPrev_F-005" hidden="1">
              <a:extLst>
                <a:ext uri="{63B3BB69-23CF-44E3-9099-C40C66FF867C}">
                  <a14:compatExt spid="_x0000_s54283"/>
                </a:ext>
                <a:ext uri="{FF2B5EF4-FFF2-40B4-BE49-F238E27FC236}">
                  <a16:creationId xmlns:a16="http://schemas.microsoft.com/office/drawing/2014/main" id="{91A90A27-BFA3-4B3B-94F5-65C791A1050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8</xdr:row>
          <xdr:rowOff>19050</xdr:rowOff>
        </xdr:from>
        <xdr:to>
          <xdr:col>7</xdr:col>
          <xdr:colOff>800100</xdr:colOff>
          <xdr:row>8</xdr:row>
          <xdr:rowOff>209550</xdr:rowOff>
        </xdr:to>
        <xdr:sp macro="" textlink="">
          <xdr:nvSpPr>
            <xdr:cNvPr id="54284" name="btnPdf_F-005" hidden="1">
              <a:extLst>
                <a:ext uri="{63B3BB69-23CF-44E3-9099-C40C66FF867C}">
                  <a14:compatExt spid="_x0000_s54284"/>
                </a:ext>
                <a:ext uri="{FF2B5EF4-FFF2-40B4-BE49-F238E27FC236}">
                  <a16:creationId xmlns:a16="http://schemas.microsoft.com/office/drawing/2014/main" id="{B4925039-0F96-4A2B-9D87-2D1C52C1E9F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19050</xdr:rowOff>
        </xdr:from>
        <xdr:to>
          <xdr:col>6</xdr:col>
          <xdr:colOff>800100</xdr:colOff>
          <xdr:row>9</xdr:row>
          <xdr:rowOff>209550</xdr:rowOff>
        </xdr:to>
        <xdr:sp macro="" textlink="">
          <xdr:nvSpPr>
            <xdr:cNvPr id="54285" name="btnPrev_F-006" hidden="1">
              <a:extLst>
                <a:ext uri="{63B3BB69-23CF-44E3-9099-C40C66FF867C}">
                  <a14:compatExt spid="_x0000_s54285"/>
                </a:ext>
                <a:ext uri="{FF2B5EF4-FFF2-40B4-BE49-F238E27FC236}">
                  <a16:creationId xmlns:a16="http://schemas.microsoft.com/office/drawing/2014/main" id="{25734DD3-F9A7-461C-8DA1-D7C9E1A3B14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9</xdr:row>
          <xdr:rowOff>19050</xdr:rowOff>
        </xdr:from>
        <xdr:to>
          <xdr:col>7</xdr:col>
          <xdr:colOff>800100</xdr:colOff>
          <xdr:row>9</xdr:row>
          <xdr:rowOff>209550</xdr:rowOff>
        </xdr:to>
        <xdr:sp macro="" textlink="">
          <xdr:nvSpPr>
            <xdr:cNvPr id="54286" name="btnPdf_F-006" hidden="1">
              <a:extLst>
                <a:ext uri="{63B3BB69-23CF-44E3-9099-C40C66FF867C}">
                  <a14:compatExt spid="_x0000_s54286"/>
                </a:ext>
                <a:ext uri="{FF2B5EF4-FFF2-40B4-BE49-F238E27FC236}">
                  <a16:creationId xmlns:a16="http://schemas.microsoft.com/office/drawing/2014/main" id="{099F9D79-14E7-42B4-9BDF-AA3971EEBE7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xdr:row>
          <xdr:rowOff>19050</xdr:rowOff>
        </xdr:from>
        <xdr:to>
          <xdr:col>6</xdr:col>
          <xdr:colOff>800100</xdr:colOff>
          <xdr:row>10</xdr:row>
          <xdr:rowOff>209550</xdr:rowOff>
        </xdr:to>
        <xdr:sp macro="" textlink="">
          <xdr:nvSpPr>
            <xdr:cNvPr id="54287" name="btnPrev_F-007" hidden="1">
              <a:extLst>
                <a:ext uri="{63B3BB69-23CF-44E3-9099-C40C66FF867C}">
                  <a14:compatExt spid="_x0000_s54287"/>
                </a:ext>
                <a:ext uri="{FF2B5EF4-FFF2-40B4-BE49-F238E27FC236}">
                  <a16:creationId xmlns:a16="http://schemas.microsoft.com/office/drawing/2014/main" id="{2A2F1232-89DC-4B0A-B7AF-284AA133FB9A}"/>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19050</xdr:rowOff>
        </xdr:from>
        <xdr:to>
          <xdr:col>7</xdr:col>
          <xdr:colOff>800100</xdr:colOff>
          <xdr:row>10</xdr:row>
          <xdr:rowOff>209550</xdr:rowOff>
        </xdr:to>
        <xdr:sp macro="" textlink="">
          <xdr:nvSpPr>
            <xdr:cNvPr id="54288" name="btnPdf_F-007" hidden="1">
              <a:extLst>
                <a:ext uri="{63B3BB69-23CF-44E3-9099-C40C66FF867C}">
                  <a14:compatExt spid="_x0000_s54288"/>
                </a:ext>
                <a:ext uri="{FF2B5EF4-FFF2-40B4-BE49-F238E27FC236}">
                  <a16:creationId xmlns:a16="http://schemas.microsoft.com/office/drawing/2014/main" id="{0856D317-F063-4FFC-9C7D-90FF03B0D5F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xdr:row>
          <xdr:rowOff>19050</xdr:rowOff>
        </xdr:from>
        <xdr:to>
          <xdr:col>6</xdr:col>
          <xdr:colOff>800100</xdr:colOff>
          <xdr:row>11</xdr:row>
          <xdr:rowOff>209550</xdr:rowOff>
        </xdr:to>
        <xdr:sp macro="" textlink="">
          <xdr:nvSpPr>
            <xdr:cNvPr id="54289" name="btnPrev_F-008" hidden="1">
              <a:extLst>
                <a:ext uri="{63B3BB69-23CF-44E3-9099-C40C66FF867C}">
                  <a14:compatExt spid="_x0000_s54289"/>
                </a:ext>
                <a:ext uri="{FF2B5EF4-FFF2-40B4-BE49-F238E27FC236}">
                  <a16:creationId xmlns:a16="http://schemas.microsoft.com/office/drawing/2014/main" id="{9E20B135-5206-44E3-9AB1-7980A718B79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11</xdr:row>
          <xdr:rowOff>19050</xdr:rowOff>
        </xdr:from>
        <xdr:to>
          <xdr:col>7</xdr:col>
          <xdr:colOff>800100</xdr:colOff>
          <xdr:row>11</xdr:row>
          <xdr:rowOff>209550</xdr:rowOff>
        </xdr:to>
        <xdr:sp macro="" textlink="">
          <xdr:nvSpPr>
            <xdr:cNvPr id="54290" name="btnPdf_F-008" hidden="1">
              <a:extLst>
                <a:ext uri="{63B3BB69-23CF-44E3-9099-C40C66FF867C}">
                  <a14:compatExt spid="_x0000_s54290"/>
                </a:ext>
                <a:ext uri="{FF2B5EF4-FFF2-40B4-BE49-F238E27FC236}">
                  <a16:creationId xmlns:a16="http://schemas.microsoft.com/office/drawing/2014/main" id="{DFB0CBB2-98E4-495E-878C-7C91B0EB163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12</xdr:row>
          <xdr:rowOff>19050</xdr:rowOff>
        </xdr:from>
        <xdr:to>
          <xdr:col>6</xdr:col>
          <xdr:colOff>800100</xdr:colOff>
          <xdr:row>12</xdr:row>
          <xdr:rowOff>209550</xdr:rowOff>
        </xdr:to>
        <xdr:sp macro="" textlink="">
          <xdr:nvSpPr>
            <xdr:cNvPr id="54291" name="btnPrev_F-009" hidden="1">
              <a:extLst>
                <a:ext uri="{63B3BB69-23CF-44E3-9099-C40C66FF867C}">
                  <a14:compatExt spid="_x0000_s54291"/>
                </a:ext>
                <a:ext uri="{FF2B5EF4-FFF2-40B4-BE49-F238E27FC236}">
                  <a16:creationId xmlns:a16="http://schemas.microsoft.com/office/drawing/2014/main" id="{3102A045-E000-4C45-9422-E18A2E93BFE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12</xdr:row>
          <xdr:rowOff>19050</xdr:rowOff>
        </xdr:from>
        <xdr:to>
          <xdr:col>7</xdr:col>
          <xdr:colOff>800100</xdr:colOff>
          <xdr:row>12</xdr:row>
          <xdr:rowOff>209550</xdr:rowOff>
        </xdr:to>
        <xdr:sp macro="" textlink="">
          <xdr:nvSpPr>
            <xdr:cNvPr id="54292" name="btnPdf_F-009" hidden="1">
              <a:extLst>
                <a:ext uri="{63B3BB69-23CF-44E3-9099-C40C66FF867C}">
                  <a14:compatExt spid="_x0000_s54292"/>
                </a:ext>
                <a:ext uri="{FF2B5EF4-FFF2-40B4-BE49-F238E27FC236}">
                  <a16:creationId xmlns:a16="http://schemas.microsoft.com/office/drawing/2014/main" id="{C03642FF-82FD-40EC-97D9-CB34F385740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13</xdr:row>
          <xdr:rowOff>19050</xdr:rowOff>
        </xdr:from>
        <xdr:to>
          <xdr:col>6</xdr:col>
          <xdr:colOff>800100</xdr:colOff>
          <xdr:row>13</xdr:row>
          <xdr:rowOff>209550</xdr:rowOff>
        </xdr:to>
        <xdr:sp macro="" textlink="">
          <xdr:nvSpPr>
            <xdr:cNvPr id="54293" name="btnPrev_F-010" hidden="1">
              <a:extLst>
                <a:ext uri="{63B3BB69-23CF-44E3-9099-C40C66FF867C}">
                  <a14:compatExt spid="_x0000_s54293"/>
                </a:ext>
                <a:ext uri="{FF2B5EF4-FFF2-40B4-BE49-F238E27FC236}">
                  <a16:creationId xmlns:a16="http://schemas.microsoft.com/office/drawing/2014/main" id="{F6D5EF61-6724-4DD3-A1DF-9F15429ABE6D}"/>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13</xdr:row>
          <xdr:rowOff>19050</xdr:rowOff>
        </xdr:from>
        <xdr:to>
          <xdr:col>7</xdr:col>
          <xdr:colOff>800100</xdr:colOff>
          <xdr:row>13</xdr:row>
          <xdr:rowOff>209550</xdr:rowOff>
        </xdr:to>
        <xdr:sp macro="" textlink="">
          <xdr:nvSpPr>
            <xdr:cNvPr id="54294" name="btnPdf_F-010" hidden="1">
              <a:extLst>
                <a:ext uri="{63B3BB69-23CF-44E3-9099-C40C66FF867C}">
                  <a14:compatExt spid="_x0000_s54294"/>
                </a:ext>
                <a:ext uri="{FF2B5EF4-FFF2-40B4-BE49-F238E27FC236}">
                  <a16:creationId xmlns:a16="http://schemas.microsoft.com/office/drawing/2014/main" id="{375F678E-9CC6-44FA-960B-4C5A116652A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14</xdr:row>
          <xdr:rowOff>19050</xdr:rowOff>
        </xdr:from>
        <xdr:to>
          <xdr:col>6</xdr:col>
          <xdr:colOff>800100</xdr:colOff>
          <xdr:row>14</xdr:row>
          <xdr:rowOff>209550</xdr:rowOff>
        </xdr:to>
        <xdr:sp macro="" textlink="">
          <xdr:nvSpPr>
            <xdr:cNvPr id="54295" name="btnPrev_F-011" hidden="1">
              <a:extLst>
                <a:ext uri="{63B3BB69-23CF-44E3-9099-C40C66FF867C}">
                  <a14:compatExt spid="_x0000_s54295"/>
                </a:ext>
                <a:ext uri="{FF2B5EF4-FFF2-40B4-BE49-F238E27FC236}">
                  <a16:creationId xmlns:a16="http://schemas.microsoft.com/office/drawing/2014/main" id="{6892ED46-F942-4209-9240-4F8CBF34D63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14</xdr:row>
          <xdr:rowOff>19050</xdr:rowOff>
        </xdr:from>
        <xdr:to>
          <xdr:col>7</xdr:col>
          <xdr:colOff>800100</xdr:colOff>
          <xdr:row>14</xdr:row>
          <xdr:rowOff>209550</xdr:rowOff>
        </xdr:to>
        <xdr:sp macro="" textlink="">
          <xdr:nvSpPr>
            <xdr:cNvPr id="54296" name="btnPdf_F-011" hidden="1">
              <a:extLst>
                <a:ext uri="{63B3BB69-23CF-44E3-9099-C40C66FF867C}">
                  <a14:compatExt spid="_x0000_s54296"/>
                </a:ext>
                <a:ext uri="{FF2B5EF4-FFF2-40B4-BE49-F238E27FC236}">
                  <a16:creationId xmlns:a16="http://schemas.microsoft.com/office/drawing/2014/main" id="{B1DBE55C-86EC-4854-B35C-F7FF1C5D2A8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15</xdr:row>
          <xdr:rowOff>19050</xdr:rowOff>
        </xdr:from>
        <xdr:to>
          <xdr:col>6</xdr:col>
          <xdr:colOff>800100</xdr:colOff>
          <xdr:row>15</xdr:row>
          <xdr:rowOff>209550</xdr:rowOff>
        </xdr:to>
        <xdr:sp macro="" textlink="">
          <xdr:nvSpPr>
            <xdr:cNvPr id="54297" name="btnPrev_F-012" hidden="1">
              <a:extLst>
                <a:ext uri="{63B3BB69-23CF-44E3-9099-C40C66FF867C}">
                  <a14:compatExt spid="_x0000_s54297"/>
                </a:ext>
                <a:ext uri="{FF2B5EF4-FFF2-40B4-BE49-F238E27FC236}">
                  <a16:creationId xmlns:a16="http://schemas.microsoft.com/office/drawing/2014/main" id="{BE0F01EB-8408-402E-8133-7BEC0007170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15</xdr:row>
          <xdr:rowOff>19050</xdr:rowOff>
        </xdr:from>
        <xdr:to>
          <xdr:col>7</xdr:col>
          <xdr:colOff>800100</xdr:colOff>
          <xdr:row>15</xdr:row>
          <xdr:rowOff>209550</xdr:rowOff>
        </xdr:to>
        <xdr:sp macro="" textlink="">
          <xdr:nvSpPr>
            <xdr:cNvPr id="54298" name="btnPdf_F-012" hidden="1">
              <a:extLst>
                <a:ext uri="{63B3BB69-23CF-44E3-9099-C40C66FF867C}">
                  <a14:compatExt spid="_x0000_s54298"/>
                </a:ext>
                <a:ext uri="{FF2B5EF4-FFF2-40B4-BE49-F238E27FC236}">
                  <a16:creationId xmlns:a16="http://schemas.microsoft.com/office/drawing/2014/main" id="{3DB1CF55-6754-41CE-AA50-BE67EC9E66D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17</xdr:row>
          <xdr:rowOff>19050</xdr:rowOff>
        </xdr:from>
        <xdr:to>
          <xdr:col>6</xdr:col>
          <xdr:colOff>800100</xdr:colOff>
          <xdr:row>17</xdr:row>
          <xdr:rowOff>209550</xdr:rowOff>
        </xdr:to>
        <xdr:sp macro="" textlink="">
          <xdr:nvSpPr>
            <xdr:cNvPr id="54299" name="btnPrev_F-014" hidden="1">
              <a:extLst>
                <a:ext uri="{63B3BB69-23CF-44E3-9099-C40C66FF867C}">
                  <a14:compatExt spid="_x0000_s54299"/>
                </a:ext>
                <a:ext uri="{FF2B5EF4-FFF2-40B4-BE49-F238E27FC236}">
                  <a16:creationId xmlns:a16="http://schemas.microsoft.com/office/drawing/2014/main" id="{D454476D-E78F-4E87-96C0-A5B342BCF69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17</xdr:row>
          <xdr:rowOff>19050</xdr:rowOff>
        </xdr:from>
        <xdr:to>
          <xdr:col>7</xdr:col>
          <xdr:colOff>800100</xdr:colOff>
          <xdr:row>17</xdr:row>
          <xdr:rowOff>209550</xdr:rowOff>
        </xdr:to>
        <xdr:sp macro="" textlink="">
          <xdr:nvSpPr>
            <xdr:cNvPr id="54300" name="btnPdf_F-014" hidden="1">
              <a:extLst>
                <a:ext uri="{63B3BB69-23CF-44E3-9099-C40C66FF867C}">
                  <a14:compatExt spid="_x0000_s54300"/>
                </a:ext>
                <a:ext uri="{FF2B5EF4-FFF2-40B4-BE49-F238E27FC236}">
                  <a16:creationId xmlns:a16="http://schemas.microsoft.com/office/drawing/2014/main" id="{7A20A793-28D2-48DC-BB08-130212EAA00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18</xdr:row>
          <xdr:rowOff>19050</xdr:rowOff>
        </xdr:from>
        <xdr:to>
          <xdr:col>6</xdr:col>
          <xdr:colOff>800100</xdr:colOff>
          <xdr:row>18</xdr:row>
          <xdr:rowOff>209550</xdr:rowOff>
        </xdr:to>
        <xdr:sp macro="" textlink="">
          <xdr:nvSpPr>
            <xdr:cNvPr id="54301" name="btnPrev_F-015" hidden="1">
              <a:extLst>
                <a:ext uri="{63B3BB69-23CF-44E3-9099-C40C66FF867C}">
                  <a14:compatExt spid="_x0000_s54301"/>
                </a:ext>
                <a:ext uri="{FF2B5EF4-FFF2-40B4-BE49-F238E27FC236}">
                  <a16:creationId xmlns:a16="http://schemas.microsoft.com/office/drawing/2014/main" id="{14BD5F59-05EB-4CA6-A2B0-E6CDFE558F5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18</xdr:row>
          <xdr:rowOff>19050</xdr:rowOff>
        </xdr:from>
        <xdr:to>
          <xdr:col>7</xdr:col>
          <xdr:colOff>800100</xdr:colOff>
          <xdr:row>18</xdr:row>
          <xdr:rowOff>209550</xdr:rowOff>
        </xdr:to>
        <xdr:sp macro="" textlink="">
          <xdr:nvSpPr>
            <xdr:cNvPr id="54302" name="btnPdf_F-015" hidden="1">
              <a:extLst>
                <a:ext uri="{63B3BB69-23CF-44E3-9099-C40C66FF867C}">
                  <a14:compatExt spid="_x0000_s54302"/>
                </a:ext>
                <a:ext uri="{FF2B5EF4-FFF2-40B4-BE49-F238E27FC236}">
                  <a16:creationId xmlns:a16="http://schemas.microsoft.com/office/drawing/2014/main" id="{463E8DA4-9B36-4F96-B504-FD5E5ABFD69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19</xdr:row>
          <xdr:rowOff>19050</xdr:rowOff>
        </xdr:from>
        <xdr:to>
          <xdr:col>6</xdr:col>
          <xdr:colOff>800100</xdr:colOff>
          <xdr:row>19</xdr:row>
          <xdr:rowOff>209550</xdr:rowOff>
        </xdr:to>
        <xdr:sp macro="" textlink="">
          <xdr:nvSpPr>
            <xdr:cNvPr id="54303" name="btnPrev_F-016" hidden="1">
              <a:extLst>
                <a:ext uri="{63B3BB69-23CF-44E3-9099-C40C66FF867C}">
                  <a14:compatExt spid="_x0000_s54303"/>
                </a:ext>
                <a:ext uri="{FF2B5EF4-FFF2-40B4-BE49-F238E27FC236}">
                  <a16:creationId xmlns:a16="http://schemas.microsoft.com/office/drawing/2014/main" id="{A329AC83-1F02-411E-954E-44399F6F7DE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19</xdr:row>
          <xdr:rowOff>19050</xdr:rowOff>
        </xdr:from>
        <xdr:to>
          <xdr:col>7</xdr:col>
          <xdr:colOff>800100</xdr:colOff>
          <xdr:row>19</xdr:row>
          <xdr:rowOff>209550</xdr:rowOff>
        </xdr:to>
        <xdr:sp macro="" textlink="">
          <xdr:nvSpPr>
            <xdr:cNvPr id="54304" name="btnPdf_F-016" hidden="1">
              <a:extLst>
                <a:ext uri="{63B3BB69-23CF-44E3-9099-C40C66FF867C}">
                  <a14:compatExt spid="_x0000_s54304"/>
                </a:ext>
                <a:ext uri="{FF2B5EF4-FFF2-40B4-BE49-F238E27FC236}">
                  <a16:creationId xmlns:a16="http://schemas.microsoft.com/office/drawing/2014/main" id="{6BCCF149-3601-48C6-BEB6-D3B0EBA3DCA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20</xdr:row>
          <xdr:rowOff>19050</xdr:rowOff>
        </xdr:from>
        <xdr:to>
          <xdr:col>6</xdr:col>
          <xdr:colOff>800100</xdr:colOff>
          <xdr:row>20</xdr:row>
          <xdr:rowOff>209550</xdr:rowOff>
        </xdr:to>
        <xdr:sp macro="" textlink="">
          <xdr:nvSpPr>
            <xdr:cNvPr id="54305" name="btnPrev_F-017" hidden="1">
              <a:extLst>
                <a:ext uri="{63B3BB69-23CF-44E3-9099-C40C66FF867C}">
                  <a14:compatExt spid="_x0000_s54305"/>
                </a:ext>
                <a:ext uri="{FF2B5EF4-FFF2-40B4-BE49-F238E27FC236}">
                  <a16:creationId xmlns:a16="http://schemas.microsoft.com/office/drawing/2014/main" id="{B265C315-725D-4E8F-A3F6-E72DF2CF79B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20</xdr:row>
          <xdr:rowOff>19050</xdr:rowOff>
        </xdr:from>
        <xdr:to>
          <xdr:col>7</xdr:col>
          <xdr:colOff>800100</xdr:colOff>
          <xdr:row>20</xdr:row>
          <xdr:rowOff>209550</xdr:rowOff>
        </xdr:to>
        <xdr:sp macro="" textlink="">
          <xdr:nvSpPr>
            <xdr:cNvPr id="54306" name="btnPdf_F-017" hidden="1">
              <a:extLst>
                <a:ext uri="{63B3BB69-23CF-44E3-9099-C40C66FF867C}">
                  <a14:compatExt spid="_x0000_s54306"/>
                </a:ext>
                <a:ext uri="{FF2B5EF4-FFF2-40B4-BE49-F238E27FC236}">
                  <a16:creationId xmlns:a16="http://schemas.microsoft.com/office/drawing/2014/main" id="{640A3710-CE27-4127-B5A2-0BAD495AB4F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21</xdr:row>
          <xdr:rowOff>19050</xdr:rowOff>
        </xdr:from>
        <xdr:to>
          <xdr:col>6</xdr:col>
          <xdr:colOff>800100</xdr:colOff>
          <xdr:row>21</xdr:row>
          <xdr:rowOff>209550</xdr:rowOff>
        </xdr:to>
        <xdr:sp macro="" textlink="">
          <xdr:nvSpPr>
            <xdr:cNvPr id="54307" name="btnPrev_F-018" hidden="1">
              <a:extLst>
                <a:ext uri="{63B3BB69-23CF-44E3-9099-C40C66FF867C}">
                  <a14:compatExt spid="_x0000_s54307"/>
                </a:ext>
                <a:ext uri="{FF2B5EF4-FFF2-40B4-BE49-F238E27FC236}">
                  <a16:creationId xmlns:a16="http://schemas.microsoft.com/office/drawing/2014/main" id="{1F010296-E133-4411-AFD3-FE536A1DD1F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21</xdr:row>
          <xdr:rowOff>19050</xdr:rowOff>
        </xdr:from>
        <xdr:to>
          <xdr:col>7</xdr:col>
          <xdr:colOff>800100</xdr:colOff>
          <xdr:row>21</xdr:row>
          <xdr:rowOff>209550</xdr:rowOff>
        </xdr:to>
        <xdr:sp macro="" textlink="">
          <xdr:nvSpPr>
            <xdr:cNvPr id="54308" name="btnPdf_F-018" hidden="1">
              <a:extLst>
                <a:ext uri="{63B3BB69-23CF-44E3-9099-C40C66FF867C}">
                  <a14:compatExt spid="_x0000_s54308"/>
                </a:ext>
                <a:ext uri="{FF2B5EF4-FFF2-40B4-BE49-F238E27FC236}">
                  <a16:creationId xmlns:a16="http://schemas.microsoft.com/office/drawing/2014/main" id="{D21CDE0D-F83A-404F-9BFF-2A134B37830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22</xdr:row>
          <xdr:rowOff>19050</xdr:rowOff>
        </xdr:from>
        <xdr:to>
          <xdr:col>6</xdr:col>
          <xdr:colOff>800100</xdr:colOff>
          <xdr:row>22</xdr:row>
          <xdr:rowOff>209550</xdr:rowOff>
        </xdr:to>
        <xdr:sp macro="" textlink="">
          <xdr:nvSpPr>
            <xdr:cNvPr id="54309" name="btnPrev_F-019" hidden="1">
              <a:extLst>
                <a:ext uri="{63B3BB69-23CF-44E3-9099-C40C66FF867C}">
                  <a14:compatExt spid="_x0000_s54309"/>
                </a:ext>
                <a:ext uri="{FF2B5EF4-FFF2-40B4-BE49-F238E27FC236}">
                  <a16:creationId xmlns:a16="http://schemas.microsoft.com/office/drawing/2014/main" id="{C01A3CD6-962C-4ABA-93E4-3AD33214C44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22</xdr:row>
          <xdr:rowOff>19050</xdr:rowOff>
        </xdr:from>
        <xdr:to>
          <xdr:col>7</xdr:col>
          <xdr:colOff>800100</xdr:colOff>
          <xdr:row>22</xdr:row>
          <xdr:rowOff>209550</xdr:rowOff>
        </xdr:to>
        <xdr:sp macro="" textlink="">
          <xdr:nvSpPr>
            <xdr:cNvPr id="54310" name="btnPdf_F-019" hidden="1">
              <a:extLst>
                <a:ext uri="{63B3BB69-23CF-44E3-9099-C40C66FF867C}">
                  <a14:compatExt spid="_x0000_s54310"/>
                </a:ext>
                <a:ext uri="{FF2B5EF4-FFF2-40B4-BE49-F238E27FC236}">
                  <a16:creationId xmlns:a16="http://schemas.microsoft.com/office/drawing/2014/main" id="{72C0A22E-7BA4-4A13-B0CD-DD4F4E9F612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23</xdr:row>
          <xdr:rowOff>19050</xdr:rowOff>
        </xdr:from>
        <xdr:to>
          <xdr:col>6</xdr:col>
          <xdr:colOff>800100</xdr:colOff>
          <xdr:row>23</xdr:row>
          <xdr:rowOff>209550</xdr:rowOff>
        </xdr:to>
        <xdr:sp macro="" textlink="">
          <xdr:nvSpPr>
            <xdr:cNvPr id="54311" name="btnPrev_F-020" hidden="1">
              <a:extLst>
                <a:ext uri="{63B3BB69-23CF-44E3-9099-C40C66FF867C}">
                  <a14:compatExt spid="_x0000_s54311"/>
                </a:ext>
                <a:ext uri="{FF2B5EF4-FFF2-40B4-BE49-F238E27FC236}">
                  <a16:creationId xmlns:a16="http://schemas.microsoft.com/office/drawing/2014/main" id="{0FE55041-82EA-4EBC-A72D-D1861C9CAD5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23</xdr:row>
          <xdr:rowOff>19050</xdr:rowOff>
        </xdr:from>
        <xdr:to>
          <xdr:col>7</xdr:col>
          <xdr:colOff>800100</xdr:colOff>
          <xdr:row>23</xdr:row>
          <xdr:rowOff>209550</xdr:rowOff>
        </xdr:to>
        <xdr:sp macro="" textlink="">
          <xdr:nvSpPr>
            <xdr:cNvPr id="54312" name="btnPdf_F-020" hidden="1">
              <a:extLst>
                <a:ext uri="{63B3BB69-23CF-44E3-9099-C40C66FF867C}">
                  <a14:compatExt spid="_x0000_s54312"/>
                </a:ext>
                <a:ext uri="{FF2B5EF4-FFF2-40B4-BE49-F238E27FC236}">
                  <a16:creationId xmlns:a16="http://schemas.microsoft.com/office/drawing/2014/main" id="{FF641ADE-1EED-48D9-8872-56756EB6F6F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24</xdr:row>
          <xdr:rowOff>19050</xdr:rowOff>
        </xdr:from>
        <xdr:to>
          <xdr:col>6</xdr:col>
          <xdr:colOff>800100</xdr:colOff>
          <xdr:row>24</xdr:row>
          <xdr:rowOff>209550</xdr:rowOff>
        </xdr:to>
        <xdr:sp macro="" textlink="">
          <xdr:nvSpPr>
            <xdr:cNvPr id="54313" name="btnPrev_F-021" hidden="1">
              <a:extLst>
                <a:ext uri="{63B3BB69-23CF-44E3-9099-C40C66FF867C}">
                  <a14:compatExt spid="_x0000_s54313"/>
                </a:ext>
                <a:ext uri="{FF2B5EF4-FFF2-40B4-BE49-F238E27FC236}">
                  <a16:creationId xmlns:a16="http://schemas.microsoft.com/office/drawing/2014/main" id="{93692F65-6700-4BE0-BEAF-D16E21DB2A7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24</xdr:row>
          <xdr:rowOff>19050</xdr:rowOff>
        </xdr:from>
        <xdr:to>
          <xdr:col>7</xdr:col>
          <xdr:colOff>800100</xdr:colOff>
          <xdr:row>24</xdr:row>
          <xdr:rowOff>209550</xdr:rowOff>
        </xdr:to>
        <xdr:sp macro="" textlink="">
          <xdr:nvSpPr>
            <xdr:cNvPr id="54314" name="btnPdf_F-021" hidden="1">
              <a:extLst>
                <a:ext uri="{63B3BB69-23CF-44E3-9099-C40C66FF867C}">
                  <a14:compatExt spid="_x0000_s54314"/>
                </a:ext>
                <a:ext uri="{FF2B5EF4-FFF2-40B4-BE49-F238E27FC236}">
                  <a16:creationId xmlns:a16="http://schemas.microsoft.com/office/drawing/2014/main" id="{28459039-960B-4C97-A8AD-979F0B7FFEC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25</xdr:row>
          <xdr:rowOff>19050</xdr:rowOff>
        </xdr:from>
        <xdr:to>
          <xdr:col>6</xdr:col>
          <xdr:colOff>800100</xdr:colOff>
          <xdr:row>25</xdr:row>
          <xdr:rowOff>209550</xdr:rowOff>
        </xdr:to>
        <xdr:sp macro="" textlink="">
          <xdr:nvSpPr>
            <xdr:cNvPr id="54315" name="btnPrev_F-022" hidden="1">
              <a:extLst>
                <a:ext uri="{63B3BB69-23CF-44E3-9099-C40C66FF867C}">
                  <a14:compatExt spid="_x0000_s54315"/>
                </a:ext>
                <a:ext uri="{FF2B5EF4-FFF2-40B4-BE49-F238E27FC236}">
                  <a16:creationId xmlns:a16="http://schemas.microsoft.com/office/drawing/2014/main" id="{ABDFB1AB-D095-4E53-83B4-6F65BDC1397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25</xdr:row>
          <xdr:rowOff>19050</xdr:rowOff>
        </xdr:from>
        <xdr:to>
          <xdr:col>7</xdr:col>
          <xdr:colOff>800100</xdr:colOff>
          <xdr:row>25</xdr:row>
          <xdr:rowOff>209550</xdr:rowOff>
        </xdr:to>
        <xdr:sp macro="" textlink="">
          <xdr:nvSpPr>
            <xdr:cNvPr id="54316" name="btnPdf_F-022" hidden="1">
              <a:extLst>
                <a:ext uri="{63B3BB69-23CF-44E3-9099-C40C66FF867C}">
                  <a14:compatExt spid="_x0000_s54316"/>
                </a:ext>
                <a:ext uri="{FF2B5EF4-FFF2-40B4-BE49-F238E27FC236}">
                  <a16:creationId xmlns:a16="http://schemas.microsoft.com/office/drawing/2014/main" id="{36AEEBA6-E96A-4237-969C-35901870F92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26</xdr:row>
          <xdr:rowOff>19050</xdr:rowOff>
        </xdr:from>
        <xdr:to>
          <xdr:col>6</xdr:col>
          <xdr:colOff>800100</xdr:colOff>
          <xdr:row>26</xdr:row>
          <xdr:rowOff>209550</xdr:rowOff>
        </xdr:to>
        <xdr:sp macro="" textlink="">
          <xdr:nvSpPr>
            <xdr:cNvPr id="54317" name="btnPrev_F-023" hidden="1">
              <a:extLst>
                <a:ext uri="{63B3BB69-23CF-44E3-9099-C40C66FF867C}">
                  <a14:compatExt spid="_x0000_s54317"/>
                </a:ext>
                <a:ext uri="{FF2B5EF4-FFF2-40B4-BE49-F238E27FC236}">
                  <a16:creationId xmlns:a16="http://schemas.microsoft.com/office/drawing/2014/main" id="{AC05C161-379B-4FBE-9CC5-7FFCD0D7374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26</xdr:row>
          <xdr:rowOff>19050</xdr:rowOff>
        </xdr:from>
        <xdr:to>
          <xdr:col>7</xdr:col>
          <xdr:colOff>800100</xdr:colOff>
          <xdr:row>26</xdr:row>
          <xdr:rowOff>209550</xdr:rowOff>
        </xdr:to>
        <xdr:sp macro="" textlink="">
          <xdr:nvSpPr>
            <xdr:cNvPr id="54318" name="btnPdf_F-023" hidden="1">
              <a:extLst>
                <a:ext uri="{63B3BB69-23CF-44E3-9099-C40C66FF867C}">
                  <a14:compatExt spid="_x0000_s54318"/>
                </a:ext>
                <a:ext uri="{FF2B5EF4-FFF2-40B4-BE49-F238E27FC236}">
                  <a16:creationId xmlns:a16="http://schemas.microsoft.com/office/drawing/2014/main" id="{A60412A5-5653-497E-92E2-7CC5F203AD7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27</xdr:row>
          <xdr:rowOff>19050</xdr:rowOff>
        </xdr:from>
        <xdr:to>
          <xdr:col>6</xdr:col>
          <xdr:colOff>800100</xdr:colOff>
          <xdr:row>27</xdr:row>
          <xdr:rowOff>209550</xdr:rowOff>
        </xdr:to>
        <xdr:sp macro="" textlink="">
          <xdr:nvSpPr>
            <xdr:cNvPr id="54319" name="btnPrev_F-024" hidden="1">
              <a:extLst>
                <a:ext uri="{63B3BB69-23CF-44E3-9099-C40C66FF867C}">
                  <a14:compatExt spid="_x0000_s54319"/>
                </a:ext>
                <a:ext uri="{FF2B5EF4-FFF2-40B4-BE49-F238E27FC236}">
                  <a16:creationId xmlns:a16="http://schemas.microsoft.com/office/drawing/2014/main" id="{EACAF638-BC81-4EDB-87B4-A0004829176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27</xdr:row>
          <xdr:rowOff>19050</xdr:rowOff>
        </xdr:from>
        <xdr:to>
          <xdr:col>7</xdr:col>
          <xdr:colOff>800100</xdr:colOff>
          <xdr:row>27</xdr:row>
          <xdr:rowOff>209550</xdr:rowOff>
        </xdr:to>
        <xdr:sp macro="" textlink="">
          <xdr:nvSpPr>
            <xdr:cNvPr id="54320" name="btnPdf_F-024" hidden="1">
              <a:extLst>
                <a:ext uri="{63B3BB69-23CF-44E3-9099-C40C66FF867C}">
                  <a14:compatExt spid="_x0000_s54320"/>
                </a:ext>
                <a:ext uri="{FF2B5EF4-FFF2-40B4-BE49-F238E27FC236}">
                  <a16:creationId xmlns:a16="http://schemas.microsoft.com/office/drawing/2014/main" id="{5F723FA7-4CE3-4561-987E-251D057674F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28</xdr:row>
          <xdr:rowOff>19050</xdr:rowOff>
        </xdr:from>
        <xdr:to>
          <xdr:col>6</xdr:col>
          <xdr:colOff>800100</xdr:colOff>
          <xdr:row>28</xdr:row>
          <xdr:rowOff>209550</xdr:rowOff>
        </xdr:to>
        <xdr:sp macro="" textlink="">
          <xdr:nvSpPr>
            <xdr:cNvPr id="54321" name="btnPrev_F-025" hidden="1">
              <a:extLst>
                <a:ext uri="{63B3BB69-23CF-44E3-9099-C40C66FF867C}">
                  <a14:compatExt spid="_x0000_s54321"/>
                </a:ext>
                <a:ext uri="{FF2B5EF4-FFF2-40B4-BE49-F238E27FC236}">
                  <a16:creationId xmlns:a16="http://schemas.microsoft.com/office/drawing/2014/main" id="{AF3779CC-BAD9-4664-BED5-B66F944AA73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28</xdr:row>
          <xdr:rowOff>19050</xdr:rowOff>
        </xdr:from>
        <xdr:to>
          <xdr:col>7</xdr:col>
          <xdr:colOff>800100</xdr:colOff>
          <xdr:row>28</xdr:row>
          <xdr:rowOff>209550</xdr:rowOff>
        </xdr:to>
        <xdr:sp macro="" textlink="">
          <xdr:nvSpPr>
            <xdr:cNvPr id="54322" name="btnPdf_F-025" hidden="1">
              <a:extLst>
                <a:ext uri="{63B3BB69-23CF-44E3-9099-C40C66FF867C}">
                  <a14:compatExt spid="_x0000_s54322"/>
                </a:ext>
                <a:ext uri="{FF2B5EF4-FFF2-40B4-BE49-F238E27FC236}">
                  <a16:creationId xmlns:a16="http://schemas.microsoft.com/office/drawing/2014/main" id="{ECCB538C-BD06-4D57-9BFF-C2621AB6885E}"/>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30</xdr:row>
          <xdr:rowOff>19050</xdr:rowOff>
        </xdr:from>
        <xdr:to>
          <xdr:col>6</xdr:col>
          <xdr:colOff>800100</xdr:colOff>
          <xdr:row>30</xdr:row>
          <xdr:rowOff>209550</xdr:rowOff>
        </xdr:to>
        <xdr:sp macro="" textlink="">
          <xdr:nvSpPr>
            <xdr:cNvPr id="54323" name="btnPrev_F-027" hidden="1">
              <a:extLst>
                <a:ext uri="{63B3BB69-23CF-44E3-9099-C40C66FF867C}">
                  <a14:compatExt spid="_x0000_s54323"/>
                </a:ext>
                <a:ext uri="{FF2B5EF4-FFF2-40B4-BE49-F238E27FC236}">
                  <a16:creationId xmlns:a16="http://schemas.microsoft.com/office/drawing/2014/main" id="{CFC38D44-71CF-4A9A-8CBB-AB85B994F77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30</xdr:row>
          <xdr:rowOff>19050</xdr:rowOff>
        </xdr:from>
        <xdr:to>
          <xdr:col>7</xdr:col>
          <xdr:colOff>800100</xdr:colOff>
          <xdr:row>30</xdr:row>
          <xdr:rowOff>209550</xdr:rowOff>
        </xdr:to>
        <xdr:sp macro="" textlink="">
          <xdr:nvSpPr>
            <xdr:cNvPr id="54324" name="btnPdf_F-027" hidden="1">
              <a:extLst>
                <a:ext uri="{63B3BB69-23CF-44E3-9099-C40C66FF867C}">
                  <a14:compatExt spid="_x0000_s54324"/>
                </a:ext>
                <a:ext uri="{FF2B5EF4-FFF2-40B4-BE49-F238E27FC236}">
                  <a16:creationId xmlns:a16="http://schemas.microsoft.com/office/drawing/2014/main" id="{897DA1F9-8D7C-4302-A0F8-28D9658E30AA}"/>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32</xdr:row>
          <xdr:rowOff>19050</xdr:rowOff>
        </xdr:from>
        <xdr:to>
          <xdr:col>6</xdr:col>
          <xdr:colOff>800100</xdr:colOff>
          <xdr:row>32</xdr:row>
          <xdr:rowOff>209550</xdr:rowOff>
        </xdr:to>
        <xdr:sp macro="" textlink="">
          <xdr:nvSpPr>
            <xdr:cNvPr id="54325" name="btnPrev_F-029" hidden="1">
              <a:extLst>
                <a:ext uri="{63B3BB69-23CF-44E3-9099-C40C66FF867C}">
                  <a14:compatExt spid="_x0000_s54325"/>
                </a:ext>
                <a:ext uri="{FF2B5EF4-FFF2-40B4-BE49-F238E27FC236}">
                  <a16:creationId xmlns:a16="http://schemas.microsoft.com/office/drawing/2014/main" id="{9A02644A-20CE-440E-A338-EE35845222E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32</xdr:row>
          <xdr:rowOff>19050</xdr:rowOff>
        </xdr:from>
        <xdr:to>
          <xdr:col>7</xdr:col>
          <xdr:colOff>800100</xdr:colOff>
          <xdr:row>32</xdr:row>
          <xdr:rowOff>209550</xdr:rowOff>
        </xdr:to>
        <xdr:sp macro="" textlink="">
          <xdr:nvSpPr>
            <xdr:cNvPr id="54326" name="btnPdf_F-029" hidden="1">
              <a:extLst>
                <a:ext uri="{63B3BB69-23CF-44E3-9099-C40C66FF867C}">
                  <a14:compatExt spid="_x0000_s54326"/>
                </a:ext>
                <a:ext uri="{FF2B5EF4-FFF2-40B4-BE49-F238E27FC236}">
                  <a16:creationId xmlns:a16="http://schemas.microsoft.com/office/drawing/2014/main" id="{54FA1F59-4EC2-49D4-A6CD-66518937342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33</xdr:row>
          <xdr:rowOff>19050</xdr:rowOff>
        </xdr:from>
        <xdr:to>
          <xdr:col>6</xdr:col>
          <xdr:colOff>800100</xdr:colOff>
          <xdr:row>33</xdr:row>
          <xdr:rowOff>209550</xdr:rowOff>
        </xdr:to>
        <xdr:sp macro="" textlink="">
          <xdr:nvSpPr>
            <xdr:cNvPr id="54327" name="btnPrev_F-030" hidden="1">
              <a:extLst>
                <a:ext uri="{63B3BB69-23CF-44E3-9099-C40C66FF867C}">
                  <a14:compatExt spid="_x0000_s54327"/>
                </a:ext>
                <a:ext uri="{FF2B5EF4-FFF2-40B4-BE49-F238E27FC236}">
                  <a16:creationId xmlns:a16="http://schemas.microsoft.com/office/drawing/2014/main" id="{C658BDDF-CED7-4551-982B-6A903A22FB8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33</xdr:row>
          <xdr:rowOff>19050</xdr:rowOff>
        </xdr:from>
        <xdr:to>
          <xdr:col>7</xdr:col>
          <xdr:colOff>800100</xdr:colOff>
          <xdr:row>33</xdr:row>
          <xdr:rowOff>209550</xdr:rowOff>
        </xdr:to>
        <xdr:sp macro="" textlink="">
          <xdr:nvSpPr>
            <xdr:cNvPr id="54328" name="btnPdf_F-030" hidden="1">
              <a:extLst>
                <a:ext uri="{63B3BB69-23CF-44E3-9099-C40C66FF867C}">
                  <a14:compatExt spid="_x0000_s54328"/>
                </a:ext>
                <a:ext uri="{FF2B5EF4-FFF2-40B4-BE49-F238E27FC236}">
                  <a16:creationId xmlns:a16="http://schemas.microsoft.com/office/drawing/2014/main" id="{B5D378CC-352F-4D40-81D3-1F3CAD22FB9E}"/>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34</xdr:row>
          <xdr:rowOff>19050</xdr:rowOff>
        </xdr:from>
        <xdr:to>
          <xdr:col>6</xdr:col>
          <xdr:colOff>800100</xdr:colOff>
          <xdr:row>34</xdr:row>
          <xdr:rowOff>209550</xdr:rowOff>
        </xdr:to>
        <xdr:sp macro="" textlink="">
          <xdr:nvSpPr>
            <xdr:cNvPr id="54329" name="btnPrev_F-031" hidden="1">
              <a:extLst>
                <a:ext uri="{63B3BB69-23CF-44E3-9099-C40C66FF867C}">
                  <a14:compatExt spid="_x0000_s54329"/>
                </a:ext>
                <a:ext uri="{FF2B5EF4-FFF2-40B4-BE49-F238E27FC236}">
                  <a16:creationId xmlns:a16="http://schemas.microsoft.com/office/drawing/2014/main" id="{48CF0673-D6EC-4549-B776-599EBD0E887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34</xdr:row>
          <xdr:rowOff>19050</xdr:rowOff>
        </xdr:from>
        <xdr:to>
          <xdr:col>7</xdr:col>
          <xdr:colOff>800100</xdr:colOff>
          <xdr:row>34</xdr:row>
          <xdr:rowOff>209550</xdr:rowOff>
        </xdr:to>
        <xdr:sp macro="" textlink="">
          <xdr:nvSpPr>
            <xdr:cNvPr id="54330" name="btnPdf_F-031" hidden="1">
              <a:extLst>
                <a:ext uri="{63B3BB69-23CF-44E3-9099-C40C66FF867C}">
                  <a14:compatExt spid="_x0000_s54330"/>
                </a:ext>
                <a:ext uri="{FF2B5EF4-FFF2-40B4-BE49-F238E27FC236}">
                  <a16:creationId xmlns:a16="http://schemas.microsoft.com/office/drawing/2014/main" id="{9DD1F7F1-EEF5-4050-8D2C-0F464EBC88EE}"/>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35</xdr:row>
          <xdr:rowOff>19050</xdr:rowOff>
        </xdr:from>
        <xdr:to>
          <xdr:col>6</xdr:col>
          <xdr:colOff>800100</xdr:colOff>
          <xdr:row>35</xdr:row>
          <xdr:rowOff>209550</xdr:rowOff>
        </xdr:to>
        <xdr:sp macro="" textlink="">
          <xdr:nvSpPr>
            <xdr:cNvPr id="54331" name="btnPrev_F-032" hidden="1">
              <a:extLst>
                <a:ext uri="{63B3BB69-23CF-44E3-9099-C40C66FF867C}">
                  <a14:compatExt spid="_x0000_s54331"/>
                </a:ext>
                <a:ext uri="{FF2B5EF4-FFF2-40B4-BE49-F238E27FC236}">
                  <a16:creationId xmlns:a16="http://schemas.microsoft.com/office/drawing/2014/main" id="{53461E90-C9C2-4FF4-A48D-F2482696BE6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35</xdr:row>
          <xdr:rowOff>19050</xdr:rowOff>
        </xdr:from>
        <xdr:to>
          <xdr:col>7</xdr:col>
          <xdr:colOff>800100</xdr:colOff>
          <xdr:row>35</xdr:row>
          <xdr:rowOff>209550</xdr:rowOff>
        </xdr:to>
        <xdr:sp macro="" textlink="">
          <xdr:nvSpPr>
            <xdr:cNvPr id="54332" name="btnPdf_F-032" hidden="1">
              <a:extLst>
                <a:ext uri="{63B3BB69-23CF-44E3-9099-C40C66FF867C}">
                  <a14:compatExt spid="_x0000_s54332"/>
                </a:ext>
                <a:ext uri="{FF2B5EF4-FFF2-40B4-BE49-F238E27FC236}">
                  <a16:creationId xmlns:a16="http://schemas.microsoft.com/office/drawing/2014/main" id="{120D7893-42E0-4904-9453-2D5C6D00379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36</xdr:row>
          <xdr:rowOff>19050</xdr:rowOff>
        </xdr:from>
        <xdr:to>
          <xdr:col>6</xdr:col>
          <xdr:colOff>800100</xdr:colOff>
          <xdr:row>36</xdr:row>
          <xdr:rowOff>209550</xdr:rowOff>
        </xdr:to>
        <xdr:sp macro="" textlink="">
          <xdr:nvSpPr>
            <xdr:cNvPr id="54333" name="btnPrev_F-033" hidden="1">
              <a:extLst>
                <a:ext uri="{63B3BB69-23CF-44E3-9099-C40C66FF867C}">
                  <a14:compatExt spid="_x0000_s54333"/>
                </a:ext>
                <a:ext uri="{FF2B5EF4-FFF2-40B4-BE49-F238E27FC236}">
                  <a16:creationId xmlns:a16="http://schemas.microsoft.com/office/drawing/2014/main" id="{42123D21-4BDC-444F-BE03-4B625ECFEB3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36</xdr:row>
          <xdr:rowOff>19050</xdr:rowOff>
        </xdr:from>
        <xdr:to>
          <xdr:col>7</xdr:col>
          <xdr:colOff>800100</xdr:colOff>
          <xdr:row>36</xdr:row>
          <xdr:rowOff>209550</xdr:rowOff>
        </xdr:to>
        <xdr:sp macro="" textlink="">
          <xdr:nvSpPr>
            <xdr:cNvPr id="54334" name="btnPdf_F-033" hidden="1">
              <a:extLst>
                <a:ext uri="{63B3BB69-23CF-44E3-9099-C40C66FF867C}">
                  <a14:compatExt spid="_x0000_s54334"/>
                </a:ext>
                <a:ext uri="{FF2B5EF4-FFF2-40B4-BE49-F238E27FC236}">
                  <a16:creationId xmlns:a16="http://schemas.microsoft.com/office/drawing/2014/main" id="{7F92B547-92F3-4672-A406-A2C2EBA7A09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37</xdr:row>
          <xdr:rowOff>19050</xdr:rowOff>
        </xdr:from>
        <xdr:to>
          <xdr:col>6</xdr:col>
          <xdr:colOff>800100</xdr:colOff>
          <xdr:row>37</xdr:row>
          <xdr:rowOff>209550</xdr:rowOff>
        </xdr:to>
        <xdr:sp macro="" textlink="">
          <xdr:nvSpPr>
            <xdr:cNvPr id="54335" name="btnPrev_F-034" hidden="1">
              <a:extLst>
                <a:ext uri="{63B3BB69-23CF-44E3-9099-C40C66FF867C}">
                  <a14:compatExt spid="_x0000_s54335"/>
                </a:ext>
                <a:ext uri="{FF2B5EF4-FFF2-40B4-BE49-F238E27FC236}">
                  <a16:creationId xmlns:a16="http://schemas.microsoft.com/office/drawing/2014/main" id="{6726FB51-C3C6-4A7C-B982-E978DF1B5BC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37</xdr:row>
          <xdr:rowOff>19050</xdr:rowOff>
        </xdr:from>
        <xdr:to>
          <xdr:col>7</xdr:col>
          <xdr:colOff>800100</xdr:colOff>
          <xdr:row>37</xdr:row>
          <xdr:rowOff>209550</xdr:rowOff>
        </xdr:to>
        <xdr:sp macro="" textlink="">
          <xdr:nvSpPr>
            <xdr:cNvPr id="54336" name="btnPdf_F-034" hidden="1">
              <a:extLst>
                <a:ext uri="{63B3BB69-23CF-44E3-9099-C40C66FF867C}">
                  <a14:compatExt spid="_x0000_s54336"/>
                </a:ext>
                <a:ext uri="{FF2B5EF4-FFF2-40B4-BE49-F238E27FC236}">
                  <a16:creationId xmlns:a16="http://schemas.microsoft.com/office/drawing/2014/main" id="{816D5793-645D-495D-98B2-7DE71B2584E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38</xdr:row>
          <xdr:rowOff>19050</xdr:rowOff>
        </xdr:from>
        <xdr:to>
          <xdr:col>6</xdr:col>
          <xdr:colOff>800100</xdr:colOff>
          <xdr:row>38</xdr:row>
          <xdr:rowOff>209550</xdr:rowOff>
        </xdr:to>
        <xdr:sp macro="" textlink="">
          <xdr:nvSpPr>
            <xdr:cNvPr id="54337" name="btnPrev_F-035" hidden="1">
              <a:extLst>
                <a:ext uri="{63B3BB69-23CF-44E3-9099-C40C66FF867C}">
                  <a14:compatExt spid="_x0000_s54337"/>
                </a:ext>
                <a:ext uri="{FF2B5EF4-FFF2-40B4-BE49-F238E27FC236}">
                  <a16:creationId xmlns:a16="http://schemas.microsoft.com/office/drawing/2014/main" id="{0131A4EE-FCA1-4E61-AE3C-BFBF37734DD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38</xdr:row>
          <xdr:rowOff>19050</xdr:rowOff>
        </xdr:from>
        <xdr:to>
          <xdr:col>7</xdr:col>
          <xdr:colOff>800100</xdr:colOff>
          <xdr:row>38</xdr:row>
          <xdr:rowOff>209550</xdr:rowOff>
        </xdr:to>
        <xdr:sp macro="" textlink="">
          <xdr:nvSpPr>
            <xdr:cNvPr id="54338" name="btnPdf_F-035" hidden="1">
              <a:extLst>
                <a:ext uri="{63B3BB69-23CF-44E3-9099-C40C66FF867C}">
                  <a14:compatExt spid="_x0000_s54338"/>
                </a:ext>
                <a:ext uri="{FF2B5EF4-FFF2-40B4-BE49-F238E27FC236}">
                  <a16:creationId xmlns:a16="http://schemas.microsoft.com/office/drawing/2014/main" id="{B7AA93E6-1CB7-48BE-AF7D-64F20995246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39</xdr:row>
          <xdr:rowOff>19050</xdr:rowOff>
        </xdr:from>
        <xdr:to>
          <xdr:col>6</xdr:col>
          <xdr:colOff>800100</xdr:colOff>
          <xdr:row>39</xdr:row>
          <xdr:rowOff>209550</xdr:rowOff>
        </xdr:to>
        <xdr:sp macro="" textlink="">
          <xdr:nvSpPr>
            <xdr:cNvPr id="54339" name="btnPrev_F-036" hidden="1">
              <a:extLst>
                <a:ext uri="{63B3BB69-23CF-44E3-9099-C40C66FF867C}">
                  <a14:compatExt spid="_x0000_s54339"/>
                </a:ext>
                <a:ext uri="{FF2B5EF4-FFF2-40B4-BE49-F238E27FC236}">
                  <a16:creationId xmlns:a16="http://schemas.microsoft.com/office/drawing/2014/main" id="{E48ECA95-8CAB-4257-84FD-4AD1A24E2CF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39</xdr:row>
          <xdr:rowOff>19050</xdr:rowOff>
        </xdr:from>
        <xdr:to>
          <xdr:col>7</xdr:col>
          <xdr:colOff>800100</xdr:colOff>
          <xdr:row>39</xdr:row>
          <xdr:rowOff>209550</xdr:rowOff>
        </xdr:to>
        <xdr:sp macro="" textlink="">
          <xdr:nvSpPr>
            <xdr:cNvPr id="54340" name="btnPdf_F-036" hidden="1">
              <a:extLst>
                <a:ext uri="{63B3BB69-23CF-44E3-9099-C40C66FF867C}">
                  <a14:compatExt spid="_x0000_s54340"/>
                </a:ext>
                <a:ext uri="{FF2B5EF4-FFF2-40B4-BE49-F238E27FC236}">
                  <a16:creationId xmlns:a16="http://schemas.microsoft.com/office/drawing/2014/main" id="{373BD7BD-6617-4A31-96E1-7F5EB12E810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40</xdr:row>
          <xdr:rowOff>19050</xdr:rowOff>
        </xdr:from>
        <xdr:to>
          <xdr:col>6</xdr:col>
          <xdr:colOff>800100</xdr:colOff>
          <xdr:row>40</xdr:row>
          <xdr:rowOff>209550</xdr:rowOff>
        </xdr:to>
        <xdr:sp macro="" textlink="">
          <xdr:nvSpPr>
            <xdr:cNvPr id="54341" name="btnPrev_F-037" hidden="1">
              <a:extLst>
                <a:ext uri="{63B3BB69-23CF-44E3-9099-C40C66FF867C}">
                  <a14:compatExt spid="_x0000_s54341"/>
                </a:ext>
                <a:ext uri="{FF2B5EF4-FFF2-40B4-BE49-F238E27FC236}">
                  <a16:creationId xmlns:a16="http://schemas.microsoft.com/office/drawing/2014/main" id="{9821FA80-9532-4775-A2D9-A0BEE7FA49C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40</xdr:row>
          <xdr:rowOff>19050</xdr:rowOff>
        </xdr:from>
        <xdr:to>
          <xdr:col>7</xdr:col>
          <xdr:colOff>800100</xdr:colOff>
          <xdr:row>40</xdr:row>
          <xdr:rowOff>209550</xdr:rowOff>
        </xdr:to>
        <xdr:sp macro="" textlink="">
          <xdr:nvSpPr>
            <xdr:cNvPr id="54342" name="btnPdf_F-037" hidden="1">
              <a:extLst>
                <a:ext uri="{63B3BB69-23CF-44E3-9099-C40C66FF867C}">
                  <a14:compatExt spid="_x0000_s54342"/>
                </a:ext>
                <a:ext uri="{FF2B5EF4-FFF2-40B4-BE49-F238E27FC236}">
                  <a16:creationId xmlns:a16="http://schemas.microsoft.com/office/drawing/2014/main" id="{91D9FB1D-C5C4-4D60-9805-65BB6A7AF19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41</xdr:row>
          <xdr:rowOff>19050</xdr:rowOff>
        </xdr:from>
        <xdr:to>
          <xdr:col>6</xdr:col>
          <xdr:colOff>800100</xdr:colOff>
          <xdr:row>41</xdr:row>
          <xdr:rowOff>209550</xdr:rowOff>
        </xdr:to>
        <xdr:sp macro="" textlink="">
          <xdr:nvSpPr>
            <xdr:cNvPr id="54343" name="btnPrev_F-038" hidden="1">
              <a:extLst>
                <a:ext uri="{63B3BB69-23CF-44E3-9099-C40C66FF867C}">
                  <a14:compatExt spid="_x0000_s54343"/>
                </a:ext>
                <a:ext uri="{FF2B5EF4-FFF2-40B4-BE49-F238E27FC236}">
                  <a16:creationId xmlns:a16="http://schemas.microsoft.com/office/drawing/2014/main" id="{D7289343-EEED-4A0D-A37C-27274011739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41</xdr:row>
          <xdr:rowOff>19050</xdr:rowOff>
        </xdr:from>
        <xdr:to>
          <xdr:col>7</xdr:col>
          <xdr:colOff>800100</xdr:colOff>
          <xdr:row>41</xdr:row>
          <xdr:rowOff>209550</xdr:rowOff>
        </xdr:to>
        <xdr:sp macro="" textlink="">
          <xdr:nvSpPr>
            <xdr:cNvPr id="54344" name="btnPdf_F-038" hidden="1">
              <a:extLst>
                <a:ext uri="{63B3BB69-23CF-44E3-9099-C40C66FF867C}">
                  <a14:compatExt spid="_x0000_s54344"/>
                </a:ext>
                <a:ext uri="{FF2B5EF4-FFF2-40B4-BE49-F238E27FC236}">
                  <a16:creationId xmlns:a16="http://schemas.microsoft.com/office/drawing/2014/main" id="{3AEE99F2-242D-4608-829B-2C3D9493FE1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42</xdr:row>
          <xdr:rowOff>19050</xdr:rowOff>
        </xdr:from>
        <xdr:to>
          <xdr:col>6</xdr:col>
          <xdr:colOff>800100</xdr:colOff>
          <xdr:row>42</xdr:row>
          <xdr:rowOff>209550</xdr:rowOff>
        </xdr:to>
        <xdr:sp macro="" textlink="">
          <xdr:nvSpPr>
            <xdr:cNvPr id="54345" name="btnPrev_F-039" hidden="1">
              <a:extLst>
                <a:ext uri="{63B3BB69-23CF-44E3-9099-C40C66FF867C}">
                  <a14:compatExt spid="_x0000_s54345"/>
                </a:ext>
                <a:ext uri="{FF2B5EF4-FFF2-40B4-BE49-F238E27FC236}">
                  <a16:creationId xmlns:a16="http://schemas.microsoft.com/office/drawing/2014/main" id="{1AAC2AAC-79AC-4A16-BE5C-03557005469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42</xdr:row>
          <xdr:rowOff>19050</xdr:rowOff>
        </xdr:from>
        <xdr:to>
          <xdr:col>7</xdr:col>
          <xdr:colOff>800100</xdr:colOff>
          <xdr:row>42</xdr:row>
          <xdr:rowOff>209550</xdr:rowOff>
        </xdr:to>
        <xdr:sp macro="" textlink="">
          <xdr:nvSpPr>
            <xdr:cNvPr id="54346" name="btnPdf_F-039" hidden="1">
              <a:extLst>
                <a:ext uri="{63B3BB69-23CF-44E3-9099-C40C66FF867C}">
                  <a14:compatExt spid="_x0000_s54346"/>
                </a:ext>
                <a:ext uri="{FF2B5EF4-FFF2-40B4-BE49-F238E27FC236}">
                  <a16:creationId xmlns:a16="http://schemas.microsoft.com/office/drawing/2014/main" id="{B1FA2394-E09A-42AD-B7FE-1A7DBC240AA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43</xdr:row>
          <xdr:rowOff>19050</xdr:rowOff>
        </xdr:from>
        <xdr:to>
          <xdr:col>6</xdr:col>
          <xdr:colOff>800100</xdr:colOff>
          <xdr:row>43</xdr:row>
          <xdr:rowOff>209550</xdr:rowOff>
        </xdr:to>
        <xdr:sp macro="" textlink="">
          <xdr:nvSpPr>
            <xdr:cNvPr id="54347" name="btnPrev_F-040" hidden="1">
              <a:extLst>
                <a:ext uri="{63B3BB69-23CF-44E3-9099-C40C66FF867C}">
                  <a14:compatExt spid="_x0000_s54347"/>
                </a:ext>
                <a:ext uri="{FF2B5EF4-FFF2-40B4-BE49-F238E27FC236}">
                  <a16:creationId xmlns:a16="http://schemas.microsoft.com/office/drawing/2014/main" id="{320E8A83-9C69-4A97-9134-B50F3DDB49D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43</xdr:row>
          <xdr:rowOff>19050</xdr:rowOff>
        </xdr:from>
        <xdr:to>
          <xdr:col>7</xdr:col>
          <xdr:colOff>800100</xdr:colOff>
          <xdr:row>43</xdr:row>
          <xdr:rowOff>209550</xdr:rowOff>
        </xdr:to>
        <xdr:sp macro="" textlink="">
          <xdr:nvSpPr>
            <xdr:cNvPr id="54348" name="btnPdf_F-040" hidden="1">
              <a:extLst>
                <a:ext uri="{63B3BB69-23CF-44E3-9099-C40C66FF867C}">
                  <a14:compatExt spid="_x0000_s54348"/>
                </a:ext>
                <a:ext uri="{FF2B5EF4-FFF2-40B4-BE49-F238E27FC236}">
                  <a16:creationId xmlns:a16="http://schemas.microsoft.com/office/drawing/2014/main" id="{7AA9A9B7-9D66-44EC-9E4E-731D5F557D7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44</xdr:row>
          <xdr:rowOff>19050</xdr:rowOff>
        </xdr:from>
        <xdr:to>
          <xdr:col>6</xdr:col>
          <xdr:colOff>800100</xdr:colOff>
          <xdr:row>44</xdr:row>
          <xdr:rowOff>209550</xdr:rowOff>
        </xdr:to>
        <xdr:sp macro="" textlink="">
          <xdr:nvSpPr>
            <xdr:cNvPr id="54349" name="btnPrev_F-041" hidden="1">
              <a:extLst>
                <a:ext uri="{63B3BB69-23CF-44E3-9099-C40C66FF867C}">
                  <a14:compatExt spid="_x0000_s54349"/>
                </a:ext>
                <a:ext uri="{FF2B5EF4-FFF2-40B4-BE49-F238E27FC236}">
                  <a16:creationId xmlns:a16="http://schemas.microsoft.com/office/drawing/2014/main" id="{2E41BC62-62DF-4E38-BC85-2AF7ECEA3C7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44</xdr:row>
          <xdr:rowOff>19050</xdr:rowOff>
        </xdr:from>
        <xdr:to>
          <xdr:col>7</xdr:col>
          <xdr:colOff>800100</xdr:colOff>
          <xdr:row>44</xdr:row>
          <xdr:rowOff>209550</xdr:rowOff>
        </xdr:to>
        <xdr:sp macro="" textlink="">
          <xdr:nvSpPr>
            <xdr:cNvPr id="54350" name="btnPdf_F-041" hidden="1">
              <a:extLst>
                <a:ext uri="{63B3BB69-23CF-44E3-9099-C40C66FF867C}">
                  <a14:compatExt spid="_x0000_s54350"/>
                </a:ext>
                <a:ext uri="{FF2B5EF4-FFF2-40B4-BE49-F238E27FC236}">
                  <a16:creationId xmlns:a16="http://schemas.microsoft.com/office/drawing/2014/main" id="{38BE06FE-E7D0-4FCC-B71D-F49273C30E6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45</xdr:row>
          <xdr:rowOff>19050</xdr:rowOff>
        </xdr:from>
        <xdr:to>
          <xdr:col>6</xdr:col>
          <xdr:colOff>800100</xdr:colOff>
          <xdr:row>45</xdr:row>
          <xdr:rowOff>209550</xdr:rowOff>
        </xdr:to>
        <xdr:sp macro="" textlink="">
          <xdr:nvSpPr>
            <xdr:cNvPr id="54351" name="btnPrev_F-042" hidden="1">
              <a:extLst>
                <a:ext uri="{63B3BB69-23CF-44E3-9099-C40C66FF867C}">
                  <a14:compatExt spid="_x0000_s54351"/>
                </a:ext>
                <a:ext uri="{FF2B5EF4-FFF2-40B4-BE49-F238E27FC236}">
                  <a16:creationId xmlns:a16="http://schemas.microsoft.com/office/drawing/2014/main" id="{C098D100-E627-4BAC-8FC1-437A8420FD9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45</xdr:row>
          <xdr:rowOff>19050</xdr:rowOff>
        </xdr:from>
        <xdr:to>
          <xdr:col>7</xdr:col>
          <xdr:colOff>800100</xdr:colOff>
          <xdr:row>45</xdr:row>
          <xdr:rowOff>209550</xdr:rowOff>
        </xdr:to>
        <xdr:sp macro="" textlink="">
          <xdr:nvSpPr>
            <xdr:cNvPr id="54352" name="btnPdf_F-042" hidden="1">
              <a:extLst>
                <a:ext uri="{63B3BB69-23CF-44E3-9099-C40C66FF867C}">
                  <a14:compatExt spid="_x0000_s54352"/>
                </a:ext>
                <a:ext uri="{FF2B5EF4-FFF2-40B4-BE49-F238E27FC236}">
                  <a16:creationId xmlns:a16="http://schemas.microsoft.com/office/drawing/2014/main" id="{715D34F8-143B-42E0-A22A-835F948712F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46</xdr:row>
          <xdr:rowOff>19050</xdr:rowOff>
        </xdr:from>
        <xdr:to>
          <xdr:col>6</xdr:col>
          <xdr:colOff>800100</xdr:colOff>
          <xdr:row>46</xdr:row>
          <xdr:rowOff>209550</xdr:rowOff>
        </xdr:to>
        <xdr:sp macro="" textlink="">
          <xdr:nvSpPr>
            <xdr:cNvPr id="54353" name="btnPrev_F-043" hidden="1">
              <a:extLst>
                <a:ext uri="{63B3BB69-23CF-44E3-9099-C40C66FF867C}">
                  <a14:compatExt spid="_x0000_s54353"/>
                </a:ext>
                <a:ext uri="{FF2B5EF4-FFF2-40B4-BE49-F238E27FC236}">
                  <a16:creationId xmlns:a16="http://schemas.microsoft.com/office/drawing/2014/main" id="{408DC898-B1D1-4986-ADB6-522BCC2D63F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46</xdr:row>
          <xdr:rowOff>19050</xdr:rowOff>
        </xdr:from>
        <xdr:to>
          <xdr:col>7</xdr:col>
          <xdr:colOff>800100</xdr:colOff>
          <xdr:row>46</xdr:row>
          <xdr:rowOff>209550</xdr:rowOff>
        </xdr:to>
        <xdr:sp macro="" textlink="">
          <xdr:nvSpPr>
            <xdr:cNvPr id="54354" name="btnPdf_F-043" hidden="1">
              <a:extLst>
                <a:ext uri="{63B3BB69-23CF-44E3-9099-C40C66FF867C}">
                  <a14:compatExt spid="_x0000_s54354"/>
                </a:ext>
                <a:ext uri="{FF2B5EF4-FFF2-40B4-BE49-F238E27FC236}">
                  <a16:creationId xmlns:a16="http://schemas.microsoft.com/office/drawing/2014/main" id="{B7F00BFD-F1B8-4C3C-B8CF-446754D1BB7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47</xdr:row>
          <xdr:rowOff>19050</xdr:rowOff>
        </xdr:from>
        <xdr:to>
          <xdr:col>6</xdr:col>
          <xdr:colOff>800100</xdr:colOff>
          <xdr:row>47</xdr:row>
          <xdr:rowOff>209550</xdr:rowOff>
        </xdr:to>
        <xdr:sp macro="" textlink="">
          <xdr:nvSpPr>
            <xdr:cNvPr id="54355" name="btnPrev_F-044" hidden="1">
              <a:extLst>
                <a:ext uri="{63B3BB69-23CF-44E3-9099-C40C66FF867C}">
                  <a14:compatExt spid="_x0000_s54355"/>
                </a:ext>
                <a:ext uri="{FF2B5EF4-FFF2-40B4-BE49-F238E27FC236}">
                  <a16:creationId xmlns:a16="http://schemas.microsoft.com/office/drawing/2014/main" id="{3AA1CC6B-5F7C-4159-9917-DBF7A5D5F5D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47</xdr:row>
          <xdr:rowOff>19050</xdr:rowOff>
        </xdr:from>
        <xdr:to>
          <xdr:col>7</xdr:col>
          <xdr:colOff>800100</xdr:colOff>
          <xdr:row>47</xdr:row>
          <xdr:rowOff>209550</xdr:rowOff>
        </xdr:to>
        <xdr:sp macro="" textlink="">
          <xdr:nvSpPr>
            <xdr:cNvPr id="54356" name="btnPdf_F-044" hidden="1">
              <a:extLst>
                <a:ext uri="{63B3BB69-23CF-44E3-9099-C40C66FF867C}">
                  <a14:compatExt spid="_x0000_s54356"/>
                </a:ext>
                <a:ext uri="{FF2B5EF4-FFF2-40B4-BE49-F238E27FC236}">
                  <a16:creationId xmlns:a16="http://schemas.microsoft.com/office/drawing/2014/main" id="{6C5151B6-3318-4D25-8CB6-A0787E6DD2CA}"/>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48</xdr:row>
          <xdr:rowOff>19050</xdr:rowOff>
        </xdr:from>
        <xdr:to>
          <xdr:col>6</xdr:col>
          <xdr:colOff>800100</xdr:colOff>
          <xdr:row>48</xdr:row>
          <xdr:rowOff>209550</xdr:rowOff>
        </xdr:to>
        <xdr:sp macro="" textlink="">
          <xdr:nvSpPr>
            <xdr:cNvPr id="54357" name="btnPrev_F-045" hidden="1">
              <a:extLst>
                <a:ext uri="{63B3BB69-23CF-44E3-9099-C40C66FF867C}">
                  <a14:compatExt spid="_x0000_s54357"/>
                </a:ext>
                <a:ext uri="{FF2B5EF4-FFF2-40B4-BE49-F238E27FC236}">
                  <a16:creationId xmlns:a16="http://schemas.microsoft.com/office/drawing/2014/main" id="{7B915C4B-6997-46CA-9131-846EAF89D9F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48</xdr:row>
          <xdr:rowOff>19050</xdr:rowOff>
        </xdr:from>
        <xdr:to>
          <xdr:col>7</xdr:col>
          <xdr:colOff>800100</xdr:colOff>
          <xdr:row>48</xdr:row>
          <xdr:rowOff>209550</xdr:rowOff>
        </xdr:to>
        <xdr:sp macro="" textlink="">
          <xdr:nvSpPr>
            <xdr:cNvPr id="54358" name="btnPdf_F-045" hidden="1">
              <a:extLst>
                <a:ext uri="{63B3BB69-23CF-44E3-9099-C40C66FF867C}">
                  <a14:compatExt spid="_x0000_s54358"/>
                </a:ext>
                <a:ext uri="{FF2B5EF4-FFF2-40B4-BE49-F238E27FC236}">
                  <a16:creationId xmlns:a16="http://schemas.microsoft.com/office/drawing/2014/main" id="{747A9F30-D8DA-47B6-82E9-3D63EC77E06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49</xdr:row>
          <xdr:rowOff>19050</xdr:rowOff>
        </xdr:from>
        <xdr:to>
          <xdr:col>6</xdr:col>
          <xdr:colOff>800100</xdr:colOff>
          <xdr:row>49</xdr:row>
          <xdr:rowOff>209550</xdr:rowOff>
        </xdr:to>
        <xdr:sp macro="" textlink="">
          <xdr:nvSpPr>
            <xdr:cNvPr id="54359" name="btnPrev_F-046" hidden="1">
              <a:extLst>
                <a:ext uri="{63B3BB69-23CF-44E3-9099-C40C66FF867C}">
                  <a14:compatExt spid="_x0000_s54359"/>
                </a:ext>
                <a:ext uri="{FF2B5EF4-FFF2-40B4-BE49-F238E27FC236}">
                  <a16:creationId xmlns:a16="http://schemas.microsoft.com/office/drawing/2014/main" id="{52B9B974-E74D-4438-B053-1E33E1A29E2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49</xdr:row>
          <xdr:rowOff>19050</xdr:rowOff>
        </xdr:from>
        <xdr:to>
          <xdr:col>7</xdr:col>
          <xdr:colOff>800100</xdr:colOff>
          <xdr:row>49</xdr:row>
          <xdr:rowOff>209550</xdr:rowOff>
        </xdr:to>
        <xdr:sp macro="" textlink="">
          <xdr:nvSpPr>
            <xdr:cNvPr id="54360" name="btnPdf_F-046" hidden="1">
              <a:extLst>
                <a:ext uri="{63B3BB69-23CF-44E3-9099-C40C66FF867C}">
                  <a14:compatExt spid="_x0000_s54360"/>
                </a:ext>
                <a:ext uri="{FF2B5EF4-FFF2-40B4-BE49-F238E27FC236}">
                  <a16:creationId xmlns:a16="http://schemas.microsoft.com/office/drawing/2014/main" id="{A3B9D26D-897C-41C7-9C5F-0CC74761735E}"/>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50</xdr:row>
          <xdr:rowOff>19050</xdr:rowOff>
        </xdr:from>
        <xdr:to>
          <xdr:col>6</xdr:col>
          <xdr:colOff>800100</xdr:colOff>
          <xdr:row>50</xdr:row>
          <xdr:rowOff>209550</xdr:rowOff>
        </xdr:to>
        <xdr:sp macro="" textlink="">
          <xdr:nvSpPr>
            <xdr:cNvPr id="54361" name="btnPrev_F-047" hidden="1">
              <a:extLst>
                <a:ext uri="{63B3BB69-23CF-44E3-9099-C40C66FF867C}">
                  <a14:compatExt spid="_x0000_s54361"/>
                </a:ext>
                <a:ext uri="{FF2B5EF4-FFF2-40B4-BE49-F238E27FC236}">
                  <a16:creationId xmlns:a16="http://schemas.microsoft.com/office/drawing/2014/main" id="{B3A82C15-CB25-4702-B116-908E80AE745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50</xdr:row>
          <xdr:rowOff>19050</xdr:rowOff>
        </xdr:from>
        <xdr:to>
          <xdr:col>7</xdr:col>
          <xdr:colOff>800100</xdr:colOff>
          <xdr:row>50</xdr:row>
          <xdr:rowOff>209550</xdr:rowOff>
        </xdr:to>
        <xdr:sp macro="" textlink="">
          <xdr:nvSpPr>
            <xdr:cNvPr id="54362" name="btnPdf_F-047" hidden="1">
              <a:extLst>
                <a:ext uri="{63B3BB69-23CF-44E3-9099-C40C66FF867C}">
                  <a14:compatExt spid="_x0000_s54362"/>
                </a:ext>
                <a:ext uri="{FF2B5EF4-FFF2-40B4-BE49-F238E27FC236}">
                  <a16:creationId xmlns:a16="http://schemas.microsoft.com/office/drawing/2014/main" id="{90AD992A-8F42-4BF4-8BDA-D05CF7D6737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51</xdr:row>
          <xdr:rowOff>19050</xdr:rowOff>
        </xdr:from>
        <xdr:to>
          <xdr:col>6</xdr:col>
          <xdr:colOff>800100</xdr:colOff>
          <xdr:row>51</xdr:row>
          <xdr:rowOff>209550</xdr:rowOff>
        </xdr:to>
        <xdr:sp macro="" textlink="">
          <xdr:nvSpPr>
            <xdr:cNvPr id="54363" name="btnPrev_F-048" hidden="1">
              <a:extLst>
                <a:ext uri="{63B3BB69-23CF-44E3-9099-C40C66FF867C}">
                  <a14:compatExt spid="_x0000_s54363"/>
                </a:ext>
                <a:ext uri="{FF2B5EF4-FFF2-40B4-BE49-F238E27FC236}">
                  <a16:creationId xmlns:a16="http://schemas.microsoft.com/office/drawing/2014/main" id="{43E43EDA-3224-471B-8DE7-7F07F9B6001D}"/>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51</xdr:row>
          <xdr:rowOff>19050</xdr:rowOff>
        </xdr:from>
        <xdr:to>
          <xdr:col>7</xdr:col>
          <xdr:colOff>800100</xdr:colOff>
          <xdr:row>51</xdr:row>
          <xdr:rowOff>209550</xdr:rowOff>
        </xdr:to>
        <xdr:sp macro="" textlink="">
          <xdr:nvSpPr>
            <xdr:cNvPr id="54364" name="btnPdf_F-048" hidden="1">
              <a:extLst>
                <a:ext uri="{63B3BB69-23CF-44E3-9099-C40C66FF867C}">
                  <a14:compatExt spid="_x0000_s54364"/>
                </a:ext>
                <a:ext uri="{FF2B5EF4-FFF2-40B4-BE49-F238E27FC236}">
                  <a16:creationId xmlns:a16="http://schemas.microsoft.com/office/drawing/2014/main" id="{FF5BDDC0-C64E-4807-B0CE-AEA46120CD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52</xdr:row>
          <xdr:rowOff>19050</xdr:rowOff>
        </xdr:from>
        <xdr:to>
          <xdr:col>6</xdr:col>
          <xdr:colOff>800100</xdr:colOff>
          <xdr:row>52</xdr:row>
          <xdr:rowOff>209550</xdr:rowOff>
        </xdr:to>
        <xdr:sp macro="" textlink="">
          <xdr:nvSpPr>
            <xdr:cNvPr id="54365" name="btnPrev_F-049" hidden="1">
              <a:extLst>
                <a:ext uri="{63B3BB69-23CF-44E3-9099-C40C66FF867C}">
                  <a14:compatExt spid="_x0000_s54365"/>
                </a:ext>
                <a:ext uri="{FF2B5EF4-FFF2-40B4-BE49-F238E27FC236}">
                  <a16:creationId xmlns:a16="http://schemas.microsoft.com/office/drawing/2014/main" id="{B3E694AD-1AA2-4BFD-9999-48B96CA0640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52</xdr:row>
          <xdr:rowOff>19050</xdr:rowOff>
        </xdr:from>
        <xdr:to>
          <xdr:col>7</xdr:col>
          <xdr:colOff>800100</xdr:colOff>
          <xdr:row>52</xdr:row>
          <xdr:rowOff>209550</xdr:rowOff>
        </xdr:to>
        <xdr:sp macro="" textlink="">
          <xdr:nvSpPr>
            <xdr:cNvPr id="54366" name="btnPdf_F-049" hidden="1">
              <a:extLst>
                <a:ext uri="{63B3BB69-23CF-44E3-9099-C40C66FF867C}">
                  <a14:compatExt spid="_x0000_s54366"/>
                </a:ext>
                <a:ext uri="{FF2B5EF4-FFF2-40B4-BE49-F238E27FC236}">
                  <a16:creationId xmlns:a16="http://schemas.microsoft.com/office/drawing/2014/main" id="{0C81A597-92EB-4B1C-9A7B-981B0CE05F1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53</xdr:row>
          <xdr:rowOff>19050</xdr:rowOff>
        </xdr:from>
        <xdr:to>
          <xdr:col>6</xdr:col>
          <xdr:colOff>800100</xdr:colOff>
          <xdr:row>53</xdr:row>
          <xdr:rowOff>209550</xdr:rowOff>
        </xdr:to>
        <xdr:sp macro="" textlink="">
          <xdr:nvSpPr>
            <xdr:cNvPr id="54367" name="btnPrev_F-050" hidden="1">
              <a:extLst>
                <a:ext uri="{63B3BB69-23CF-44E3-9099-C40C66FF867C}">
                  <a14:compatExt spid="_x0000_s54367"/>
                </a:ext>
                <a:ext uri="{FF2B5EF4-FFF2-40B4-BE49-F238E27FC236}">
                  <a16:creationId xmlns:a16="http://schemas.microsoft.com/office/drawing/2014/main" id="{7D4A2BC8-06A5-4893-90C6-48E58A854BFD}"/>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53</xdr:row>
          <xdr:rowOff>19050</xdr:rowOff>
        </xdr:from>
        <xdr:to>
          <xdr:col>7</xdr:col>
          <xdr:colOff>800100</xdr:colOff>
          <xdr:row>53</xdr:row>
          <xdr:rowOff>209550</xdr:rowOff>
        </xdr:to>
        <xdr:sp macro="" textlink="">
          <xdr:nvSpPr>
            <xdr:cNvPr id="54368" name="btnPdf_F-050" hidden="1">
              <a:extLst>
                <a:ext uri="{63B3BB69-23CF-44E3-9099-C40C66FF867C}">
                  <a14:compatExt spid="_x0000_s54368"/>
                </a:ext>
                <a:ext uri="{FF2B5EF4-FFF2-40B4-BE49-F238E27FC236}">
                  <a16:creationId xmlns:a16="http://schemas.microsoft.com/office/drawing/2014/main" id="{1EB9CD04-CE33-49B5-9091-C7A943AD5DB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571500</xdr:colOff>
          <xdr:row>0</xdr:row>
          <xdr:rowOff>123825</xdr:rowOff>
        </xdr:from>
        <xdr:to>
          <xdr:col>6</xdr:col>
          <xdr:colOff>323850</xdr:colOff>
          <xdr:row>1</xdr:row>
          <xdr:rowOff>180975</xdr:rowOff>
        </xdr:to>
        <xdr:sp macro="" textlink="">
          <xdr:nvSpPr>
            <xdr:cNvPr id="63489" name="btn초기화" hidden="1">
              <a:extLst>
                <a:ext uri="{63B3BB69-23CF-44E3-9099-C40C66FF867C}">
                  <a14:compatExt spid="_x0000_s63489"/>
                </a:ext>
                <a:ext uri="{FF2B5EF4-FFF2-40B4-BE49-F238E27FC236}">
                  <a16:creationId xmlns:a16="http://schemas.microsoft.com/office/drawing/2014/main" id="{222036D3-058E-493C-81CF-DBDD15701EE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447675</xdr:colOff>
          <xdr:row>0</xdr:row>
          <xdr:rowOff>123825</xdr:rowOff>
        </xdr:from>
        <xdr:to>
          <xdr:col>8</xdr:col>
          <xdr:colOff>95250</xdr:colOff>
          <xdr:row>1</xdr:row>
          <xdr:rowOff>180975</xdr:rowOff>
        </xdr:to>
        <xdr:sp macro="" textlink="">
          <xdr:nvSpPr>
            <xdr:cNvPr id="63490" name="btn저장하기" hidden="1">
              <a:extLst>
                <a:ext uri="{63B3BB69-23CF-44E3-9099-C40C66FF867C}">
                  <a14:compatExt spid="_x0000_s63490"/>
                </a:ext>
                <a:ext uri="{FF2B5EF4-FFF2-40B4-BE49-F238E27FC236}">
                  <a16:creationId xmlns:a16="http://schemas.microsoft.com/office/drawing/2014/main" id="{157E92CE-998E-412A-B50D-00237F0807B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219075</xdr:colOff>
          <xdr:row>0</xdr:row>
          <xdr:rowOff>123825</xdr:rowOff>
        </xdr:from>
        <xdr:to>
          <xdr:col>9</xdr:col>
          <xdr:colOff>552450</xdr:colOff>
          <xdr:row>1</xdr:row>
          <xdr:rowOff>180975</xdr:rowOff>
        </xdr:to>
        <xdr:sp macro="" textlink="">
          <xdr:nvSpPr>
            <xdr:cNvPr id="63491" name="btn수정하기" hidden="1">
              <a:extLst>
                <a:ext uri="{63B3BB69-23CF-44E3-9099-C40C66FF867C}">
                  <a14:compatExt spid="_x0000_s63491"/>
                </a:ext>
                <a:ext uri="{FF2B5EF4-FFF2-40B4-BE49-F238E27FC236}">
                  <a16:creationId xmlns:a16="http://schemas.microsoft.com/office/drawing/2014/main" id="{57843B17-F5FA-4D42-943B-336736ED057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676275</xdr:colOff>
          <xdr:row>0</xdr:row>
          <xdr:rowOff>123825</xdr:rowOff>
        </xdr:from>
        <xdr:to>
          <xdr:col>11</xdr:col>
          <xdr:colOff>323850</xdr:colOff>
          <xdr:row>1</xdr:row>
          <xdr:rowOff>180975</xdr:rowOff>
        </xdr:to>
        <xdr:sp macro="" textlink="">
          <xdr:nvSpPr>
            <xdr:cNvPr id="63492" name="btn불러오기" hidden="1">
              <a:extLst>
                <a:ext uri="{63B3BB69-23CF-44E3-9099-C40C66FF867C}">
                  <a14:compatExt spid="_x0000_s63492"/>
                </a:ext>
                <a:ext uri="{FF2B5EF4-FFF2-40B4-BE49-F238E27FC236}">
                  <a16:creationId xmlns:a16="http://schemas.microsoft.com/office/drawing/2014/main" id="{EE4D4D8F-8A46-4DD1-AA87-1D8494A6747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ctrlProp" Target="../ctrlProps/ctrlProp65.xml"/><Relationship Id="rId68" Type="http://schemas.openxmlformats.org/officeDocument/2006/relationships/ctrlProp" Target="../ctrlProps/ctrlProp70.xml"/><Relationship Id="rId84" Type="http://schemas.openxmlformats.org/officeDocument/2006/relationships/ctrlProp" Target="../ctrlProps/ctrlProp86.xml"/><Relationship Id="rId89" Type="http://schemas.openxmlformats.org/officeDocument/2006/relationships/ctrlProp" Target="../ctrlProps/ctrlProp91.xml"/><Relationship Id="rId16" Type="http://schemas.openxmlformats.org/officeDocument/2006/relationships/ctrlProp" Target="../ctrlProps/ctrlProp18.xml"/><Relationship Id="rId11" Type="http://schemas.openxmlformats.org/officeDocument/2006/relationships/ctrlProp" Target="../ctrlProps/ctrlProp13.xml"/><Relationship Id="rId32" Type="http://schemas.openxmlformats.org/officeDocument/2006/relationships/ctrlProp" Target="../ctrlProps/ctrlProp34.xml"/><Relationship Id="rId37" Type="http://schemas.openxmlformats.org/officeDocument/2006/relationships/ctrlProp" Target="../ctrlProps/ctrlProp39.xml"/><Relationship Id="rId53" Type="http://schemas.openxmlformats.org/officeDocument/2006/relationships/ctrlProp" Target="../ctrlProps/ctrlProp55.xml"/><Relationship Id="rId58" Type="http://schemas.openxmlformats.org/officeDocument/2006/relationships/ctrlProp" Target="../ctrlProps/ctrlProp60.xml"/><Relationship Id="rId74" Type="http://schemas.openxmlformats.org/officeDocument/2006/relationships/ctrlProp" Target="../ctrlProps/ctrlProp76.xml"/><Relationship Id="rId79" Type="http://schemas.openxmlformats.org/officeDocument/2006/relationships/ctrlProp" Target="../ctrlProps/ctrlProp81.xml"/><Relationship Id="rId5" Type="http://schemas.openxmlformats.org/officeDocument/2006/relationships/ctrlProp" Target="../ctrlProps/ctrlProp7.xml"/><Relationship Id="rId90" Type="http://schemas.openxmlformats.org/officeDocument/2006/relationships/ctrlProp" Target="../ctrlProps/ctrlProp92.xml"/><Relationship Id="rId95" Type="http://schemas.openxmlformats.org/officeDocument/2006/relationships/ctrlProp" Target="../ctrlProps/ctrlProp97.xml"/><Relationship Id="rId22" Type="http://schemas.openxmlformats.org/officeDocument/2006/relationships/ctrlProp" Target="../ctrlProps/ctrlProp24.xml"/><Relationship Id="rId27" Type="http://schemas.openxmlformats.org/officeDocument/2006/relationships/ctrlProp" Target="../ctrlProps/ctrlProp29.xml"/><Relationship Id="rId43" Type="http://schemas.openxmlformats.org/officeDocument/2006/relationships/ctrlProp" Target="../ctrlProps/ctrlProp45.xml"/><Relationship Id="rId48" Type="http://schemas.openxmlformats.org/officeDocument/2006/relationships/ctrlProp" Target="../ctrlProps/ctrlProp50.xml"/><Relationship Id="rId64" Type="http://schemas.openxmlformats.org/officeDocument/2006/relationships/ctrlProp" Target="../ctrlProps/ctrlProp66.xml"/><Relationship Id="rId69" Type="http://schemas.openxmlformats.org/officeDocument/2006/relationships/ctrlProp" Target="../ctrlProps/ctrlProp71.xml"/><Relationship Id="rId80" Type="http://schemas.openxmlformats.org/officeDocument/2006/relationships/ctrlProp" Target="../ctrlProps/ctrlProp82.xml"/><Relationship Id="rId85" Type="http://schemas.openxmlformats.org/officeDocument/2006/relationships/ctrlProp" Target="../ctrlProps/ctrlProp87.xml"/><Relationship Id="rId3" Type="http://schemas.openxmlformats.org/officeDocument/2006/relationships/ctrlProp" Target="../ctrlProps/ctrlProp5.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ctrlProp" Target="../ctrlProps/ctrlProp61.xml"/><Relationship Id="rId67" Type="http://schemas.openxmlformats.org/officeDocument/2006/relationships/ctrlProp" Target="../ctrlProps/ctrlProp69.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62" Type="http://schemas.openxmlformats.org/officeDocument/2006/relationships/ctrlProp" Target="../ctrlProps/ctrlProp64.xml"/><Relationship Id="rId70" Type="http://schemas.openxmlformats.org/officeDocument/2006/relationships/ctrlProp" Target="../ctrlProps/ctrlProp72.xml"/><Relationship Id="rId75" Type="http://schemas.openxmlformats.org/officeDocument/2006/relationships/ctrlProp" Target="../ctrlProps/ctrlProp77.xml"/><Relationship Id="rId83" Type="http://schemas.openxmlformats.org/officeDocument/2006/relationships/ctrlProp" Target="../ctrlProps/ctrlProp85.xml"/><Relationship Id="rId88" Type="http://schemas.openxmlformats.org/officeDocument/2006/relationships/ctrlProp" Target="../ctrlProps/ctrlProp90.xml"/><Relationship Id="rId91" Type="http://schemas.openxmlformats.org/officeDocument/2006/relationships/ctrlProp" Target="../ctrlProps/ctrlProp93.xml"/><Relationship Id="rId96" Type="http://schemas.openxmlformats.org/officeDocument/2006/relationships/ctrlProp" Target="../ctrlProps/ctrlProp98.xml"/><Relationship Id="rId1" Type="http://schemas.openxmlformats.org/officeDocument/2006/relationships/drawing" Target="../drawings/drawing4.xm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73" Type="http://schemas.openxmlformats.org/officeDocument/2006/relationships/ctrlProp" Target="../ctrlProps/ctrlProp75.xml"/><Relationship Id="rId78" Type="http://schemas.openxmlformats.org/officeDocument/2006/relationships/ctrlProp" Target="../ctrlProps/ctrlProp80.xml"/><Relationship Id="rId81" Type="http://schemas.openxmlformats.org/officeDocument/2006/relationships/ctrlProp" Target="../ctrlProps/ctrlProp83.xml"/><Relationship Id="rId86" Type="http://schemas.openxmlformats.org/officeDocument/2006/relationships/ctrlProp" Target="../ctrlProps/ctrlProp88.xml"/><Relationship Id="rId94" Type="http://schemas.openxmlformats.org/officeDocument/2006/relationships/ctrlProp" Target="../ctrlProps/ctrlProp96.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ctrlProp" Target="../ctrlProps/ctrlProp57.xml"/><Relationship Id="rId76" Type="http://schemas.openxmlformats.org/officeDocument/2006/relationships/ctrlProp" Target="../ctrlProps/ctrlProp78.xml"/><Relationship Id="rId97" Type="http://schemas.openxmlformats.org/officeDocument/2006/relationships/ctrlProp" Target="../ctrlProps/ctrlProp99.xml"/><Relationship Id="rId7" Type="http://schemas.openxmlformats.org/officeDocument/2006/relationships/ctrlProp" Target="../ctrlProps/ctrlProp9.xml"/><Relationship Id="rId71" Type="http://schemas.openxmlformats.org/officeDocument/2006/relationships/ctrlProp" Target="../ctrlProps/ctrlProp73.xml"/><Relationship Id="rId92" Type="http://schemas.openxmlformats.org/officeDocument/2006/relationships/ctrlProp" Target="../ctrlProps/ctrlProp94.xml"/><Relationship Id="rId2" Type="http://schemas.openxmlformats.org/officeDocument/2006/relationships/vmlDrawing" Target="../drawings/vmlDrawing4.vml"/><Relationship Id="rId29" Type="http://schemas.openxmlformats.org/officeDocument/2006/relationships/ctrlProp" Target="../ctrlProps/ctrlProp31.xml"/><Relationship Id="rId24" Type="http://schemas.openxmlformats.org/officeDocument/2006/relationships/ctrlProp" Target="../ctrlProps/ctrlProp26.xml"/><Relationship Id="rId40" Type="http://schemas.openxmlformats.org/officeDocument/2006/relationships/ctrlProp" Target="../ctrlProps/ctrlProp42.xml"/><Relationship Id="rId45" Type="http://schemas.openxmlformats.org/officeDocument/2006/relationships/ctrlProp" Target="../ctrlProps/ctrlProp47.xml"/><Relationship Id="rId66" Type="http://schemas.openxmlformats.org/officeDocument/2006/relationships/ctrlProp" Target="../ctrlProps/ctrlProp68.xml"/><Relationship Id="rId87" Type="http://schemas.openxmlformats.org/officeDocument/2006/relationships/ctrlProp" Target="../ctrlProps/ctrlProp89.xml"/><Relationship Id="rId61" Type="http://schemas.openxmlformats.org/officeDocument/2006/relationships/ctrlProp" Target="../ctrlProps/ctrlProp63.xml"/><Relationship Id="rId82" Type="http://schemas.openxmlformats.org/officeDocument/2006/relationships/ctrlProp" Target="../ctrlProps/ctrlProp84.xml"/><Relationship Id="rId19" Type="http://schemas.openxmlformats.org/officeDocument/2006/relationships/ctrlProp" Target="../ctrlProps/ctrlProp21.xml"/><Relationship Id="rId14" Type="http://schemas.openxmlformats.org/officeDocument/2006/relationships/ctrlProp" Target="../ctrlProps/ctrlProp16.xml"/><Relationship Id="rId30" Type="http://schemas.openxmlformats.org/officeDocument/2006/relationships/ctrlProp" Target="../ctrlProps/ctrlProp32.xml"/><Relationship Id="rId35" Type="http://schemas.openxmlformats.org/officeDocument/2006/relationships/ctrlProp" Target="../ctrlProps/ctrlProp37.xml"/><Relationship Id="rId56" Type="http://schemas.openxmlformats.org/officeDocument/2006/relationships/ctrlProp" Target="../ctrlProps/ctrlProp58.xml"/><Relationship Id="rId77" Type="http://schemas.openxmlformats.org/officeDocument/2006/relationships/ctrlProp" Target="../ctrlProps/ctrlProp79.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ctrlProp" Target="../ctrlProps/ctrlProp74.xml"/><Relationship Id="rId93" Type="http://schemas.openxmlformats.org/officeDocument/2006/relationships/ctrlProp" Target="../ctrlProps/ctrlProp95.xml"/><Relationship Id="rId98" Type="http://schemas.openxmlformats.org/officeDocument/2006/relationships/ctrlProp" Target="../ctrlProps/ctrlProp10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04.xml"/><Relationship Id="rId2" Type="http://schemas.openxmlformats.org/officeDocument/2006/relationships/drawing" Target="../drawings/drawing5.xml"/><Relationship Id="rId1" Type="http://schemas.openxmlformats.org/officeDocument/2006/relationships/printerSettings" Target="../printerSettings/printerSettings49.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0A96-7CB2-4954-834D-6D09D14240BE}">
  <sheetPr codeName="Sheet1"/>
  <dimension ref="A1:E10"/>
  <sheetViews>
    <sheetView workbookViewId="0"/>
  </sheetViews>
  <sheetFormatPr defaultRowHeight="16.5" x14ac:dyDescent="0.3"/>
  <cols>
    <col min="1" max="1" width="32.625" customWidth="1"/>
    <col min="2" max="2" width="28.625" customWidth="1"/>
    <col min="3" max="3" width="62.625" customWidth="1"/>
  </cols>
  <sheetData>
    <row r="1" spans="1:5" ht="19.5" x14ac:dyDescent="0.3">
      <c r="A1" s="16" t="s">
        <v>1358</v>
      </c>
    </row>
    <row r="2" spans="1:5" ht="42" customHeight="1" x14ac:dyDescent="0.3">
      <c r="A2" s="76" t="s">
        <v>1359</v>
      </c>
      <c r="B2" s="76"/>
      <c r="C2" s="76"/>
      <c r="D2" s="76"/>
      <c r="E2" s="76"/>
    </row>
    <row r="4" spans="1:5" x14ac:dyDescent="0.3">
      <c r="A4" s="65" t="s">
        <v>1360</v>
      </c>
      <c r="B4" s="65" t="s">
        <v>1361</v>
      </c>
      <c r="C4" s="65" t="s">
        <v>1362</v>
      </c>
    </row>
    <row r="5" spans="1:5" ht="42" customHeight="1" x14ac:dyDescent="0.3">
      <c r="A5" s="73" t="s">
        <v>1363</v>
      </c>
      <c r="B5" s="75"/>
      <c r="C5" s="74" t="s">
        <v>1366</v>
      </c>
    </row>
    <row r="6" spans="1:5" ht="33.950000000000003" customHeight="1" x14ac:dyDescent="0.3">
      <c r="A6" s="73" t="s">
        <v>1364</v>
      </c>
      <c r="B6" s="75"/>
      <c r="C6" s="74" t="str">
        <f>IF(B5="2단계 입찰(규격·가격 동시)","매뉴얼 예시: 지방계약법 시행령 제18조 제3항에 따른 2단계 입찰 요건(규격 적격 후 가격경쟁)을 확인함",IF(B5="수의계약","수의계약 사유·추정가격 기준(지방계약법 시행령 및 별표)을 담당자가 최신 기준으로 확인함",IF(B5="일반경쟁입찰","공개경쟁 절차(참가자격·공고기간 등)를 담당자가 최신 지방계약법 시행령 기준으로 확인함",IF(B5="제한경쟁입찰(지역제한)","지역제한·실적제한 등 제한사유 요건을 담당자가 최신 지방계약법 시행령 기준으로 확인함",""))))</f>
        <v/>
      </c>
    </row>
    <row r="7" spans="1:5" x14ac:dyDescent="0.3">
      <c r="A7" s="73" t="s">
        <v>1365</v>
      </c>
      <c r="B7" s="73" t="str">
        <f>IF(AND(B5&lt;&gt;"",B6="예"),B5,"")</f>
        <v/>
      </c>
      <c r="C7" s="74" t="str">
        <f>IF(B7&lt;&gt;"","선택 유형 "&amp;B7&amp;"을(를) 기초자료(B-03)에 반영할 수 있음","아직 반영 대상이 없음")</f>
        <v>아직 반영 대상이 없음</v>
      </c>
    </row>
    <row r="9" spans="1:5" x14ac:dyDescent="0.3">
      <c r="A9" s="3" t="s">
        <v>1367</v>
      </c>
    </row>
    <row r="10" spans="1:5" ht="48" customHeight="1" x14ac:dyDescent="0.3">
      <c r="A10" s="76" t="s">
        <v>1368</v>
      </c>
      <c r="B10" s="76"/>
      <c r="C10" s="76"/>
      <c r="D10" s="76"/>
      <c r="E10" s="76"/>
    </row>
  </sheetData>
  <mergeCells count="2">
    <mergeCell ref="A2:E2"/>
    <mergeCell ref="A10:E10"/>
  </mergeCells>
  <phoneticPr fontId="6" type="noConversion"/>
  <dataValidations count="2">
    <dataValidation type="list" allowBlank="1" showInputMessage="1" showErrorMessage="1" sqref="B5" xr:uid="{F321610F-8E61-4C8F-B2D9-D61336182D4E}">
      <formula1>"수의계약,일반경쟁입찰,제한경쟁입찰(지역제한),2단계 입찰(규격·가격 동시)"</formula1>
    </dataValidation>
    <dataValidation type="list" allowBlank="1" showInputMessage="1" showErrorMessage="1" sqref="B6" xr:uid="{2E5EABBE-BAE3-42CF-BB29-6DE742DF19D7}">
      <formula1>"예,아니오"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tn계약방법반영">
              <controlPr defaultSize="0" print="0" autoFill="0" autoPict="0" macro="계약방법안내_기초자료반영">
                <anchor moveWithCells="1" sizeWithCells="1">
                  <from>
                    <xdr:col>2</xdr:col>
                    <xdr:colOff>1933575</xdr:colOff>
                    <xdr:row>1</xdr:row>
                    <xdr:rowOff>485775</xdr:rowOff>
                  </from>
                  <to>
                    <xdr:col>2</xdr:col>
                    <xdr:colOff>4476750</xdr:colOff>
                    <xdr:row>3</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BA062-90F0-4F3E-989E-F6E443B94C97}">
  <sheetPr codeName="Sheet2"/>
  <dimension ref="A1:D13"/>
  <sheetViews>
    <sheetView workbookViewId="0"/>
  </sheetViews>
  <sheetFormatPr defaultRowHeight="16.5" x14ac:dyDescent="0.3"/>
  <cols>
    <col min="1" max="1" width="22.625" customWidth="1"/>
    <col min="2" max="2" width="52.625" customWidth="1"/>
    <col min="3" max="3" width="30.625" customWidth="1"/>
    <col min="4" max="4" width="14.625" customWidth="1"/>
  </cols>
  <sheetData>
    <row r="1" spans="1:4" ht="19.5" x14ac:dyDescent="0.3">
      <c r="A1" s="16" t="s">
        <v>1327</v>
      </c>
    </row>
    <row r="2" spans="1:4" x14ac:dyDescent="0.3">
      <c r="A2" t="s">
        <v>1328</v>
      </c>
    </row>
    <row r="4" spans="1:4" x14ac:dyDescent="0.3">
      <c r="A4" s="17" t="s">
        <v>1329</v>
      </c>
      <c r="B4" s="17" t="s">
        <v>1330</v>
      </c>
      <c r="C4" s="17" t="s">
        <v>1331</v>
      </c>
      <c r="D4" s="17" t="s">
        <v>1332</v>
      </c>
    </row>
    <row r="5" spans="1:4" x14ac:dyDescent="0.3">
      <c r="A5" s="72" t="s">
        <v>1333</v>
      </c>
      <c r="B5" s="74" t="s">
        <v>1334</v>
      </c>
      <c r="C5" s="74" t="s">
        <v>1335</v>
      </c>
      <c r="D5" s="72" t="s">
        <v>128</v>
      </c>
    </row>
    <row r="6" spans="1:4" x14ac:dyDescent="0.3">
      <c r="A6" s="72" t="s">
        <v>1336</v>
      </c>
      <c r="B6" s="74" t="s">
        <v>1337</v>
      </c>
      <c r="C6" s="74" t="s">
        <v>145</v>
      </c>
      <c r="D6" s="72" t="s">
        <v>145</v>
      </c>
    </row>
    <row r="7" spans="1:4" x14ac:dyDescent="0.3">
      <c r="A7" s="72" t="s">
        <v>1338</v>
      </c>
      <c r="B7" s="74" t="s">
        <v>1339</v>
      </c>
      <c r="C7" s="74" t="s">
        <v>1340</v>
      </c>
      <c r="D7" s="72" t="s">
        <v>148</v>
      </c>
    </row>
    <row r="8" spans="1:4" x14ac:dyDescent="0.3">
      <c r="A8" s="72" t="s">
        <v>1341</v>
      </c>
      <c r="B8" s="74" t="s">
        <v>1342</v>
      </c>
      <c r="C8" s="74" t="s">
        <v>1343</v>
      </c>
      <c r="D8" s="72" t="s">
        <v>161</v>
      </c>
    </row>
    <row r="9" spans="1:4" x14ac:dyDescent="0.3">
      <c r="A9" s="72" t="s">
        <v>1344</v>
      </c>
      <c r="B9" s="74" t="s">
        <v>1345</v>
      </c>
      <c r="C9" s="74" t="s">
        <v>1346</v>
      </c>
      <c r="D9" s="72" t="s">
        <v>181</v>
      </c>
    </row>
    <row r="10" spans="1:4" x14ac:dyDescent="0.3">
      <c r="A10" s="72" t="s">
        <v>1347</v>
      </c>
      <c r="B10" s="74" t="s">
        <v>1348</v>
      </c>
      <c r="C10" s="74" t="s">
        <v>1349</v>
      </c>
      <c r="D10" s="72" t="s">
        <v>171</v>
      </c>
    </row>
    <row r="11" spans="1:4" x14ac:dyDescent="0.3">
      <c r="A11" s="72" t="s">
        <v>1350</v>
      </c>
      <c r="B11" s="74" t="s">
        <v>1351</v>
      </c>
      <c r="C11" s="74" t="s">
        <v>1352</v>
      </c>
      <c r="D11" s="72" t="s">
        <v>251</v>
      </c>
    </row>
    <row r="12" spans="1:4" x14ac:dyDescent="0.3">
      <c r="A12" s="72" t="s">
        <v>1353</v>
      </c>
      <c r="B12" s="74" t="s">
        <v>1354</v>
      </c>
      <c r="C12" s="74" t="s">
        <v>258</v>
      </c>
      <c r="D12" s="72" t="s">
        <v>258</v>
      </c>
    </row>
    <row r="13" spans="1:4" x14ac:dyDescent="0.3">
      <c r="A13" s="72" t="s">
        <v>1355</v>
      </c>
      <c r="B13" s="74" t="s">
        <v>1356</v>
      </c>
      <c r="C13" s="74" t="s">
        <v>1357</v>
      </c>
      <c r="D13" s="72" t="s">
        <v>261</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tn관련FormID이동">
              <controlPr defaultSize="0" print="0" autoFill="0" autoPict="0" macro="관련FormID로이동">
                <anchor moveWithCells="1" sizeWithCells="1">
                  <from>
                    <xdr:col>3</xdr:col>
                    <xdr:colOff>180975</xdr:colOff>
                    <xdr:row>1</xdr:row>
                    <xdr:rowOff>190500</xdr:rowOff>
                  </from>
                  <to>
                    <xdr:col>5</xdr:col>
                    <xdr:colOff>285750</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7F87C-F389-46ED-B711-AA7AE1A99980}">
  <sheetPr codeName="Sheet3"/>
  <dimension ref="A1:F126"/>
  <sheetViews>
    <sheetView workbookViewId="0"/>
  </sheetViews>
  <sheetFormatPr defaultRowHeight="16.5" x14ac:dyDescent="0.3"/>
  <cols>
    <col min="1" max="1" width="8.625" customWidth="1"/>
    <col min="2" max="2" width="12.625" customWidth="1"/>
    <col min="3" max="3" width="10.625" customWidth="1"/>
    <col min="4" max="4" width="26.625" customWidth="1"/>
    <col min="5" max="5" width="38.625" customWidth="1"/>
    <col min="6" max="6" width="16.625" customWidth="1"/>
  </cols>
  <sheetData>
    <row r="1" spans="1:6" ht="19.5" x14ac:dyDescent="0.3">
      <c r="A1" s="16" t="s">
        <v>1325</v>
      </c>
    </row>
    <row r="2" spans="1:6" x14ac:dyDescent="0.3">
      <c r="A2" t="s">
        <v>1326</v>
      </c>
    </row>
    <row r="3" spans="1:6" x14ac:dyDescent="0.3">
      <c r="A3" t="s">
        <v>87</v>
      </c>
      <c r="B3" s="9"/>
      <c r="C3" t="s">
        <v>959</v>
      </c>
      <c r="D3" s="9"/>
      <c r="E3" t="s">
        <v>960</v>
      </c>
      <c r="F3" s="9"/>
    </row>
    <row r="6" spans="1:6" x14ac:dyDescent="0.3">
      <c r="A6" s="65" t="s">
        <v>900</v>
      </c>
      <c r="B6" s="65" t="s">
        <v>959</v>
      </c>
      <c r="C6" s="65" t="s">
        <v>960</v>
      </c>
      <c r="D6" s="65" t="s">
        <v>87</v>
      </c>
      <c r="E6" s="65" t="s">
        <v>308</v>
      </c>
      <c r="F6" s="65" t="s">
        <v>383</v>
      </c>
    </row>
    <row r="7" spans="1:6" x14ac:dyDescent="0.3">
      <c r="A7" s="18"/>
      <c r="B7" s="18"/>
      <c r="C7" s="18"/>
      <c r="D7" s="18"/>
      <c r="E7" s="18"/>
      <c r="F7" s="18"/>
    </row>
    <row r="8" spans="1:6" x14ac:dyDescent="0.3">
      <c r="A8" s="18"/>
      <c r="B8" s="18"/>
      <c r="C8" s="18"/>
      <c r="D8" s="18"/>
      <c r="E8" s="18"/>
      <c r="F8" s="18"/>
    </row>
    <row r="9" spans="1:6" x14ac:dyDescent="0.3">
      <c r="A9" s="18"/>
      <c r="B9" s="18"/>
      <c r="C9" s="18"/>
      <c r="D9" s="18"/>
      <c r="E9" s="18"/>
      <c r="F9" s="18"/>
    </row>
    <row r="10" spans="1:6" x14ac:dyDescent="0.3">
      <c r="A10" s="18"/>
      <c r="B10" s="18"/>
      <c r="C10" s="18"/>
      <c r="D10" s="18"/>
      <c r="E10" s="18"/>
      <c r="F10" s="18"/>
    </row>
    <row r="11" spans="1:6" x14ac:dyDescent="0.3">
      <c r="A11" s="18"/>
      <c r="B11" s="18"/>
      <c r="C11" s="18"/>
      <c r="D11" s="18"/>
      <c r="E11" s="18"/>
      <c r="F11" s="18"/>
    </row>
    <row r="12" spans="1:6" x14ac:dyDescent="0.3">
      <c r="A12" s="18"/>
      <c r="B12" s="18"/>
      <c r="C12" s="18"/>
      <c r="D12" s="18"/>
      <c r="E12" s="18"/>
      <c r="F12" s="18"/>
    </row>
    <row r="13" spans="1:6" x14ac:dyDescent="0.3">
      <c r="A13" s="18"/>
      <c r="B13" s="18"/>
      <c r="C13" s="18"/>
      <c r="D13" s="18"/>
      <c r="E13" s="18"/>
      <c r="F13" s="18"/>
    </row>
    <row r="14" spans="1:6" x14ac:dyDescent="0.3">
      <c r="A14" s="18"/>
      <c r="B14" s="18"/>
      <c r="C14" s="18"/>
      <c r="D14" s="18"/>
      <c r="E14" s="18"/>
      <c r="F14" s="18"/>
    </row>
    <row r="15" spans="1:6" x14ac:dyDescent="0.3">
      <c r="A15" s="18"/>
      <c r="B15" s="18"/>
      <c r="C15" s="18"/>
      <c r="D15" s="18"/>
      <c r="E15" s="18"/>
      <c r="F15" s="18"/>
    </row>
    <row r="16" spans="1:6" x14ac:dyDescent="0.3">
      <c r="A16" s="18"/>
      <c r="B16" s="18"/>
      <c r="C16" s="18"/>
      <c r="D16" s="18"/>
      <c r="E16" s="18"/>
      <c r="F16" s="18"/>
    </row>
    <row r="17" spans="1:6" x14ac:dyDescent="0.3">
      <c r="A17" s="18"/>
      <c r="B17" s="18"/>
      <c r="C17" s="18"/>
      <c r="D17" s="18"/>
      <c r="E17" s="18"/>
      <c r="F17" s="18"/>
    </row>
    <row r="18" spans="1:6" x14ac:dyDescent="0.3">
      <c r="A18" s="18"/>
      <c r="B18" s="18"/>
      <c r="C18" s="18"/>
      <c r="D18" s="18"/>
      <c r="E18" s="18"/>
      <c r="F18" s="18"/>
    </row>
    <row r="19" spans="1:6" x14ac:dyDescent="0.3">
      <c r="A19" s="18"/>
      <c r="B19" s="18"/>
      <c r="C19" s="18"/>
      <c r="D19" s="18"/>
      <c r="E19" s="18"/>
      <c r="F19" s="18"/>
    </row>
    <row r="20" spans="1:6" x14ac:dyDescent="0.3">
      <c r="A20" s="18"/>
      <c r="B20" s="18"/>
      <c r="C20" s="18"/>
      <c r="D20" s="18"/>
      <c r="E20" s="18"/>
      <c r="F20" s="18"/>
    </row>
    <row r="21" spans="1:6" x14ac:dyDescent="0.3">
      <c r="A21" s="18"/>
      <c r="B21" s="18"/>
      <c r="C21" s="18"/>
      <c r="D21" s="18"/>
      <c r="E21" s="18"/>
      <c r="F21" s="18"/>
    </row>
    <row r="22" spans="1:6" x14ac:dyDescent="0.3">
      <c r="A22" s="18"/>
      <c r="B22" s="18"/>
      <c r="C22" s="18"/>
      <c r="D22" s="18"/>
      <c r="E22" s="18"/>
      <c r="F22" s="18"/>
    </row>
    <row r="23" spans="1:6" x14ac:dyDescent="0.3">
      <c r="A23" s="18"/>
      <c r="B23" s="18"/>
      <c r="C23" s="18"/>
      <c r="D23" s="18"/>
      <c r="E23" s="18"/>
      <c r="F23" s="18"/>
    </row>
    <row r="24" spans="1:6" x14ac:dyDescent="0.3">
      <c r="A24" s="18"/>
      <c r="B24" s="18"/>
      <c r="C24" s="18"/>
      <c r="D24" s="18"/>
      <c r="E24" s="18"/>
      <c r="F24" s="18"/>
    </row>
    <row r="25" spans="1:6" x14ac:dyDescent="0.3">
      <c r="A25" s="18"/>
      <c r="B25" s="18"/>
      <c r="C25" s="18"/>
      <c r="D25" s="18"/>
      <c r="E25" s="18"/>
      <c r="F25" s="18"/>
    </row>
    <row r="26" spans="1:6" x14ac:dyDescent="0.3">
      <c r="A26" s="18"/>
      <c r="B26" s="18"/>
      <c r="C26" s="18"/>
      <c r="D26" s="18"/>
      <c r="E26" s="18"/>
      <c r="F26" s="18"/>
    </row>
    <row r="27" spans="1:6" x14ac:dyDescent="0.3">
      <c r="A27" s="18"/>
      <c r="B27" s="18"/>
      <c r="C27" s="18"/>
      <c r="D27" s="18"/>
      <c r="E27" s="18"/>
      <c r="F27" s="18"/>
    </row>
    <row r="28" spans="1:6" x14ac:dyDescent="0.3">
      <c r="A28" s="18"/>
      <c r="B28" s="18"/>
      <c r="C28" s="18"/>
      <c r="D28" s="18"/>
      <c r="E28" s="18"/>
      <c r="F28" s="18"/>
    </row>
    <row r="29" spans="1:6" x14ac:dyDescent="0.3">
      <c r="A29" s="18"/>
      <c r="B29" s="18"/>
      <c r="C29" s="18"/>
      <c r="D29" s="18"/>
      <c r="E29" s="18"/>
      <c r="F29" s="18"/>
    </row>
    <row r="30" spans="1:6" x14ac:dyDescent="0.3">
      <c r="A30" s="18"/>
      <c r="B30" s="18"/>
      <c r="C30" s="18"/>
      <c r="D30" s="18"/>
      <c r="E30" s="18"/>
      <c r="F30" s="18"/>
    </row>
    <row r="31" spans="1:6" x14ac:dyDescent="0.3">
      <c r="A31" s="18"/>
      <c r="B31" s="18"/>
      <c r="C31" s="18"/>
      <c r="D31" s="18"/>
      <c r="E31" s="18"/>
      <c r="F31" s="18"/>
    </row>
    <row r="32" spans="1:6" x14ac:dyDescent="0.3">
      <c r="A32" s="18"/>
      <c r="B32" s="18"/>
      <c r="C32" s="18"/>
      <c r="D32" s="18"/>
      <c r="E32" s="18"/>
      <c r="F32" s="18"/>
    </row>
    <row r="33" spans="1:6" x14ac:dyDescent="0.3">
      <c r="A33" s="18"/>
      <c r="B33" s="18"/>
      <c r="C33" s="18"/>
      <c r="D33" s="18"/>
      <c r="E33" s="18"/>
      <c r="F33" s="18"/>
    </row>
    <row r="34" spans="1:6" x14ac:dyDescent="0.3">
      <c r="A34" s="18"/>
      <c r="B34" s="18"/>
      <c r="C34" s="18"/>
      <c r="D34" s="18"/>
      <c r="E34" s="18"/>
      <c r="F34" s="18"/>
    </row>
    <row r="35" spans="1:6" x14ac:dyDescent="0.3">
      <c r="A35" s="18"/>
      <c r="B35" s="18"/>
      <c r="C35" s="18"/>
      <c r="D35" s="18"/>
      <c r="E35" s="18"/>
      <c r="F35" s="18"/>
    </row>
    <row r="36" spans="1:6" x14ac:dyDescent="0.3">
      <c r="A36" s="18"/>
      <c r="B36" s="18"/>
      <c r="C36" s="18"/>
      <c r="D36" s="18"/>
      <c r="E36" s="18"/>
      <c r="F36" s="18"/>
    </row>
    <row r="37" spans="1:6" x14ac:dyDescent="0.3">
      <c r="A37" s="18"/>
      <c r="B37" s="18"/>
      <c r="C37" s="18"/>
      <c r="D37" s="18"/>
      <c r="E37" s="18"/>
      <c r="F37" s="18"/>
    </row>
    <row r="38" spans="1:6" x14ac:dyDescent="0.3">
      <c r="A38" s="18"/>
      <c r="B38" s="18"/>
      <c r="C38" s="18"/>
      <c r="D38" s="18"/>
      <c r="E38" s="18"/>
      <c r="F38" s="18"/>
    </row>
    <row r="39" spans="1:6" x14ac:dyDescent="0.3">
      <c r="A39" s="18"/>
      <c r="B39" s="18"/>
      <c r="C39" s="18"/>
      <c r="D39" s="18"/>
      <c r="E39" s="18"/>
      <c r="F39" s="18"/>
    </row>
    <row r="40" spans="1:6" x14ac:dyDescent="0.3">
      <c r="A40" s="18"/>
      <c r="B40" s="18"/>
      <c r="C40" s="18"/>
      <c r="D40" s="18"/>
      <c r="E40" s="18"/>
      <c r="F40" s="18"/>
    </row>
    <row r="41" spans="1:6" x14ac:dyDescent="0.3">
      <c r="A41" s="18"/>
      <c r="B41" s="18"/>
      <c r="C41" s="18"/>
      <c r="D41" s="18"/>
      <c r="E41" s="18"/>
      <c r="F41" s="18"/>
    </row>
    <row r="42" spans="1:6" x14ac:dyDescent="0.3">
      <c r="A42" s="18"/>
      <c r="B42" s="18"/>
      <c r="C42" s="18"/>
      <c r="D42" s="18"/>
      <c r="E42" s="18"/>
      <c r="F42" s="18"/>
    </row>
    <row r="43" spans="1:6" x14ac:dyDescent="0.3">
      <c r="A43" s="18"/>
      <c r="B43" s="18"/>
      <c r="C43" s="18"/>
      <c r="D43" s="18"/>
      <c r="E43" s="18"/>
      <c r="F43" s="18"/>
    </row>
    <row r="44" spans="1:6" x14ac:dyDescent="0.3">
      <c r="A44" s="18"/>
      <c r="B44" s="18"/>
      <c r="C44" s="18"/>
      <c r="D44" s="18"/>
      <c r="E44" s="18"/>
      <c r="F44" s="18"/>
    </row>
    <row r="45" spans="1:6" x14ac:dyDescent="0.3">
      <c r="A45" s="18"/>
      <c r="B45" s="18"/>
      <c r="C45" s="18"/>
      <c r="D45" s="18"/>
      <c r="E45" s="18"/>
      <c r="F45" s="18"/>
    </row>
    <row r="46" spans="1:6" x14ac:dyDescent="0.3">
      <c r="A46" s="18"/>
      <c r="B46" s="18"/>
      <c r="C46" s="18"/>
      <c r="D46" s="18"/>
      <c r="E46" s="18"/>
      <c r="F46" s="18"/>
    </row>
    <row r="47" spans="1:6" x14ac:dyDescent="0.3">
      <c r="A47" s="18"/>
      <c r="B47" s="18"/>
      <c r="C47" s="18"/>
      <c r="D47" s="18"/>
      <c r="E47" s="18"/>
      <c r="F47" s="18"/>
    </row>
    <row r="48" spans="1:6" x14ac:dyDescent="0.3">
      <c r="A48" s="18"/>
      <c r="B48" s="18"/>
      <c r="C48" s="18"/>
      <c r="D48" s="18"/>
      <c r="E48" s="18"/>
      <c r="F48" s="18"/>
    </row>
    <row r="49" spans="1:6" x14ac:dyDescent="0.3">
      <c r="A49" s="18"/>
      <c r="B49" s="18"/>
      <c r="C49" s="18"/>
      <c r="D49" s="18"/>
      <c r="E49" s="18"/>
      <c r="F49" s="18"/>
    </row>
    <row r="50" spans="1:6" x14ac:dyDescent="0.3">
      <c r="A50" s="18"/>
      <c r="B50" s="18"/>
      <c r="C50" s="18"/>
      <c r="D50" s="18"/>
      <c r="E50" s="18"/>
      <c r="F50" s="18"/>
    </row>
    <row r="51" spans="1:6" x14ac:dyDescent="0.3">
      <c r="A51" s="18"/>
      <c r="B51" s="18"/>
      <c r="C51" s="18"/>
      <c r="D51" s="18"/>
      <c r="E51" s="18"/>
      <c r="F51" s="18"/>
    </row>
    <row r="52" spans="1:6" x14ac:dyDescent="0.3">
      <c r="A52" s="18"/>
      <c r="B52" s="18"/>
      <c r="C52" s="18"/>
      <c r="D52" s="18"/>
      <c r="E52" s="18"/>
      <c r="F52" s="18"/>
    </row>
    <row r="53" spans="1:6" x14ac:dyDescent="0.3">
      <c r="A53" s="18"/>
      <c r="B53" s="18"/>
      <c r="C53" s="18"/>
      <c r="D53" s="18"/>
      <c r="E53" s="18"/>
      <c r="F53" s="18"/>
    </row>
    <row r="54" spans="1:6" x14ac:dyDescent="0.3">
      <c r="A54" s="18"/>
      <c r="B54" s="18"/>
      <c r="C54" s="18"/>
      <c r="D54" s="18"/>
      <c r="E54" s="18"/>
      <c r="F54" s="18"/>
    </row>
    <row r="55" spans="1:6" x14ac:dyDescent="0.3">
      <c r="A55" s="18"/>
      <c r="B55" s="18"/>
      <c r="C55" s="18"/>
      <c r="D55" s="18"/>
      <c r="E55" s="18"/>
      <c r="F55" s="18"/>
    </row>
    <row r="56" spans="1:6" x14ac:dyDescent="0.3">
      <c r="A56" s="18"/>
      <c r="B56" s="18"/>
      <c r="C56" s="18"/>
      <c r="D56" s="18"/>
      <c r="E56" s="18"/>
      <c r="F56" s="18"/>
    </row>
    <row r="57" spans="1:6" x14ac:dyDescent="0.3">
      <c r="A57" s="18"/>
      <c r="B57" s="18"/>
      <c r="C57" s="18"/>
      <c r="D57" s="18"/>
      <c r="E57" s="18"/>
      <c r="F57" s="18"/>
    </row>
    <row r="58" spans="1:6" x14ac:dyDescent="0.3">
      <c r="A58" s="18"/>
      <c r="B58" s="18"/>
      <c r="C58" s="18"/>
      <c r="D58" s="18"/>
      <c r="E58" s="18"/>
      <c r="F58" s="18"/>
    </row>
    <row r="59" spans="1:6" x14ac:dyDescent="0.3">
      <c r="A59" s="18"/>
      <c r="B59" s="18"/>
      <c r="C59" s="18"/>
      <c r="D59" s="18"/>
      <c r="E59" s="18"/>
      <c r="F59" s="18"/>
    </row>
    <row r="60" spans="1:6" x14ac:dyDescent="0.3">
      <c r="A60" s="18"/>
      <c r="B60" s="18"/>
      <c r="C60" s="18"/>
      <c r="D60" s="18"/>
      <c r="E60" s="18"/>
      <c r="F60" s="18"/>
    </row>
    <row r="61" spans="1:6" x14ac:dyDescent="0.3">
      <c r="A61" s="18"/>
      <c r="B61" s="18"/>
      <c r="C61" s="18"/>
      <c r="D61" s="18"/>
      <c r="E61" s="18"/>
      <c r="F61" s="18"/>
    </row>
    <row r="62" spans="1:6" x14ac:dyDescent="0.3">
      <c r="A62" s="18"/>
      <c r="B62" s="18"/>
      <c r="C62" s="18"/>
      <c r="D62" s="18"/>
      <c r="E62" s="18"/>
      <c r="F62" s="18"/>
    </row>
    <row r="63" spans="1:6" x14ac:dyDescent="0.3">
      <c r="A63" s="18"/>
      <c r="B63" s="18"/>
      <c r="C63" s="18"/>
      <c r="D63" s="18"/>
      <c r="E63" s="18"/>
      <c r="F63" s="18"/>
    </row>
    <row r="64" spans="1:6" x14ac:dyDescent="0.3">
      <c r="A64" s="18"/>
      <c r="B64" s="18"/>
      <c r="C64" s="18"/>
      <c r="D64" s="18"/>
      <c r="E64" s="18"/>
      <c r="F64" s="18"/>
    </row>
    <row r="65" spans="1:6" x14ac:dyDescent="0.3">
      <c r="A65" s="18"/>
      <c r="B65" s="18"/>
      <c r="C65" s="18"/>
      <c r="D65" s="18"/>
      <c r="E65" s="18"/>
      <c r="F65" s="18"/>
    </row>
    <row r="66" spans="1:6" x14ac:dyDescent="0.3">
      <c r="A66" s="18"/>
      <c r="B66" s="18"/>
      <c r="C66" s="18"/>
      <c r="D66" s="18"/>
      <c r="E66" s="18"/>
      <c r="F66" s="18"/>
    </row>
    <row r="67" spans="1:6" x14ac:dyDescent="0.3">
      <c r="A67" s="18"/>
      <c r="B67" s="18"/>
      <c r="C67" s="18"/>
      <c r="D67" s="18"/>
      <c r="E67" s="18"/>
      <c r="F67" s="18"/>
    </row>
    <row r="68" spans="1:6" x14ac:dyDescent="0.3">
      <c r="A68" s="18"/>
      <c r="B68" s="18"/>
      <c r="C68" s="18"/>
      <c r="D68" s="18"/>
      <c r="E68" s="18"/>
      <c r="F68" s="18"/>
    </row>
    <row r="69" spans="1:6" x14ac:dyDescent="0.3">
      <c r="A69" s="18"/>
      <c r="B69" s="18"/>
      <c r="C69" s="18"/>
      <c r="D69" s="18"/>
      <c r="E69" s="18"/>
      <c r="F69" s="18"/>
    </row>
    <row r="70" spans="1:6" x14ac:dyDescent="0.3">
      <c r="A70" s="18"/>
      <c r="B70" s="18"/>
      <c r="C70" s="18"/>
      <c r="D70" s="18"/>
      <c r="E70" s="18"/>
      <c r="F70" s="18"/>
    </row>
    <row r="71" spans="1:6" x14ac:dyDescent="0.3">
      <c r="A71" s="18"/>
      <c r="B71" s="18"/>
      <c r="C71" s="18"/>
      <c r="D71" s="18"/>
      <c r="E71" s="18"/>
      <c r="F71" s="18"/>
    </row>
    <row r="72" spans="1:6" x14ac:dyDescent="0.3">
      <c r="A72" s="18"/>
      <c r="B72" s="18"/>
      <c r="C72" s="18"/>
      <c r="D72" s="18"/>
      <c r="E72" s="18"/>
      <c r="F72" s="18"/>
    </row>
    <row r="73" spans="1:6" x14ac:dyDescent="0.3">
      <c r="A73" s="18"/>
      <c r="B73" s="18"/>
      <c r="C73" s="18"/>
      <c r="D73" s="18"/>
      <c r="E73" s="18"/>
      <c r="F73" s="18"/>
    </row>
    <row r="74" spans="1:6" x14ac:dyDescent="0.3">
      <c r="A74" s="18"/>
      <c r="B74" s="18"/>
      <c r="C74" s="18"/>
      <c r="D74" s="18"/>
      <c r="E74" s="18"/>
      <c r="F74" s="18"/>
    </row>
    <row r="75" spans="1:6" x14ac:dyDescent="0.3">
      <c r="A75" s="18"/>
      <c r="B75" s="18"/>
      <c r="C75" s="18"/>
      <c r="D75" s="18"/>
      <c r="E75" s="18"/>
      <c r="F75" s="18"/>
    </row>
    <row r="76" spans="1:6" x14ac:dyDescent="0.3">
      <c r="A76" s="18"/>
      <c r="B76" s="18"/>
      <c r="C76" s="18"/>
      <c r="D76" s="18"/>
      <c r="E76" s="18"/>
      <c r="F76" s="18"/>
    </row>
    <row r="77" spans="1:6" x14ac:dyDescent="0.3">
      <c r="A77" s="18"/>
      <c r="B77" s="18"/>
      <c r="C77" s="18"/>
      <c r="D77" s="18"/>
      <c r="E77" s="18"/>
      <c r="F77" s="18"/>
    </row>
    <row r="78" spans="1:6" x14ac:dyDescent="0.3">
      <c r="A78" s="18"/>
      <c r="B78" s="18"/>
      <c r="C78" s="18"/>
      <c r="D78" s="18"/>
      <c r="E78" s="18"/>
      <c r="F78" s="18"/>
    </row>
    <row r="79" spans="1:6" x14ac:dyDescent="0.3">
      <c r="A79" s="18"/>
      <c r="B79" s="18"/>
      <c r="C79" s="18"/>
      <c r="D79" s="18"/>
      <c r="E79" s="18"/>
      <c r="F79" s="18"/>
    </row>
    <row r="80" spans="1:6" x14ac:dyDescent="0.3">
      <c r="A80" s="18"/>
      <c r="B80" s="18"/>
      <c r="C80" s="18"/>
      <c r="D80" s="18"/>
      <c r="E80" s="18"/>
      <c r="F80" s="18"/>
    </row>
    <row r="81" spans="1:6" x14ac:dyDescent="0.3">
      <c r="A81" s="18"/>
      <c r="B81" s="18"/>
      <c r="C81" s="18"/>
      <c r="D81" s="18"/>
      <c r="E81" s="18"/>
      <c r="F81" s="18"/>
    </row>
    <row r="82" spans="1:6" x14ac:dyDescent="0.3">
      <c r="A82" s="18"/>
      <c r="B82" s="18"/>
      <c r="C82" s="18"/>
      <c r="D82" s="18"/>
      <c r="E82" s="18"/>
      <c r="F82" s="18"/>
    </row>
    <row r="83" spans="1:6" x14ac:dyDescent="0.3">
      <c r="A83" s="18"/>
      <c r="B83" s="18"/>
      <c r="C83" s="18"/>
      <c r="D83" s="18"/>
      <c r="E83" s="18"/>
      <c r="F83" s="18"/>
    </row>
    <row r="84" spans="1:6" x14ac:dyDescent="0.3">
      <c r="A84" s="18"/>
      <c r="B84" s="18"/>
      <c r="C84" s="18"/>
      <c r="D84" s="18"/>
      <c r="E84" s="18"/>
      <c r="F84" s="18"/>
    </row>
    <row r="85" spans="1:6" x14ac:dyDescent="0.3">
      <c r="A85" s="18"/>
      <c r="B85" s="18"/>
      <c r="C85" s="18"/>
      <c r="D85" s="18"/>
      <c r="E85" s="18"/>
      <c r="F85" s="18"/>
    </row>
    <row r="86" spans="1:6" x14ac:dyDescent="0.3">
      <c r="A86" s="18"/>
      <c r="B86" s="18"/>
      <c r="C86" s="18"/>
      <c r="D86" s="18"/>
      <c r="E86" s="18"/>
      <c r="F86" s="18"/>
    </row>
    <row r="87" spans="1:6" x14ac:dyDescent="0.3">
      <c r="A87" s="18"/>
      <c r="B87" s="18"/>
      <c r="C87" s="18"/>
      <c r="D87" s="18"/>
      <c r="E87" s="18"/>
      <c r="F87" s="18"/>
    </row>
    <row r="88" spans="1:6" x14ac:dyDescent="0.3">
      <c r="A88" s="18"/>
      <c r="B88" s="18"/>
      <c r="C88" s="18"/>
      <c r="D88" s="18"/>
      <c r="E88" s="18"/>
      <c r="F88" s="18"/>
    </row>
    <row r="89" spans="1:6" x14ac:dyDescent="0.3">
      <c r="A89" s="18"/>
      <c r="B89" s="18"/>
      <c r="C89" s="18"/>
      <c r="D89" s="18"/>
      <c r="E89" s="18"/>
      <c r="F89" s="18"/>
    </row>
    <row r="90" spans="1:6" x14ac:dyDescent="0.3">
      <c r="A90" s="18"/>
      <c r="B90" s="18"/>
      <c r="C90" s="18"/>
      <c r="D90" s="18"/>
      <c r="E90" s="18"/>
      <c r="F90" s="18"/>
    </row>
    <row r="91" spans="1:6" x14ac:dyDescent="0.3">
      <c r="A91" s="18"/>
      <c r="B91" s="18"/>
      <c r="C91" s="18"/>
      <c r="D91" s="18"/>
      <c r="E91" s="18"/>
      <c r="F91" s="18"/>
    </row>
    <row r="92" spans="1:6" x14ac:dyDescent="0.3">
      <c r="A92" s="18"/>
      <c r="B92" s="18"/>
      <c r="C92" s="18"/>
      <c r="D92" s="18"/>
      <c r="E92" s="18"/>
      <c r="F92" s="18"/>
    </row>
    <row r="93" spans="1:6" x14ac:dyDescent="0.3">
      <c r="A93" s="18"/>
      <c r="B93" s="18"/>
      <c r="C93" s="18"/>
      <c r="D93" s="18"/>
      <c r="E93" s="18"/>
      <c r="F93" s="18"/>
    </row>
    <row r="94" spans="1:6" x14ac:dyDescent="0.3">
      <c r="A94" s="18"/>
      <c r="B94" s="18"/>
      <c r="C94" s="18"/>
      <c r="D94" s="18"/>
      <c r="E94" s="18"/>
      <c r="F94" s="18"/>
    </row>
    <row r="95" spans="1:6" x14ac:dyDescent="0.3">
      <c r="A95" s="18"/>
      <c r="B95" s="18"/>
      <c r="C95" s="18"/>
      <c r="D95" s="18"/>
      <c r="E95" s="18"/>
      <c r="F95" s="18"/>
    </row>
    <row r="96" spans="1:6" x14ac:dyDescent="0.3">
      <c r="A96" s="18"/>
      <c r="B96" s="18"/>
      <c r="C96" s="18"/>
      <c r="D96" s="18"/>
      <c r="E96" s="18"/>
      <c r="F96" s="18"/>
    </row>
    <row r="97" spans="1:6" x14ac:dyDescent="0.3">
      <c r="A97" s="18"/>
      <c r="B97" s="18"/>
      <c r="C97" s="18"/>
      <c r="D97" s="18"/>
      <c r="E97" s="18"/>
      <c r="F97" s="18"/>
    </row>
    <row r="98" spans="1:6" x14ac:dyDescent="0.3">
      <c r="A98" s="18"/>
      <c r="B98" s="18"/>
      <c r="C98" s="18"/>
      <c r="D98" s="18"/>
      <c r="E98" s="18"/>
      <c r="F98" s="18"/>
    </row>
    <row r="99" spans="1:6" x14ac:dyDescent="0.3">
      <c r="A99" s="18"/>
      <c r="B99" s="18"/>
      <c r="C99" s="18"/>
      <c r="D99" s="18"/>
      <c r="E99" s="18"/>
      <c r="F99" s="18"/>
    </row>
    <row r="100" spans="1:6" x14ac:dyDescent="0.3">
      <c r="A100" s="18"/>
      <c r="B100" s="18"/>
      <c r="C100" s="18"/>
      <c r="D100" s="18"/>
      <c r="E100" s="18"/>
      <c r="F100" s="18"/>
    </row>
    <row r="101" spans="1:6" x14ac:dyDescent="0.3">
      <c r="A101" s="18"/>
      <c r="B101" s="18"/>
      <c r="C101" s="18"/>
      <c r="D101" s="18"/>
      <c r="E101" s="18"/>
      <c r="F101" s="18"/>
    </row>
    <row r="102" spans="1:6" x14ac:dyDescent="0.3">
      <c r="A102" s="18"/>
      <c r="B102" s="18"/>
      <c r="C102" s="18"/>
      <c r="D102" s="18"/>
      <c r="E102" s="18"/>
      <c r="F102" s="18"/>
    </row>
    <row r="103" spans="1:6" x14ac:dyDescent="0.3">
      <c r="A103" s="18"/>
      <c r="B103" s="18"/>
      <c r="C103" s="18"/>
      <c r="D103" s="18"/>
      <c r="E103" s="18"/>
      <c r="F103" s="18"/>
    </row>
    <row r="104" spans="1:6" x14ac:dyDescent="0.3">
      <c r="A104" s="18"/>
      <c r="B104" s="18"/>
      <c r="C104" s="18"/>
      <c r="D104" s="18"/>
      <c r="E104" s="18"/>
      <c r="F104" s="18"/>
    </row>
    <row r="105" spans="1:6" x14ac:dyDescent="0.3">
      <c r="A105" s="18"/>
      <c r="B105" s="18"/>
      <c r="C105" s="18"/>
      <c r="D105" s="18"/>
      <c r="E105" s="18"/>
      <c r="F105" s="18"/>
    </row>
    <row r="106" spans="1:6" x14ac:dyDescent="0.3">
      <c r="A106" s="18"/>
      <c r="B106" s="18"/>
      <c r="C106" s="18"/>
      <c r="D106" s="18"/>
      <c r="E106" s="18"/>
      <c r="F106" s="18"/>
    </row>
    <row r="107" spans="1:6" x14ac:dyDescent="0.3">
      <c r="A107" s="18"/>
      <c r="B107" s="18"/>
      <c r="C107" s="18"/>
      <c r="D107" s="18"/>
      <c r="E107" s="18"/>
      <c r="F107" s="18"/>
    </row>
    <row r="108" spans="1:6" x14ac:dyDescent="0.3">
      <c r="A108" s="18"/>
      <c r="B108" s="18"/>
      <c r="C108" s="18"/>
      <c r="D108" s="18"/>
      <c r="E108" s="18"/>
      <c r="F108" s="18"/>
    </row>
    <row r="109" spans="1:6" x14ac:dyDescent="0.3">
      <c r="A109" s="18"/>
      <c r="B109" s="18"/>
      <c r="C109" s="18"/>
      <c r="D109" s="18"/>
      <c r="E109" s="18"/>
      <c r="F109" s="18"/>
    </row>
    <row r="110" spans="1:6" x14ac:dyDescent="0.3">
      <c r="A110" s="18"/>
      <c r="B110" s="18"/>
      <c r="C110" s="18"/>
      <c r="D110" s="18"/>
      <c r="E110" s="18"/>
      <c r="F110" s="18"/>
    </row>
    <row r="111" spans="1:6" x14ac:dyDescent="0.3">
      <c r="A111" s="18"/>
      <c r="B111" s="18"/>
      <c r="C111" s="18"/>
      <c r="D111" s="18"/>
      <c r="E111" s="18"/>
      <c r="F111" s="18"/>
    </row>
    <row r="112" spans="1:6" x14ac:dyDescent="0.3">
      <c r="A112" s="18"/>
      <c r="B112" s="18"/>
      <c r="C112" s="18"/>
      <c r="D112" s="18"/>
      <c r="E112" s="18"/>
      <c r="F112" s="18"/>
    </row>
    <row r="113" spans="1:6" x14ac:dyDescent="0.3">
      <c r="A113" s="18"/>
      <c r="B113" s="18"/>
      <c r="C113" s="18"/>
      <c r="D113" s="18"/>
      <c r="E113" s="18"/>
      <c r="F113" s="18"/>
    </row>
    <row r="114" spans="1:6" x14ac:dyDescent="0.3">
      <c r="A114" s="18"/>
      <c r="B114" s="18"/>
      <c r="C114" s="18"/>
      <c r="D114" s="18"/>
      <c r="E114" s="18"/>
      <c r="F114" s="18"/>
    </row>
    <row r="115" spans="1:6" x14ac:dyDescent="0.3">
      <c r="A115" s="18"/>
      <c r="B115" s="18"/>
      <c r="C115" s="18"/>
      <c r="D115" s="18"/>
      <c r="E115" s="18"/>
      <c r="F115" s="18"/>
    </row>
    <row r="116" spans="1:6" x14ac:dyDescent="0.3">
      <c r="A116" s="18"/>
      <c r="B116" s="18"/>
      <c r="C116" s="18"/>
      <c r="D116" s="18"/>
      <c r="E116" s="18"/>
      <c r="F116" s="18"/>
    </row>
    <row r="117" spans="1:6" x14ac:dyDescent="0.3">
      <c r="A117" s="18"/>
      <c r="B117" s="18"/>
      <c r="C117" s="18"/>
      <c r="D117" s="18"/>
      <c r="E117" s="18"/>
      <c r="F117" s="18"/>
    </row>
    <row r="118" spans="1:6" x14ac:dyDescent="0.3">
      <c r="A118" s="18"/>
      <c r="B118" s="18"/>
      <c r="C118" s="18"/>
      <c r="D118" s="18"/>
      <c r="E118" s="18"/>
      <c r="F118" s="18"/>
    </row>
    <row r="119" spans="1:6" x14ac:dyDescent="0.3">
      <c r="A119" s="18"/>
      <c r="B119" s="18"/>
      <c r="C119" s="18"/>
      <c r="D119" s="18"/>
      <c r="E119" s="18"/>
      <c r="F119" s="18"/>
    </row>
    <row r="120" spans="1:6" x14ac:dyDescent="0.3">
      <c r="A120" s="18"/>
      <c r="B120" s="18"/>
      <c r="C120" s="18"/>
      <c r="D120" s="18"/>
      <c r="E120" s="18"/>
      <c r="F120" s="18"/>
    </row>
    <row r="121" spans="1:6" x14ac:dyDescent="0.3">
      <c r="A121" s="18"/>
      <c r="B121" s="18"/>
      <c r="C121" s="18"/>
      <c r="D121" s="18"/>
      <c r="E121" s="18"/>
      <c r="F121" s="18"/>
    </row>
    <row r="122" spans="1:6" x14ac:dyDescent="0.3">
      <c r="A122" s="18"/>
      <c r="B122" s="18"/>
      <c r="C122" s="18"/>
      <c r="D122" s="18"/>
      <c r="E122" s="18"/>
      <c r="F122" s="18"/>
    </row>
    <row r="123" spans="1:6" x14ac:dyDescent="0.3">
      <c r="A123" s="18"/>
      <c r="B123" s="18"/>
      <c r="C123" s="18"/>
      <c r="D123" s="18"/>
      <c r="E123" s="18"/>
      <c r="F123" s="18"/>
    </row>
    <row r="124" spans="1:6" x14ac:dyDescent="0.3">
      <c r="A124" s="18"/>
      <c r="B124" s="18"/>
      <c r="C124" s="18"/>
      <c r="D124" s="18"/>
      <c r="E124" s="18"/>
      <c r="F124" s="18"/>
    </row>
    <row r="125" spans="1:6" x14ac:dyDescent="0.3">
      <c r="A125" s="18"/>
      <c r="B125" s="18"/>
      <c r="C125" s="18"/>
      <c r="D125" s="18"/>
      <c r="E125" s="18"/>
      <c r="F125" s="18"/>
    </row>
    <row r="126" spans="1:6" x14ac:dyDescent="0.3">
      <c r="A126" s="18"/>
      <c r="B126" s="18"/>
      <c r="C126" s="18"/>
      <c r="D126" s="18"/>
      <c r="E126" s="18"/>
      <c r="F126" s="18"/>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학교검색">
              <controlPr defaultSize="0" print="0" autoFill="0" autoPict="0" macro="학교검색_실행">
                <anchor moveWithCells="1" sizeWithCells="1">
                  <from>
                    <xdr:col>4</xdr:col>
                    <xdr:colOff>2143125</xdr:colOff>
                    <xdr:row>1</xdr:row>
                    <xdr:rowOff>190500</xdr:rowOff>
                  </from>
                  <to>
                    <xdr:col>5</xdr:col>
                    <xdr:colOff>219075</xdr:colOff>
                    <xdr:row>3</xdr:row>
                    <xdr:rowOff>76200</xdr:rowOff>
                  </to>
                </anchor>
              </controlPr>
            </control>
          </mc:Choice>
        </mc:AlternateContent>
        <mc:AlternateContent xmlns:mc="http://schemas.openxmlformats.org/markup-compatibility/2006">
          <mc:Choice Requires="x14">
            <control shapeId="4098" r:id="rId4" name="btn선택학교반영">
              <controlPr defaultSize="0" print="0" autoFill="0" autoPict="0" macro="선택학교_기초자료반영">
                <anchor moveWithCells="1" sizeWithCells="1">
                  <from>
                    <xdr:col>5</xdr:col>
                    <xdr:colOff>342900</xdr:colOff>
                    <xdr:row>1</xdr:row>
                    <xdr:rowOff>190500</xdr:rowOff>
                  </from>
                  <to>
                    <xdr:col>8</xdr:col>
                    <xdr:colOff>114300</xdr:colOff>
                    <xdr:row>3</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4B94F-7FB2-4C50-B3DD-9497C9E1633F}">
  <sheetPr codeName="Sheet4"/>
  <dimension ref="A1:G123"/>
  <sheetViews>
    <sheetView workbookViewId="0"/>
  </sheetViews>
  <sheetFormatPr defaultRowHeight="16.5" x14ac:dyDescent="0.3"/>
  <cols>
    <col min="1" max="1" width="8.625" customWidth="1"/>
    <col min="2" max="2" width="10.625" customWidth="1"/>
    <col min="3" max="4" width="8.625" customWidth="1"/>
    <col min="5" max="5" width="24.625" customWidth="1"/>
    <col min="6" max="6" width="34.625" customWidth="1"/>
    <col min="7" max="7" width="14.625" customWidth="1"/>
  </cols>
  <sheetData>
    <row r="1" spans="1:7" s="3" customFormat="1" x14ac:dyDescent="0.3">
      <c r="A1" s="3" t="s">
        <v>900</v>
      </c>
      <c r="B1" s="3" t="s">
        <v>959</v>
      </c>
      <c r="C1" s="3" t="s">
        <v>960</v>
      </c>
      <c r="D1" s="3" t="s">
        <v>961</v>
      </c>
      <c r="E1" s="3" t="s">
        <v>87</v>
      </c>
      <c r="F1" s="3" t="s">
        <v>308</v>
      </c>
      <c r="G1" s="3" t="s">
        <v>383</v>
      </c>
    </row>
    <row r="2" spans="1:7" x14ac:dyDescent="0.3">
      <c r="A2">
        <v>808</v>
      </c>
      <c r="B2" t="s">
        <v>962</v>
      </c>
      <c r="C2" t="s">
        <v>963</v>
      </c>
      <c r="D2" t="s">
        <v>964</v>
      </c>
      <c r="E2" t="s">
        <v>965</v>
      </c>
      <c r="F2" t="s">
        <v>966</v>
      </c>
      <c r="G2" t="s">
        <v>967</v>
      </c>
    </row>
    <row r="3" spans="1:7" x14ac:dyDescent="0.3">
      <c r="A3">
        <v>807</v>
      </c>
      <c r="B3" t="s">
        <v>962</v>
      </c>
      <c r="C3" t="s">
        <v>968</v>
      </c>
      <c r="D3" t="s">
        <v>969</v>
      </c>
      <c r="E3" t="s">
        <v>970</v>
      </c>
      <c r="F3" t="s">
        <v>971</v>
      </c>
      <c r="G3" t="s">
        <v>972</v>
      </c>
    </row>
    <row r="4" spans="1:7" x14ac:dyDescent="0.3">
      <c r="A4">
        <v>806</v>
      </c>
      <c r="B4" t="s">
        <v>962</v>
      </c>
      <c r="C4" t="s">
        <v>963</v>
      </c>
      <c r="D4" t="s">
        <v>969</v>
      </c>
      <c r="E4" t="s">
        <v>973</v>
      </c>
      <c r="F4" t="s">
        <v>974</v>
      </c>
      <c r="G4" t="s">
        <v>975</v>
      </c>
    </row>
    <row r="5" spans="1:7" x14ac:dyDescent="0.3">
      <c r="A5">
        <v>805</v>
      </c>
      <c r="B5" t="s">
        <v>962</v>
      </c>
      <c r="C5" t="s">
        <v>963</v>
      </c>
      <c r="D5" t="s">
        <v>964</v>
      </c>
      <c r="E5" t="s">
        <v>976</v>
      </c>
      <c r="F5" t="s">
        <v>977</v>
      </c>
      <c r="G5" t="s">
        <v>978</v>
      </c>
    </row>
    <row r="6" spans="1:7" x14ac:dyDescent="0.3">
      <c r="A6">
        <v>804</v>
      </c>
      <c r="B6" t="s">
        <v>962</v>
      </c>
      <c r="C6" t="s">
        <v>963</v>
      </c>
      <c r="D6" t="s">
        <v>964</v>
      </c>
      <c r="E6" t="s">
        <v>979</v>
      </c>
      <c r="F6" t="s">
        <v>980</v>
      </c>
      <c r="G6" t="s">
        <v>981</v>
      </c>
    </row>
    <row r="7" spans="1:7" x14ac:dyDescent="0.3">
      <c r="A7">
        <v>803</v>
      </c>
      <c r="B7" t="s">
        <v>962</v>
      </c>
      <c r="C7" t="s">
        <v>968</v>
      </c>
      <c r="D7" t="s">
        <v>964</v>
      </c>
      <c r="E7" t="s">
        <v>982</v>
      </c>
      <c r="F7" t="s">
        <v>980</v>
      </c>
      <c r="G7" t="s">
        <v>983</v>
      </c>
    </row>
    <row r="8" spans="1:7" x14ac:dyDescent="0.3">
      <c r="A8">
        <v>802</v>
      </c>
      <c r="B8" t="s">
        <v>962</v>
      </c>
      <c r="C8" t="s">
        <v>963</v>
      </c>
      <c r="D8" t="s">
        <v>964</v>
      </c>
      <c r="E8" t="s">
        <v>984</v>
      </c>
      <c r="F8" t="s">
        <v>985</v>
      </c>
      <c r="G8" t="s">
        <v>986</v>
      </c>
    </row>
    <row r="9" spans="1:7" x14ac:dyDescent="0.3">
      <c r="A9">
        <v>801</v>
      </c>
      <c r="B9" t="s">
        <v>962</v>
      </c>
      <c r="C9" t="s">
        <v>963</v>
      </c>
      <c r="D9" t="s">
        <v>964</v>
      </c>
      <c r="E9" t="s">
        <v>987</v>
      </c>
      <c r="F9" t="s">
        <v>988</v>
      </c>
      <c r="G9" t="s">
        <v>989</v>
      </c>
    </row>
    <row r="10" spans="1:7" x14ac:dyDescent="0.3">
      <c r="A10">
        <v>800</v>
      </c>
      <c r="B10" t="s">
        <v>962</v>
      </c>
      <c r="C10" t="s">
        <v>963</v>
      </c>
      <c r="D10" t="s">
        <v>969</v>
      </c>
      <c r="E10" t="s">
        <v>990</v>
      </c>
      <c r="F10" t="s">
        <v>991</v>
      </c>
      <c r="G10" t="s">
        <v>992</v>
      </c>
    </row>
    <row r="11" spans="1:7" x14ac:dyDescent="0.3">
      <c r="A11">
        <v>799</v>
      </c>
      <c r="B11" t="s">
        <v>962</v>
      </c>
      <c r="C11" t="s">
        <v>968</v>
      </c>
      <c r="D11" t="s">
        <v>969</v>
      </c>
      <c r="E11" t="s">
        <v>993</v>
      </c>
      <c r="F11" t="s">
        <v>994</v>
      </c>
      <c r="G11" t="s">
        <v>995</v>
      </c>
    </row>
    <row r="12" spans="1:7" x14ac:dyDescent="0.3">
      <c r="A12">
        <v>798</v>
      </c>
      <c r="B12" t="s">
        <v>962</v>
      </c>
      <c r="C12" t="s">
        <v>963</v>
      </c>
      <c r="D12" t="s">
        <v>996</v>
      </c>
      <c r="E12" t="s">
        <v>997</v>
      </c>
      <c r="F12" t="s">
        <v>998</v>
      </c>
      <c r="G12" t="s">
        <v>999</v>
      </c>
    </row>
    <row r="13" spans="1:7" x14ac:dyDescent="0.3">
      <c r="A13">
        <v>797</v>
      </c>
      <c r="B13" t="s">
        <v>962</v>
      </c>
      <c r="C13" t="s">
        <v>963</v>
      </c>
      <c r="D13" t="s">
        <v>964</v>
      </c>
      <c r="E13" t="s">
        <v>1000</v>
      </c>
      <c r="F13" t="s">
        <v>1001</v>
      </c>
      <c r="G13" t="s">
        <v>1002</v>
      </c>
    </row>
    <row r="14" spans="1:7" x14ac:dyDescent="0.3">
      <c r="A14">
        <v>796</v>
      </c>
      <c r="B14" t="s">
        <v>962</v>
      </c>
      <c r="C14" t="s">
        <v>968</v>
      </c>
      <c r="D14" t="s">
        <v>964</v>
      </c>
      <c r="E14" t="s">
        <v>1003</v>
      </c>
      <c r="F14" t="s">
        <v>985</v>
      </c>
      <c r="G14" t="s">
        <v>1004</v>
      </c>
    </row>
    <row r="15" spans="1:7" x14ac:dyDescent="0.3">
      <c r="A15">
        <v>795</v>
      </c>
      <c r="B15" t="s">
        <v>962</v>
      </c>
      <c r="C15" t="s">
        <v>963</v>
      </c>
      <c r="D15" t="s">
        <v>964</v>
      </c>
      <c r="E15" t="s">
        <v>1005</v>
      </c>
      <c r="F15" t="s">
        <v>1006</v>
      </c>
      <c r="G15" t="s">
        <v>1007</v>
      </c>
    </row>
    <row r="16" spans="1:7" x14ac:dyDescent="0.3">
      <c r="A16">
        <v>794</v>
      </c>
      <c r="B16" t="s">
        <v>962</v>
      </c>
      <c r="C16" t="s">
        <v>968</v>
      </c>
      <c r="D16" t="s">
        <v>969</v>
      </c>
      <c r="E16" t="s">
        <v>1008</v>
      </c>
      <c r="F16" t="s">
        <v>1009</v>
      </c>
      <c r="G16" t="s">
        <v>1010</v>
      </c>
    </row>
    <row r="17" spans="1:7" x14ac:dyDescent="0.3">
      <c r="A17">
        <v>793</v>
      </c>
      <c r="B17" t="s">
        <v>962</v>
      </c>
      <c r="C17" t="s">
        <v>963</v>
      </c>
      <c r="D17" t="s">
        <v>969</v>
      </c>
      <c r="E17" t="s">
        <v>1011</v>
      </c>
      <c r="F17" t="s">
        <v>1012</v>
      </c>
      <c r="G17" t="s">
        <v>1013</v>
      </c>
    </row>
    <row r="18" spans="1:7" x14ac:dyDescent="0.3">
      <c r="A18">
        <v>792</v>
      </c>
      <c r="B18" t="s">
        <v>962</v>
      </c>
      <c r="C18" t="s">
        <v>968</v>
      </c>
      <c r="D18" t="s">
        <v>969</v>
      </c>
      <c r="E18" t="s">
        <v>1014</v>
      </c>
      <c r="F18" t="s">
        <v>1015</v>
      </c>
      <c r="G18" t="s">
        <v>1016</v>
      </c>
    </row>
    <row r="19" spans="1:7" x14ac:dyDescent="0.3">
      <c r="A19">
        <v>791</v>
      </c>
      <c r="B19" t="s">
        <v>962</v>
      </c>
      <c r="C19" t="s">
        <v>963</v>
      </c>
      <c r="D19" t="s">
        <v>969</v>
      </c>
      <c r="E19" t="s">
        <v>1017</v>
      </c>
      <c r="F19" t="s">
        <v>1018</v>
      </c>
      <c r="G19" t="s">
        <v>1019</v>
      </c>
    </row>
    <row r="20" spans="1:7" x14ac:dyDescent="0.3">
      <c r="A20">
        <v>790</v>
      </c>
      <c r="B20" t="s">
        <v>962</v>
      </c>
      <c r="C20" t="s">
        <v>1020</v>
      </c>
      <c r="D20" t="s">
        <v>996</v>
      </c>
      <c r="E20" t="s">
        <v>1021</v>
      </c>
      <c r="F20" t="s">
        <v>1022</v>
      </c>
      <c r="G20" t="s">
        <v>1023</v>
      </c>
    </row>
    <row r="21" spans="1:7" x14ac:dyDescent="0.3">
      <c r="A21">
        <v>789</v>
      </c>
      <c r="B21" t="s">
        <v>962</v>
      </c>
      <c r="C21" t="s">
        <v>963</v>
      </c>
      <c r="D21" t="s">
        <v>964</v>
      </c>
      <c r="E21" t="s">
        <v>1024</v>
      </c>
      <c r="F21" t="s">
        <v>1025</v>
      </c>
      <c r="G21" t="s">
        <v>1026</v>
      </c>
    </row>
    <row r="22" spans="1:7" x14ac:dyDescent="0.3">
      <c r="A22">
        <v>788</v>
      </c>
      <c r="B22" t="s">
        <v>962</v>
      </c>
      <c r="C22" t="s">
        <v>968</v>
      </c>
      <c r="D22" t="s">
        <v>964</v>
      </c>
      <c r="E22" t="s">
        <v>1027</v>
      </c>
      <c r="F22" t="s">
        <v>1025</v>
      </c>
      <c r="G22" t="s">
        <v>1028</v>
      </c>
    </row>
    <row r="23" spans="1:7" x14ac:dyDescent="0.3">
      <c r="A23">
        <v>787</v>
      </c>
      <c r="B23" t="s">
        <v>962</v>
      </c>
      <c r="C23" t="s">
        <v>1020</v>
      </c>
      <c r="D23" t="s">
        <v>969</v>
      </c>
      <c r="E23" t="s">
        <v>1029</v>
      </c>
      <c r="F23" t="s">
        <v>1030</v>
      </c>
      <c r="G23" t="s">
        <v>1031</v>
      </c>
    </row>
    <row r="24" spans="1:7" x14ac:dyDescent="0.3">
      <c r="A24">
        <v>786</v>
      </c>
      <c r="B24" t="s">
        <v>962</v>
      </c>
      <c r="C24" t="s">
        <v>1020</v>
      </c>
      <c r="D24" t="s">
        <v>969</v>
      </c>
      <c r="E24" t="s">
        <v>1032</v>
      </c>
      <c r="F24" t="s">
        <v>1033</v>
      </c>
      <c r="G24" t="s">
        <v>1034</v>
      </c>
    </row>
    <row r="25" spans="1:7" x14ac:dyDescent="0.3">
      <c r="A25">
        <v>785</v>
      </c>
      <c r="B25" t="s">
        <v>962</v>
      </c>
      <c r="C25" t="s">
        <v>968</v>
      </c>
      <c r="D25" t="s">
        <v>969</v>
      </c>
      <c r="E25" t="s">
        <v>1035</v>
      </c>
      <c r="F25" t="s">
        <v>1036</v>
      </c>
      <c r="G25" t="s">
        <v>1037</v>
      </c>
    </row>
    <row r="26" spans="1:7" x14ac:dyDescent="0.3">
      <c r="A26">
        <v>784</v>
      </c>
      <c r="B26" t="s">
        <v>962</v>
      </c>
      <c r="C26" t="s">
        <v>1020</v>
      </c>
      <c r="D26" t="s">
        <v>969</v>
      </c>
      <c r="E26" t="s">
        <v>1038</v>
      </c>
      <c r="F26" t="s">
        <v>1039</v>
      </c>
      <c r="G26" t="s">
        <v>1040</v>
      </c>
    </row>
    <row r="27" spans="1:7" x14ac:dyDescent="0.3">
      <c r="A27">
        <v>783</v>
      </c>
      <c r="B27" t="s">
        <v>962</v>
      </c>
      <c r="C27" t="s">
        <v>963</v>
      </c>
      <c r="D27" t="s">
        <v>964</v>
      </c>
      <c r="E27" t="s">
        <v>1041</v>
      </c>
      <c r="F27" t="s">
        <v>1042</v>
      </c>
      <c r="G27" t="s">
        <v>1043</v>
      </c>
    </row>
    <row r="28" spans="1:7" x14ac:dyDescent="0.3">
      <c r="A28">
        <v>782</v>
      </c>
      <c r="B28" t="s">
        <v>962</v>
      </c>
      <c r="C28" t="s">
        <v>968</v>
      </c>
      <c r="D28" t="s">
        <v>964</v>
      </c>
      <c r="E28" t="s">
        <v>1044</v>
      </c>
      <c r="F28" t="s">
        <v>1042</v>
      </c>
      <c r="G28" t="s">
        <v>1045</v>
      </c>
    </row>
    <row r="29" spans="1:7" x14ac:dyDescent="0.3">
      <c r="A29">
        <v>781</v>
      </c>
      <c r="B29" t="s">
        <v>962</v>
      </c>
      <c r="C29" t="s">
        <v>968</v>
      </c>
      <c r="D29" t="s">
        <v>969</v>
      </c>
      <c r="E29" t="s">
        <v>1046</v>
      </c>
      <c r="F29" t="s">
        <v>1047</v>
      </c>
      <c r="G29" t="s">
        <v>1048</v>
      </c>
    </row>
    <row r="30" spans="1:7" x14ac:dyDescent="0.3">
      <c r="A30">
        <v>780</v>
      </c>
      <c r="B30" t="s">
        <v>962</v>
      </c>
      <c r="C30" t="s">
        <v>1020</v>
      </c>
      <c r="D30" t="s">
        <v>969</v>
      </c>
      <c r="E30" t="s">
        <v>1049</v>
      </c>
      <c r="F30" t="s">
        <v>1050</v>
      </c>
      <c r="G30" t="s">
        <v>1051</v>
      </c>
    </row>
    <row r="31" spans="1:7" x14ac:dyDescent="0.3">
      <c r="A31">
        <v>779</v>
      </c>
      <c r="B31" t="s">
        <v>962</v>
      </c>
      <c r="C31" t="s">
        <v>1020</v>
      </c>
      <c r="D31" t="s">
        <v>969</v>
      </c>
      <c r="E31" t="s">
        <v>1052</v>
      </c>
      <c r="F31" t="s">
        <v>1053</v>
      </c>
      <c r="G31" t="s">
        <v>1054</v>
      </c>
    </row>
    <row r="32" spans="1:7" x14ac:dyDescent="0.3">
      <c r="A32">
        <v>778</v>
      </c>
      <c r="B32" t="s">
        <v>962</v>
      </c>
      <c r="C32" t="s">
        <v>1020</v>
      </c>
      <c r="D32" t="s">
        <v>969</v>
      </c>
      <c r="E32" t="s">
        <v>1055</v>
      </c>
      <c r="F32" t="s">
        <v>1056</v>
      </c>
      <c r="G32" t="s">
        <v>1057</v>
      </c>
    </row>
    <row r="33" spans="1:7" x14ac:dyDescent="0.3">
      <c r="A33">
        <v>777</v>
      </c>
      <c r="B33" t="s">
        <v>962</v>
      </c>
      <c r="C33" t="s">
        <v>963</v>
      </c>
      <c r="D33" t="s">
        <v>964</v>
      </c>
      <c r="E33" t="s">
        <v>1058</v>
      </c>
      <c r="F33" t="s">
        <v>1059</v>
      </c>
      <c r="G33" t="s">
        <v>1060</v>
      </c>
    </row>
    <row r="34" spans="1:7" x14ac:dyDescent="0.3">
      <c r="A34">
        <v>776</v>
      </c>
      <c r="B34" t="s">
        <v>962</v>
      </c>
      <c r="C34" t="s">
        <v>968</v>
      </c>
      <c r="D34" t="s">
        <v>969</v>
      </c>
      <c r="E34" t="s">
        <v>1061</v>
      </c>
      <c r="F34" t="s">
        <v>1062</v>
      </c>
      <c r="G34" t="s">
        <v>1063</v>
      </c>
    </row>
    <row r="35" spans="1:7" x14ac:dyDescent="0.3">
      <c r="A35">
        <v>775</v>
      </c>
      <c r="B35" t="s">
        <v>962</v>
      </c>
      <c r="C35" t="s">
        <v>1020</v>
      </c>
      <c r="D35" t="s">
        <v>969</v>
      </c>
      <c r="E35" t="s">
        <v>1064</v>
      </c>
      <c r="F35" t="s">
        <v>1065</v>
      </c>
      <c r="G35" t="s">
        <v>1066</v>
      </c>
    </row>
    <row r="36" spans="1:7" x14ac:dyDescent="0.3">
      <c r="A36">
        <v>774</v>
      </c>
      <c r="B36" t="s">
        <v>962</v>
      </c>
      <c r="C36" t="s">
        <v>968</v>
      </c>
      <c r="D36" t="s">
        <v>964</v>
      </c>
      <c r="E36" t="s">
        <v>1067</v>
      </c>
      <c r="F36" t="s">
        <v>1068</v>
      </c>
      <c r="G36" t="s">
        <v>1069</v>
      </c>
    </row>
    <row r="37" spans="1:7" x14ac:dyDescent="0.3">
      <c r="A37">
        <v>773</v>
      </c>
      <c r="B37" t="s">
        <v>962</v>
      </c>
      <c r="C37" t="s">
        <v>1020</v>
      </c>
      <c r="D37" t="s">
        <v>969</v>
      </c>
      <c r="E37" t="s">
        <v>1070</v>
      </c>
      <c r="F37" t="s">
        <v>1071</v>
      </c>
      <c r="G37" t="s">
        <v>1072</v>
      </c>
    </row>
    <row r="38" spans="1:7" x14ac:dyDescent="0.3">
      <c r="A38">
        <v>772</v>
      </c>
      <c r="B38" t="s">
        <v>962</v>
      </c>
      <c r="C38" t="s">
        <v>1020</v>
      </c>
      <c r="D38" t="s">
        <v>969</v>
      </c>
      <c r="E38" t="s">
        <v>1073</v>
      </c>
      <c r="F38" t="s">
        <v>1074</v>
      </c>
      <c r="G38" t="s">
        <v>1075</v>
      </c>
    </row>
    <row r="39" spans="1:7" x14ac:dyDescent="0.3">
      <c r="A39">
        <v>771</v>
      </c>
      <c r="B39" t="s">
        <v>962</v>
      </c>
      <c r="C39" t="s">
        <v>1020</v>
      </c>
      <c r="D39" t="s">
        <v>969</v>
      </c>
      <c r="E39" t="s">
        <v>1076</v>
      </c>
      <c r="F39" t="s">
        <v>1077</v>
      </c>
      <c r="G39" t="s">
        <v>1078</v>
      </c>
    </row>
    <row r="40" spans="1:7" x14ac:dyDescent="0.3">
      <c r="A40">
        <v>770</v>
      </c>
      <c r="B40" t="s">
        <v>962</v>
      </c>
      <c r="C40" t="s">
        <v>968</v>
      </c>
      <c r="D40" t="s">
        <v>969</v>
      </c>
      <c r="E40" t="s">
        <v>1079</v>
      </c>
      <c r="F40" t="s">
        <v>1080</v>
      </c>
      <c r="G40" t="s">
        <v>1081</v>
      </c>
    </row>
    <row r="41" spans="1:7" x14ac:dyDescent="0.3">
      <c r="A41">
        <v>769</v>
      </c>
      <c r="B41" t="s">
        <v>962</v>
      </c>
      <c r="C41" t="s">
        <v>1020</v>
      </c>
      <c r="D41" t="s">
        <v>969</v>
      </c>
      <c r="E41" t="s">
        <v>1082</v>
      </c>
      <c r="F41" t="s">
        <v>1083</v>
      </c>
      <c r="G41" t="s">
        <v>1084</v>
      </c>
    </row>
    <row r="42" spans="1:7" x14ac:dyDescent="0.3">
      <c r="A42">
        <v>768</v>
      </c>
      <c r="B42" t="s">
        <v>962</v>
      </c>
      <c r="C42" t="s">
        <v>968</v>
      </c>
      <c r="D42" t="s">
        <v>969</v>
      </c>
      <c r="E42" t="s">
        <v>1085</v>
      </c>
      <c r="F42" t="s">
        <v>1086</v>
      </c>
      <c r="G42" t="s">
        <v>1087</v>
      </c>
    </row>
    <row r="43" spans="1:7" x14ac:dyDescent="0.3">
      <c r="A43">
        <v>767</v>
      </c>
      <c r="B43" t="s">
        <v>962</v>
      </c>
      <c r="C43" t="s">
        <v>1020</v>
      </c>
      <c r="D43" t="s">
        <v>969</v>
      </c>
      <c r="E43" t="s">
        <v>1088</v>
      </c>
      <c r="F43" t="s">
        <v>1089</v>
      </c>
      <c r="G43" t="s">
        <v>1090</v>
      </c>
    </row>
    <row r="44" spans="1:7" x14ac:dyDescent="0.3">
      <c r="A44">
        <v>766</v>
      </c>
      <c r="B44" t="s">
        <v>962</v>
      </c>
      <c r="C44" t="s">
        <v>1020</v>
      </c>
      <c r="D44" t="s">
        <v>969</v>
      </c>
      <c r="E44" t="s">
        <v>1091</v>
      </c>
      <c r="F44" t="s">
        <v>1092</v>
      </c>
      <c r="G44" t="s">
        <v>1093</v>
      </c>
    </row>
    <row r="45" spans="1:7" x14ac:dyDescent="0.3">
      <c r="A45">
        <v>765</v>
      </c>
      <c r="B45" t="s">
        <v>962</v>
      </c>
      <c r="C45" t="s">
        <v>1020</v>
      </c>
      <c r="D45" t="s">
        <v>969</v>
      </c>
      <c r="E45" t="s">
        <v>1094</v>
      </c>
      <c r="F45" t="s">
        <v>1095</v>
      </c>
      <c r="G45" t="s">
        <v>1096</v>
      </c>
    </row>
    <row r="46" spans="1:7" x14ac:dyDescent="0.3">
      <c r="A46">
        <v>764</v>
      </c>
      <c r="B46" t="s">
        <v>962</v>
      </c>
      <c r="C46" t="s">
        <v>1020</v>
      </c>
      <c r="D46" t="s">
        <v>969</v>
      </c>
      <c r="E46" t="s">
        <v>1097</v>
      </c>
      <c r="F46" t="s">
        <v>1098</v>
      </c>
      <c r="G46" t="s">
        <v>1099</v>
      </c>
    </row>
    <row r="47" spans="1:7" x14ac:dyDescent="0.3">
      <c r="A47">
        <v>763</v>
      </c>
      <c r="B47" t="s">
        <v>962</v>
      </c>
      <c r="C47" t="s">
        <v>1020</v>
      </c>
      <c r="D47" t="s">
        <v>969</v>
      </c>
      <c r="E47" t="s">
        <v>1100</v>
      </c>
      <c r="F47" t="s">
        <v>1101</v>
      </c>
      <c r="G47" t="s">
        <v>1102</v>
      </c>
    </row>
    <row r="48" spans="1:7" x14ac:dyDescent="0.3">
      <c r="A48">
        <v>762</v>
      </c>
      <c r="B48" t="s">
        <v>962</v>
      </c>
      <c r="C48" t="s">
        <v>1020</v>
      </c>
      <c r="D48" t="s">
        <v>969</v>
      </c>
      <c r="E48" t="s">
        <v>1103</v>
      </c>
      <c r="F48" t="s">
        <v>1104</v>
      </c>
      <c r="G48" t="s">
        <v>1105</v>
      </c>
    </row>
    <row r="49" spans="1:7" x14ac:dyDescent="0.3">
      <c r="A49">
        <v>761</v>
      </c>
      <c r="B49" t="s">
        <v>962</v>
      </c>
      <c r="C49" t="s">
        <v>1020</v>
      </c>
      <c r="D49" t="s">
        <v>969</v>
      </c>
      <c r="E49" t="s">
        <v>1106</v>
      </c>
      <c r="F49" t="s">
        <v>1107</v>
      </c>
      <c r="G49" t="s">
        <v>1108</v>
      </c>
    </row>
    <row r="50" spans="1:7" x14ac:dyDescent="0.3">
      <c r="A50">
        <v>760</v>
      </c>
      <c r="B50" t="s">
        <v>962</v>
      </c>
      <c r="C50" t="s">
        <v>1020</v>
      </c>
      <c r="D50" t="s">
        <v>969</v>
      </c>
      <c r="E50" t="s">
        <v>1109</v>
      </c>
      <c r="F50" t="s">
        <v>1110</v>
      </c>
      <c r="G50" t="s">
        <v>1111</v>
      </c>
    </row>
    <row r="51" spans="1:7" x14ac:dyDescent="0.3">
      <c r="A51">
        <v>759</v>
      </c>
      <c r="B51" t="s">
        <v>962</v>
      </c>
      <c r="C51" t="s">
        <v>1020</v>
      </c>
      <c r="D51" t="s">
        <v>969</v>
      </c>
      <c r="E51" t="s">
        <v>1112</v>
      </c>
      <c r="F51" t="s">
        <v>1113</v>
      </c>
      <c r="G51" t="s">
        <v>1114</v>
      </c>
    </row>
    <row r="52" spans="1:7" x14ac:dyDescent="0.3">
      <c r="A52">
        <v>758</v>
      </c>
      <c r="B52" t="s">
        <v>962</v>
      </c>
      <c r="C52" t="s">
        <v>1020</v>
      </c>
      <c r="D52" t="s">
        <v>969</v>
      </c>
      <c r="E52" t="s">
        <v>1115</v>
      </c>
      <c r="F52" t="s">
        <v>1116</v>
      </c>
      <c r="G52" t="s">
        <v>1117</v>
      </c>
    </row>
    <row r="53" spans="1:7" x14ac:dyDescent="0.3">
      <c r="A53">
        <v>757</v>
      </c>
      <c r="B53" t="s">
        <v>962</v>
      </c>
      <c r="C53" t="s">
        <v>963</v>
      </c>
      <c r="D53" t="s">
        <v>969</v>
      </c>
      <c r="E53" t="s">
        <v>1118</v>
      </c>
      <c r="F53" t="s">
        <v>1119</v>
      </c>
      <c r="G53" t="s">
        <v>1120</v>
      </c>
    </row>
    <row r="54" spans="1:7" x14ac:dyDescent="0.3">
      <c r="A54">
        <v>756</v>
      </c>
      <c r="B54" t="s">
        <v>962</v>
      </c>
      <c r="C54" t="s">
        <v>1121</v>
      </c>
      <c r="D54" t="s">
        <v>969</v>
      </c>
      <c r="E54" t="s">
        <v>1122</v>
      </c>
      <c r="F54" t="s">
        <v>1123</v>
      </c>
      <c r="G54" t="s">
        <v>1124</v>
      </c>
    </row>
    <row r="55" spans="1:7" x14ac:dyDescent="0.3">
      <c r="A55">
        <v>755</v>
      </c>
      <c r="B55" t="s">
        <v>962</v>
      </c>
      <c r="C55" t="s">
        <v>1121</v>
      </c>
      <c r="D55" t="s">
        <v>969</v>
      </c>
      <c r="E55" t="s">
        <v>1125</v>
      </c>
      <c r="F55" t="s">
        <v>1126</v>
      </c>
      <c r="G55" t="s">
        <v>1127</v>
      </c>
    </row>
    <row r="56" spans="1:7" x14ac:dyDescent="0.3">
      <c r="A56">
        <v>754</v>
      </c>
      <c r="B56" t="s">
        <v>962</v>
      </c>
      <c r="C56" t="s">
        <v>1020</v>
      </c>
      <c r="D56" t="s">
        <v>969</v>
      </c>
      <c r="E56" t="s">
        <v>1128</v>
      </c>
      <c r="F56" t="s">
        <v>1129</v>
      </c>
      <c r="G56" t="s">
        <v>1130</v>
      </c>
    </row>
    <row r="57" spans="1:7" x14ac:dyDescent="0.3">
      <c r="A57">
        <v>753</v>
      </c>
      <c r="B57" t="s">
        <v>962</v>
      </c>
      <c r="C57" t="s">
        <v>963</v>
      </c>
      <c r="D57" t="s">
        <v>969</v>
      </c>
      <c r="E57" t="s">
        <v>1131</v>
      </c>
      <c r="F57" t="s">
        <v>1132</v>
      </c>
      <c r="G57" t="s">
        <v>1133</v>
      </c>
    </row>
    <row r="58" spans="1:7" x14ac:dyDescent="0.3">
      <c r="A58">
        <v>752</v>
      </c>
      <c r="B58" t="s">
        <v>962</v>
      </c>
      <c r="C58" t="s">
        <v>968</v>
      </c>
      <c r="D58" t="s">
        <v>969</v>
      </c>
      <c r="E58" t="s">
        <v>1134</v>
      </c>
      <c r="F58" t="s">
        <v>1135</v>
      </c>
      <c r="G58" t="s">
        <v>1136</v>
      </c>
    </row>
    <row r="59" spans="1:7" x14ac:dyDescent="0.3">
      <c r="A59">
        <v>751</v>
      </c>
      <c r="B59" t="s">
        <v>962</v>
      </c>
      <c r="C59" t="s">
        <v>1020</v>
      </c>
      <c r="D59" t="s">
        <v>969</v>
      </c>
      <c r="E59" t="s">
        <v>1137</v>
      </c>
      <c r="F59" t="s">
        <v>1138</v>
      </c>
      <c r="G59" t="s">
        <v>1139</v>
      </c>
    </row>
    <row r="60" spans="1:7" x14ac:dyDescent="0.3">
      <c r="A60">
        <v>750</v>
      </c>
      <c r="B60" t="s">
        <v>962</v>
      </c>
      <c r="C60" t="s">
        <v>1020</v>
      </c>
      <c r="D60" t="s">
        <v>969</v>
      </c>
      <c r="E60" t="s">
        <v>1140</v>
      </c>
      <c r="F60" t="s">
        <v>1141</v>
      </c>
      <c r="G60" t="s">
        <v>1142</v>
      </c>
    </row>
    <row r="61" spans="1:7" x14ac:dyDescent="0.3">
      <c r="A61">
        <v>749</v>
      </c>
      <c r="B61" t="s">
        <v>962</v>
      </c>
      <c r="C61" t="s">
        <v>968</v>
      </c>
      <c r="D61" t="s">
        <v>969</v>
      </c>
      <c r="E61" t="s">
        <v>1143</v>
      </c>
      <c r="F61" t="s">
        <v>1144</v>
      </c>
      <c r="G61" t="s">
        <v>1145</v>
      </c>
    </row>
    <row r="62" spans="1:7" x14ac:dyDescent="0.3">
      <c r="A62">
        <v>748</v>
      </c>
      <c r="B62" t="s">
        <v>962</v>
      </c>
      <c r="C62" t="s">
        <v>1020</v>
      </c>
      <c r="D62" t="s">
        <v>969</v>
      </c>
      <c r="E62" t="s">
        <v>1146</v>
      </c>
      <c r="F62" t="s">
        <v>1147</v>
      </c>
      <c r="G62" t="s">
        <v>1148</v>
      </c>
    </row>
    <row r="63" spans="1:7" x14ac:dyDescent="0.3">
      <c r="A63">
        <v>747</v>
      </c>
      <c r="B63" t="s">
        <v>962</v>
      </c>
      <c r="C63" t="s">
        <v>1020</v>
      </c>
      <c r="D63" t="s">
        <v>969</v>
      </c>
      <c r="E63" t="s">
        <v>1149</v>
      </c>
      <c r="F63" t="s">
        <v>1150</v>
      </c>
      <c r="G63" t="s">
        <v>1151</v>
      </c>
    </row>
    <row r="64" spans="1:7" x14ac:dyDescent="0.3">
      <c r="A64">
        <v>746</v>
      </c>
      <c r="B64" t="s">
        <v>962</v>
      </c>
      <c r="C64" t="s">
        <v>1020</v>
      </c>
      <c r="D64" t="s">
        <v>969</v>
      </c>
      <c r="E64" t="s">
        <v>1152</v>
      </c>
      <c r="F64" t="s">
        <v>1153</v>
      </c>
      <c r="G64" t="s">
        <v>1154</v>
      </c>
    </row>
    <row r="65" spans="1:7" x14ac:dyDescent="0.3">
      <c r="A65">
        <v>745</v>
      </c>
      <c r="B65" t="s">
        <v>962</v>
      </c>
      <c r="C65" t="s">
        <v>968</v>
      </c>
      <c r="D65" t="s">
        <v>969</v>
      </c>
      <c r="E65" t="s">
        <v>1155</v>
      </c>
      <c r="F65" t="s">
        <v>1156</v>
      </c>
      <c r="G65" t="s">
        <v>1157</v>
      </c>
    </row>
    <row r="66" spans="1:7" x14ac:dyDescent="0.3">
      <c r="A66">
        <v>744</v>
      </c>
      <c r="B66" t="s">
        <v>962</v>
      </c>
      <c r="C66" t="s">
        <v>1020</v>
      </c>
      <c r="D66" t="s">
        <v>969</v>
      </c>
      <c r="E66" t="s">
        <v>1158</v>
      </c>
      <c r="F66" t="s">
        <v>1159</v>
      </c>
      <c r="G66" t="s">
        <v>1160</v>
      </c>
    </row>
    <row r="67" spans="1:7" x14ac:dyDescent="0.3">
      <c r="A67">
        <v>743</v>
      </c>
      <c r="B67" t="s">
        <v>962</v>
      </c>
      <c r="C67" t="s">
        <v>1161</v>
      </c>
      <c r="D67" t="s">
        <v>969</v>
      </c>
      <c r="E67" t="s">
        <v>1162</v>
      </c>
      <c r="F67" t="s">
        <v>1163</v>
      </c>
      <c r="G67" t="s">
        <v>1164</v>
      </c>
    </row>
    <row r="68" spans="1:7" x14ac:dyDescent="0.3">
      <c r="A68">
        <v>742</v>
      </c>
      <c r="B68" t="s">
        <v>962</v>
      </c>
      <c r="C68" t="s">
        <v>963</v>
      </c>
      <c r="D68" t="s">
        <v>964</v>
      </c>
      <c r="E68" t="s">
        <v>1165</v>
      </c>
      <c r="F68" t="s">
        <v>1166</v>
      </c>
      <c r="G68" t="s">
        <v>1167</v>
      </c>
    </row>
    <row r="69" spans="1:7" x14ac:dyDescent="0.3">
      <c r="A69">
        <v>741</v>
      </c>
      <c r="B69" t="s">
        <v>962</v>
      </c>
      <c r="C69" t="s">
        <v>968</v>
      </c>
      <c r="D69" t="s">
        <v>964</v>
      </c>
      <c r="E69" t="s">
        <v>1168</v>
      </c>
      <c r="F69" t="s">
        <v>1166</v>
      </c>
      <c r="G69" t="s">
        <v>1169</v>
      </c>
    </row>
    <row r="70" spans="1:7" x14ac:dyDescent="0.3">
      <c r="A70">
        <v>740</v>
      </c>
      <c r="B70" t="s">
        <v>962</v>
      </c>
      <c r="C70" t="s">
        <v>1121</v>
      </c>
      <c r="D70" t="s">
        <v>969</v>
      </c>
      <c r="E70" t="s">
        <v>1170</v>
      </c>
      <c r="F70" t="s">
        <v>1171</v>
      </c>
      <c r="G70" t="s">
        <v>1172</v>
      </c>
    </row>
    <row r="71" spans="1:7" x14ac:dyDescent="0.3">
      <c r="A71">
        <v>739</v>
      </c>
      <c r="B71" t="s">
        <v>962</v>
      </c>
      <c r="C71" t="s">
        <v>963</v>
      </c>
      <c r="D71" t="s">
        <v>969</v>
      </c>
      <c r="E71" t="s">
        <v>1173</v>
      </c>
      <c r="F71" t="s">
        <v>1174</v>
      </c>
      <c r="G71" t="s">
        <v>1175</v>
      </c>
    </row>
    <row r="72" spans="1:7" x14ac:dyDescent="0.3">
      <c r="A72">
        <v>738</v>
      </c>
      <c r="B72" t="s">
        <v>962</v>
      </c>
      <c r="C72" t="s">
        <v>968</v>
      </c>
      <c r="D72" t="s">
        <v>969</v>
      </c>
      <c r="E72" t="s">
        <v>1176</v>
      </c>
      <c r="F72" t="s">
        <v>1177</v>
      </c>
      <c r="G72" t="s">
        <v>1178</v>
      </c>
    </row>
    <row r="73" spans="1:7" x14ac:dyDescent="0.3">
      <c r="A73">
        <v>737</v>
      </c>
      <c r="B73" t="s">
        <v>962</v>
      </c>
      <c r="C73" t="s">
        <v>1020</v>
      </c>
      <c r="D73" t="s">
        <v>969</v>
      </c>
      <c r="E73" t="s">
        <v>1179</v>
      </c>
      <c r="F73" t="s">
        <v>1180</v>
      </c>
      <c r="G73" t="s">
        <v>1181</v>
      </c>
    </row>
    <row r="74" spans="1:7" x14ac:dyDescent="0.3">
      <c r="A74">
        <v>736</v>
      </c>
      <c r="B74" t="s">
        <v>962</v>
      </c>
      <c r="C74" t="s">
        <v>1020</v>
      </c>
      <c r="D74" t="s">
        <v>969</v>
      </c>
      <c r="E74" t="s">
        <v>1182</v>
      </c>
      <c r="F74" t="s">
        <v>1183</v>
      </c>
      <c r="G74" t="s">
        <v>1184</v>
      </c>
    </row>
    <row r="75" spans="1:7" x14ac:dyDescent="0.3">
      <c r="A75">
        <v>735</v>
      </c>
      <c r="B75" t="s">
        <v>962</v>
      </c>
      <c r="C75" t="s">
        <v>1020</v>
      </c>
      <c r="D75" t="s">
        <v>969</v>
      </c>
      <c r="E75" t="s">
        <v>1185</v>
      </c>
      <c r="F75" t="s">
        <v>1186</v>
      </c>
      <c r="G75" t="s">
        <v>1187</v>
      </c>
    </row>
    <row r="76" spans="1:7" x14ac:dyDescent="0.3">
      <c r="A76">
        <v>734</v>
      </c>
      <c r="B76" t="s">
        <v>962</v>
      </c>
      <c r="C76" t="s">
        <v>1020</v>
      </c>
      <c r="D76" t="s">
        <v>969</v>
      </c>
      <c r="E76" t="s">
        <v>1188</v>
      </c>
      <c r="F76" t="s">
        <v>1189</v>
      </c>
      <c r="G76" t="s">
        <v>1190</v>
      </c>
    </row>
    <row r="77" spans="1:7" x14ac:dyDescent="0.3">
      <c r="A77">
        <v>733</v>
      </c>
      <c r="B77" t="s">
        <v>962</v>
      </c>
      <c r="C77" t="s">
        <v>1020</v>
      </c>
      <c r="D77" t="s">
        <v>969</v>
      </c>
      <c r="E77" t="s">
        <v>1191</v>
      </c>
      <c r="F77" t="s">
        <v>1192</v>
      </c>
      <c r="G77" t="s">
        <v>1193</v>
      </c>
    </row>
    <row r="78" spans="1:7" x14ac:dyDescent="0.3">
      <c r="A78">
        <v>732</v>
      </c>
      <c r="B78" t="s">
        <v>962</v>
      </c>
      <c r="C78" t="s">
        <v>968</v>
      </c>
      <c r="D78" t="s">
        <v>969</v>
      </c>
      <c r="E78" t="s">
        <v>1194</v>
      </c>
      <c r="F78" t="s">
        <v>1195</v>
      </c>
      <c r="G78" t="s">
        <v>1196</v>
      </c>
    </row>
    <row r="79" spans="1:7" x14ac:dyDescent="0.3">
      <c r="A79">
        <v>731</v>
      </c>
      <c r="B79" t="s">
        <v>962</v>
      </c>
      <c r="C79" t="s">
        <v>963</v>
      </c>
      <c r="D79" t="s">
        <v>964</v>
      </c>
      <c r="E79" t="s">
        <v>1197</v>
      </c>
      <c r="F79" t="s">
        <v>1198</v>
      </c>
      <c r="G79" t="s">
        <v>1199</v>
      </c>
    </row>
    <row r="80" spans="1:7" x14ac:dyDescent="0.3">
      <c r="A80">
        <v>730</v>
      </c>
      <c r="B80" t="s">
        <v>962</v>
      </c>
      <c r="C80" t="s">
        <v>968</v>
      </c>
      <c r="D80" t="s">
        <v>964</v>
      </c>
      <c r="E80" t="s">
        <v>1200</v>
      </c>
      <c r="F80" t="s">
        <v>1198</v>
      </c>
      <c r="G80" t="s">
        <v>1201</v>
      </c>
    </row>
    <row r="81" spans="1:7" x14ac:dyDescent="0.3">
      <c r="A81">
        <v>729</v>
      </c>
      <c r="B81" t="s">
        <v>962</v>
      </c>
      <c r="C81" t="s">
        <v>1121</v>
      </c>
      <c r="D81" t="s">
        <v>969</v>
      </c>
      <c r="E81" t="s">
        <v>1202</v>
      </c>
      <c r="F81" t="s">
        <v>1203</v>
      </c>
      <c r="G81" t="s">
        <v>1204</v>
      </c>
    </row>
    <row r="82" spans="1:7" x14ac:dyDescent="0.3">
      <c r="A82">
        <v>728</v>
      </c>
      <c r="B82" t="s">
        <v>962</v>
      </c>
      <c r="C82" t="s">
        <v>968</v>
      </c>
      <c r="D82" t="s">
        <v>969</v>
      </c>
      <c r="E82" t="s">
        <v>1205</v>
      </c>
      <c r="F82" t="s">
        <v>1206</v>
      </c>
      <c r="G82" t="s">
        <v>1207</v>
      </c>
    </row>
    <row r="83" spans="1:7" x14ac:dyDescent="0.3">
      <c r="A83">
        <v>727</v>
      </c>
      <c r="B83" t="s">
        <v>962</v>
      </c>
      <c r="C83" t="s">
        <v>1020</v>
      </c>
      <c r="D83" t="s">
        <v>969</v>
      </c>
      <c r="E83" t="s">
        <v>1208</v>
      </c>
      <c r="F83" t="s">
        <v>1209</v>
      </c>
      <c r="G83" t="s">
        <v>1210</v>
      </c>
    </row>
    <row r="84" spans="1:7" x14ac:dyDescent="0.3">
      <c r="A84">
        <v>726</v>
      </c>
      <c r="B84" t="s">
        <v>962</v>
      </c>
      <c r="C84" t="s">
        <v>968</v>
      </c>
      <c r="D84" t="s">
        <v>969</v>
      </c>
      <c r="E84" t="s">
        <v>1211</v>
      </c>
      <c r="F84" t="s">
        <v>1212</v>
      </c>
      <c r="G84" t="s">
        <v>1213</v>
      </c>
    </row>
    <row r="85" spans="1:7" x14ac:dyDescent="0.3">
      <c r="A85">
        <v>725</v>
      </c>
      <c r="B85" t="s">
        <v>962</v>
      </c>
      <c r="C85" t="s">
        <v>1020</v>
      </c>
      <c r="D85" t="s">
        <v>969</v>
      </c>
      <c r="E85" t="s">
        <v>1214</v>
      </c>
      <c r="F85" t="s">
        <v>1215</v>
      </c>
      <c r="G85" t="s">
        <v>1216</v>
      </c>
    </row>
    <row r="86" spans="1:7" x14ac:dyDescent="0.3">
      <c r="A86">
        <v>724</v>
      </c>
      <c r="B86" t="s">
        <v>962</v>
      </c>
      <c r="C86" t="s">
        <v>968</v>
      </c>
      <c r="D86" t="s">
        <v>969</v>
      </c>
      <c r="E86" t="s">
        <v>1217</v>
      </c>
      <c r="F86" t="s">
        <v>1218</v>
      </c>
      <c r="G86" t="s">
        <v>1219</v>
      </c>
    </row>
    <row r="87" spans="1:7" x14ac:dyDescent="0.3">
      <c r="A87">
        <v>723</v>
      </c>
      <c r="B87" t="s">
        <v>962</v>
      </c>
      <c r="C87" t="s">
        <v>1020</v>
      </c>
      <c r="D87" t="s">
        <v>969</v>
      </c>
      <c r="E87" t="s">
        <v>1220</v>
      </c>
      <c r="F87" t="s">
        <v>1221</v>
      </c>
      <c r="G87" t="s">
        <v>1222</v>
      </c>
    </row>
    <row r="88" spans="1:7" x14ac:dyDescent="0.3">
      <c r="A88">
        <v>722</v>
      </c>
      <c r="B88" t="s">
        <v>962</v>
      </c>
      <c r="C88" t="s">
        <v>1020</v>
      </c>
      <c r="D88" t="s">
        <v>969</v>
      </c>
      <c r="E88" t="s">
        <v>1223</v>
      </c>
      <c r="F88" t="s">
        <v>1224</v>
      </c>
      <c r="G88" t="s">
        <v>1225</v>
      </c>
    </row>
    <row r="89" spans="1:7" x14ac:dyDescent="0.3">
      <c r="A89">
        <v>721</v>
      </c>
      <c r="B89" t="s">
        <v>962</v>
      </c>
      <c r="C89" t="s">
        <v>963</v>
      </c>
      <c r="D89" t="s">
        <v>969</v>
      </c>
      <c r="E89" t="s">
        <v>1226</v>
      </c>
      <c r="F89" t="s">
        <v>1227</v>
      </c>
      <c r="G89" t="s">
        <v>1228</v>
      </c>
    </row>
    <row r="90" spans="1:7" x14ac:dyDescent="0.3">
      <c r="A90">
        <v>720</v>
      </c>
      <c r="B90" t="s">
        <v>962</v>
      </c>
      <c r="C90" t="s">
        <v>963</v>
      </c>
      <c r="D90" t="s">
        <v>964</v>
      </c>
      <c r="E90" t="s">
        <v>1229</v>
      </c>
      <c r="F90" t="s">
        <v>1230</v>
      </c>
      <c r="G90" t="s">
        <v>1231</v>
      </c>
    </row>
    <row r="91" spans="1:7" x14ac:dyDescent="0.3">
      <c r="A91">
        <v>719</v>
      </c>
      <c r="B91" t="s">
        <v>962</v>
      </c>
      <c r="C91" t="s">
        <v>968</v>
      </c>
      <c r="D91" t="s">
        <v>969</v>
      </c>
      <c r="E91" t="s">
        <v>1232</v>
      </c>
      <c r="F91" t="s">
        <v>1233</v>
      </c>
      <c r="G91" t="s">
        <v>1234</v>
      </c>
    </row>
    <row r="92" spans="1:7" x14ac:dyDescent="0.3">
      <c r="A92">
        <v>718</v>
      </c>
      <c r="B92" t="s">
        <v>962</v>
      </c>
      <c r="C92" t="s">
        <v>1020</v>
      </c>
      <c r="D92" t="s">
        <v>969</v>
      </c>
      <c r="E92" t="s">
        <v>1235</v>
      </c>
      <c r="F92" t="s">
        <v>1236</v>
      </c>
      <c r="G92" t="s">
        <v>1237</v>
      </c>
    </row>
    <row r="93" spans="1:7" x14ac:dyDescent="0.3">
      <c r="A93">
        <v>717</v>
      </c>
      <c r="B93" t="s">
        <v>962</v>
      </c>
      <c r="C93" t="s">
        <v>968</v>
      </c>
      <c r="D93" t="s">
        <v>969</v>
      </c>
      <c r="E93" t="s">
        <v>1238</v>
      </c>
      <c r="F93" t="s">
        <v>1239</v>
      </c>
      <c r="G93" t="s">
        <v>1240</v>
      </c>
    </row>
    <row r="94" spans="1:7" x14ac:dyDescent="0.3">
      <c r="A94">
        <v>716</v>
      </c>
      <c r="B94" t="s">
        <v>962</v>
      </c>
      <c r="C94" t="s">
        <v>968</v>
      </c>
      <c r="D94" t="s">
        <v>969</v>
      </c>
      <c r="E94" t="s">
        <v>1241</v>
      </c>
      <c r="F94" t="s">
        <v>1242</v>
      </c>
      <c r="G94" t="s">
        <v>1243</v>
      </c>
    </row>
    <row r="95" spans="1:7" x14ac:dyDescent="0.3">
      <c r="A95">
        <v>715</v>
      </c>
      <c r="B95" t="s">
        <v>962</v>
      </c>
      <c r="C95" t="s">
        <v>1020</v>
      </c>
      <c r="D95" t="s">
        <v>969</v>
      </c>
      <c r="E95" t="s">
        <v>1244</v>
      </c>
      <c r="F95" t="s">
        <v>1245</v>
      </c>
      <c r="G95" t="s">
        <v>1246</v>
      </c>
    </row>
    <row r="96" spans="1:7" x14ac:dyDescent="0.3">
      <c r="A96">
        <v>714</v>
      </c>
      <c r="B96" t="s">
        <v>962</v>
      </c>
      <c r="C96" t="s">
        <v>1121</v>
      </c>
      <c r="D96" t="s">
        <v>969</v>
      </c>
      <c r="E96" t="s">
        <v>1247</v>
      </c>
      <c r="F96" t="s">
        <v>1248</v>
      </c>
      <c r="G96" t="s">
        <v>1249</v>
      </c>
    </row>
    <row r="97" spans="1:7" x14ac:dyDescent="0.3">
      <c r="A97">
        <v>713</v>
      </c>
      <c r="B97" t="s">
        <v>962</v>
      </c>
      <c r="C97" t="s">
        <v>1020</v>
      </c>
      <c r="D97" t="s">
        <v>969</v>
      </c>
      <c r="E97" t="s">
        <v>1250</v>
      </c>
      <c r="F97" t="s">
        <v>1251</v>
      </c>
      <c r="G97" t="s">
        <v>1252</v>
      </c>
    </row>
    <row r="98" spans="1:7" x14ac:dyDescent="0.3">
      <c r="A98">
        <v>712</v>
      </c>
      <c r="B98" t="s">
        <v>962</v>
      </c>
      <c r="C98" t="s">
        <v>1020</v>
      </c>
      <c r="D98" t="s">
        <v>969</v>
      </c>
      <c r="E98" t="s">
        <v>1253</v>
      </c>
      <c r="F98" t="s">
        <v>1015</v>
      </c>
      <c r="G98" t="s">
        <v>1254</v>
      </c>
    </row>
    <row r="99" spans="1:7" x14ac:dyDescent="0.3">
      <c r="A99">
        <v>711</v>
      </c>
      <c r="B99" t="s">
        <v>962</v>
      </c>
      <c r="C99" t="s">
        <v>1020</v>
      </c>
      <c r="D99" t="s">
        <v>969</v>
      </c>
      <c r="E99" t="s">
        <v>1255</v>
      </c>
      <c r="F99" t="s">
        <v>1256</v>
      </c>
      <c r="G99" t="s">
        <v>1257</v>
      </c>
    </row>
    <row r="100" spans="1:7" x14ac:dyDescent="0.3">
      <c r="A100">
        <v>710</v>
      </c>
      <c r="B100" t="s">
        <v>962</v>
      </c>
      <c r="C100" t="s">
        <v>968</v>
      </c>
      <c r="D100" t="s">
        <v>969</v>
      </c>
      <c r="E100" t="s">
        <v>1258</v>
      </c>
      <c r="F100" t="s">
        <v>1259</v>
      </c>
      <c r="G100" t="s">
        <v>1260</v>
      </c>
    </row>
    <row r="101" spans="1:7" x14ac:dyDescent="0.3">
      <c r="A101">
        <v>709</v>
      </c>
      <c r="B101" t="s">
        <v>962</v>
      </c>
      <c r="C101" t="s">
        <v>1020</v>
      </c>
      <c r="D101" t="s">
        <v>969</v>
      </c>
      <c r="E101" t="s">
        <v>1261</v>
      </c>
      <c r="F101" t="s">
        <v>1262</v>
      </c>
      <c r="G101" t="s">
        <v>1263</v>
      </c>
    </row>
    <row r="102" spans="1:7" x14ac:dyDescent="0.3">
      <c r="A102">
        <v>708</v>
      </c>
      <c r="B102" t="s">
        <v>962</v>
      </c>
      <c r="C102" t="s">
        <v>1020</v>
      </c>
      <c r="D102" t="s">
        <v>969</v>
      </c>
      <c r="E102" t="s">
        <v>1264</v>
      </c>
      <c r="F102" t="s">
        <v>1265</v>
      </c>
      <c r="G102" t="s">
        <v>1266</v>
      </c>
    </row>
    <row r="103" spans="1:7" x14ac:dyDescent="0.3">
      <c r="A103">
        <v>707</v>
      </c>
      <c r="B103" t="s">
        <v>962</v>
      </c>
      <c r="C103" t="s">
        <v>968</v>
      </c>
      <c r="D103" t="s">
        <v>969</v>
      </c>
      <c r="E103" t="s">
        <v>1267</v>
      </c>
      <c r="F103" t="s">
        <v>1268</v>
      </c>
      <c r="G103" t="s">
        <v>1269</v>
      </c>
    </row>
    <row r="104" spans="1:7" x14ac:dyDescent="0.3">
      <c r="A104">
        <v>706</v>
      </c>
      <c r="B104" t="s">
        <v>962</v>
      </c>
      <c r="C104" t="s">
        <v>1020</v>
      </c>
      <c r="D104" t="s">
        <v>969</v>
      </c>
      <c r="E104" t="s">
        <v>1270</v>
      </c>
      <c r="F104" t="s">
        <v>1271</v>
      </c>
      <c r="G104" t="s">
        <v>1272</v>
      </c>
    </row>
    <row r="105" spans="1:7" x14ac:dyDescent="0.3">
      <c r="A105">
        <v>705</v>
      </c>
      <c r="B105" t="s">
        <v>962</v>
      </c>
      <c r="C105" t="s">
        <v>968</v>
      </c>
      <c r="D105" t="s">
        <v>969</v>
      </c>
      <c r="E105" t="s">
        <v>1273</v>
      </c>
      <c r="F105" t="s">
        <v>1274</v>
      </c>
      <c r="G105" t="s">
        <v>1275</v>
      </c>
    </row>
    <row r="106" spans="1:7" x14ac:dyDescent="0.3">
      <c r="A106">
        <v>704</v>
      </c>
      <c r="B106" t="s">
        <v>962</v>
      </c>
      <c r="C106" t="s">
        <v>1020</v>
      </c>
      <c r="D106" t="s">
        <v>969</v>
      </c>
      <c r="E106" t="s">
        <v>1276</v>
      </c>
      <c r="F106" t="s">
        <v>1277</v>
      </c>
      <c r="G106" t="s">
        <v>1278</v>
      </c>
    </row>
    <row r="107" spans="1:7" x14ac:dyDescent="0.3">
      <c r="A107">
        <v>703</v>
      </c>
      <c r="B107" t="s">
        <v>962</v>
      </c>
      <c r="C107" t="s">
        <v>968</v>
      </c>
      <c r="D107" t="s">
        <v>969</v>
      </c>
      <c r="E107" t="s">
        <v>1279</v>
      </c>
      <c r="F107" t="s">
        <v>1280</v>
      </c>
      <c r="G107" t="s">
        <v>1281</v>
      </c>
    </row>
    <row r="108" spans="1:7" x14ac:dyDescent="0.3">
      <c r="A108">
        <v>702</v>
      </c>
      <c r="B108" t="s">
        <v>962</v>
      </c>
      <c r="C108" t="s">
        <v>968</v>
      </c>
      <c r="D108" t="s">
        <v>969</v>
      </c>
      <c r="E108" t="s">
        <v>1282</v>
      </c>
      <c r="F108" t="s">
        <v>1283</v>
      </c>
      <c r="G108" t="s">
        <v>1284</v>
      </c>
    </row>
    <row r="109" spans="1:7" x14ac:dyDescent="0.3">
      <c r="A109">
        <v>701</v>
      </c>
      <c r="B109" t="s">
        <v>962</v>
      </c>
      <c r="C109" t="s">
        <v>1020</v>
      </c>
      <c r="D109" t="s">
        <v>969</v>
      </c>
      <c r="E109" t="s">
        <v>1285</v>
      </c>
      <c r="F109" t="s">
        <v>1286</v>
      </c>
      <c r="G109" t="s">
        <v>1287</v>
      </c>
    </row>
    <row r="110" spans="1:7" x14ac:dyDescent="0.3">
      <c r="A110">
        <v>700</v>
      </c>
      <c r="B110" t="s">
        <v>962</v>
      </c>
      <c r="C110" t="s">
        <v>1020</v>
      </c>
      <c r="D110" t="s">
        <v>969</v>
      </c>
      <c r="E110" t="s">
        <v>1288</v>
      </c>
      <c r="F110" t="s">
        <v>1289</v>
      </c>
      <c r="G110" t="s">
        <v>1290</v>
      </c>
    </row>
    <row r="111" spans="1:7" x14ac:dyDescent="0.3">
      <c r="A111">
        <v>699</v>
      </c>
      <c r="B111" t="s">
        <v>962</v>
      </c>
      <c r="C111" t="s">
        <v>1121</v>
      </c>
      <c r="D111" t="s">
        <v>969</v>
      </c>
      <c r="E111" t="s">
        <v>1291</v>
      </c>
      <c r="F111" t="s">
        <v>1292</v>
      </c>
      <c r="G111" t="s">
        <v>1293</v>
      </c>
    </row>
    <row r="112" spans="1:7" x14ac:dyDescent="0.3">
      <c r="A112">
        <v>698</v>
      </c>
      <c r="B112" t="s">
        <v>962</v>
      </c>
      <c r="C112" t="s">
        <v>1161</v>
      </c>
      <c r="D112" t="s">
        <v>969</v>
      </c>
      <c r="E112" t="s">
        <v>1294</v>
      </c>
      <c r="F112" t="s">
        <v>1295</v>
      </c>
      <c r="G112" t="s">
        <v>1296</v>
      </c>
    </row>
    <row r="113" spans="1:7" x14ac:dyDescent="0.3">
      <c r="A113">
        <v>697</v>
      </c>
      <c r="B113" t="s">
        <v>962</v>
      </c>
      <c r="C113" t="s">
        <v>1161</v>
      </c>
      <c r="D113" t="s">
        <v>969</v>
      </c>
      <c r="E113" t="s">
        <v>1297</v>
      </c>
      <c r="F113" t="s">
        <v>1298</v>
      </c>
      <c r="G113" t="s">
        <v>1299</v>
      </c>
    </row>
    <row r="114" spans="1:7" x14ac:dyDescent="0.3">
      <c r="A114">
        <v>696</v>
      </c>
      <c r="B114" t="s">
        <v>962</v>
      </c>
      <c r="C114" t="s">
        <v>1020</v>
      </c>
      <c r="D114" t="s">
        <v>969</v>
      </c>
      <c r="E114" t="s">
        <v>1300</v>
      </c>
      <c r="F114" t="s">
        <v>1301</v>
      </c>
      <c r="G114" t="s">
        <v>1302</v>
      </c>
    </row>
    <row r="115" spans="1:7" x14ac:dyDescent="0.3">
      <c r="A115">
        <v>695</v>
      </c>
      <c r="B115" t="s">
        <v>962</v>
      </c>
      <c r="C115" t="s">
        <v>1020</v>
      </c>
      <c r="D115" t="s">
        <v>969</v>
      </c>
      <c r="E115" t="s">
        <v>1303</v>
      </c>
      <c r="F115" t="s">
        <v>1304</v>
      </c>
      <c r="G115" t="s">
        <v>1305</v>
      </c>
    </row>
    <row r="116" spans="1:7" x14ac:dyDescent="0.3">
      <c r="A116">
        <v>694</v>
      </c>
      <c r="B116" t="s">
        <v>962</v>
      </c>
      <c r="C116" t="s">
        <v>1020</v>
      </c>
      <c r="D116" t="s">
        <v>969</v>
      </c>
      <c r="E116" t="s">
        <v>1306</v>
      </c>
      <c r="F116" t="s">
        <v>1307</v>
      </c>
      <c r="G116" t="s">
        <v>1308</v>
      </c>
    </row>
    <row r="117" spans="1:7" x14ac:dyDescent="0.3">
      <c r="A117">
        <v>693</v>
      </c>
      <c r="B117" t="s">
        <v>962</v>
      </c>
      <c r="C117" t="s">
        <v>1020</v>
      </c>
      <c r="D117" t="s">
        <v>969</v>
      </c>
      <c r="E117" t="s">
        <v>1309</v>
      </c>
      <c r="F117" t="s">
        <v>1310</v>
      </c>
      <c r="G117" t="s">
        <v>1311</v>
      </c>
    </row>
    <row r="118" spans="1:7" x14ac:dyDescent="0.3">
      <c r="A118">
        <v>692</v>
      </c>
      <c r="B118" t="s">
        <v>962</v>
      </c>
      <c r="C118" t="s">
        <v>1020</v>
      </c>
      <c r="D118" t="s">
        <v>969</v>
      </c>
      <c r="E118" t="s">
        <v>1312</v>
      </c>
      <c r="F118" t="s">
        <v>1313</v>
      </c>
      <c r="G118" t="s">
        <v>1314</v>
      </c>
    </row>
    <row r="119" spans="1:7" x14ac:dyDescent="0.3">
      <c r="A119">
        <v>691</v>
      </c>
      <c r="B119" t="s">
        <v>962</v>
      </c>
      <c r="C119" t="s">
        <v>1020</v>
      </c>
      <c r="D119" t="s">
        <v>969</v>
      </c>
      <c r="E119" t="s">
        <v>1315</v>
      </c>
      <c r="F119" t="s">
        <v>1316</v>
      </c>
      <c r="G119" t="s">
        <v>1317</v>
      </c>
    </row>
    <row r="120" spans="1:7" x14ac:dyDescent="0.3">
      <c r="A120">
        <v>690</v>
      </c>
      <c r="B120" t="s">
        <v>962</v>
      </c>
      <c r="C120" t="s">
        <v>963</v>
      </c>
      <c r="D120" t="s">
        <v>969</v>
      </c>
      <c r="E120" t="s">
        <v>1318</v>
      </c>
      <c r="F120" t="s">
        <v>1319</v>
      </c>
      <c r="G120" t="s">
        <v>1320</v>
      </c>
    </row>
    <row r="121" spans="1:7" x14ac:dyDescent="0.3">
      <c r="A121">
        <v>689</v>
      </c>
      <c r="B121" t="s">
        <v>962</v>
      </c>
      <c r="C121" t="s">
        <v>1020</v>
      </c>
      <c r="D121" t="s">
        <v>969</v>
      </c>
      <c r="E121" t="s">
        <v>1321</v>
      </c>
      <c r="F121" t="s">
        <v>1322</v>
      </c>
      <c r="G121" t="s">
        <v>1323</v>
      </c>
    </row>
    <row r="123" spans="1:7" x14ac:dyDescent="0.3">
      <c r="A123" s="4" t="s">
        <v>1324</v>
      </c>
      <c r="B123" s="39">
        <v>120</v>
      </c>
    </row>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8C9AF-974E-4876-85CE-32185E868ABD}">
  <sheetPr codeName="Sheet5"/>
  <dimension ref="A1:H25"/>
  <sheetViews>
    <sheetView workbookViewId="0"/>
  </sheetViews>
  <sheetFormatPr defaultRowHeight="16.5" x14ac:dyDescent="0.3"/>
  <cols>
    <col min="1" max="1" width="3.125" customWidth="1"/>
    <col min="2" max="2" width="13.625" customWidth="1"/>
    <col min="3" max="8" width="9.625" customWidth="1"/>
  </cols>
  <sheetData>
    <row r="1" spans="1:8" x14ac:dyDescent="0.3">
      <c r="A1" s="20" t="s">
        <v>952</v>
      </c>
    </row>
    <row r="3" spans="1:8" x14ac:dyDescent="0.3">
      <c r="B3" s="79" t="s">
        <v>953</v>
      </c>
      <c r="C3" s="78"/>
      <c r="D3" s="78"/>
      <c r="E3" s="78"/>
      <c r="F3" s="78"/>
      <c r="G3" s="78"/>
      <c r="H3" s="78"/>
    </row>
    <row r="4" spans="1:8" x14ac:dyDescent="0.3">
      <c r="B4" s="21"/>
      <c r="C4" s="21"/>
      <c r="D4" s="21"/>
      <c r="E4" s="21"/>
      <c r="F4" s="21"/>
      <c r="G4" s="21"/>
      <c r="H4" s="21"/>
    </row>
    <row r="5" spans="1:8" x14ac:dyDescent="0.3">
      <c r="B5" s="78" t="str">
        <f>IF(기초자료입력!C22&lt;&gt;"","평가 안건: "&amp;기초자료입력!C22,"")</f>
        <v/>
      </c>
      <c r="C5" s="78"/>
      <c r="D5" s="78"/>
      <c r="E5" s="78"/>
      <c r="F5" s="78"/>
      <c r="G5" s="78"/>
      <c r="H5" s="78"/>
    </row>
    <row r="6" spans="1:8" x14ac:dyDescent="0.3">
      <c r="B6" s="21"/>
      <c r="C6" s="21"/>
      <c r="D6" s="21"/>
      <c r="E6" s="21"/>
      <c r="F6" s="21"/>
      <c r="G6" s="21"/>
      <c r="H6" s="21"/>
    </row>
    <row r="7" spans="1:8" x14ac:dyDescent="0.3">
      <c r="B7" s="77"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7" s="77"/>
      <c r="D7" s="77"/>
      <c r="E7" s="77"/>
      <c r="F7" s="77"/>
      <c r="G7" s="77"/>
      <c r="H7" s="77"/>
    </row>
    <row r="8" spans="1:8" x14ac:dyDescent="0.3">
      <c r="B8" s="77"/>
      <c r="C8" s="77"/>
      <c r="D8" s="77"/>
      <c r="E8" s="77"/>
      <c r="F8" s="77"/>
      <c r="G8" s="77"/>
      <c r="H8" s="77"/>
    </row>
    <row r="9" spans="1:8" x14ac:dyDescent="0.3">
      <c r="B9" s="21"/>
      <c r="C9" s="21"/>
      <c r="D9" s="21"/>
      <c r="E9" s="21"/>
      <c r="F9" s="21"/>
      <c r="G9" s="21"/>
      <c r="H9" s="21"/>
    </row>
    <row r="10" spans="1:8" ht="33.950000000000003" customHeight="1" x14ac:dyDescent="0.3">
      <c r="B10" s="77" t="str">
        <f>"1. "&amp;IF(기초자료입력!C5&lt;&gt;"",기초자료입력!C5,"20○○")&amp;"학년도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10" s="77"/>
      <c r="D10" s="77"/>
      <c r="E10" s="77"/>
      <c r="F10" s="77"/>
      <c r="G10" s="77"/>
      <c r="H10" s="77"/>
    </row>
    <row r="11" spans="1:8" x14ac:dyDescent="0.3">
      <c r="B11" s="77"/>
      <c r="C11" s="77"/>
      <c r="D11" s="77"/>
      <c r="E11" s="77"/>
      <c r="F11" s="77"/>
      <c r="G11" s="77"/>
      <c r="H11" s="77"/>
    </row>
    <row r="12" spans="1:8" ht="60" customHeight="1" x14ac:dyDescent="0.3">
      <c r="B12" s="77" t="s">
        <v>954</v>
      </c>
      <c r="C12" s="77"/>
      <c r="D12" s="77"/>
      <c r="E12" s="77"/>
      <c r="F12" s="77"/>
      <c r="G12" s="77"/>
      <c r="H12" s="77"/>
    </row>
    <row r="13" spans="1:8" x14ac:dyDescent="0.3">
      <c r="B13" s="77"/>
      <c r="C13" s="77"/>
      <c r="D13" s="77"/>
      <c r="E13" s="77"/>
      <c r="F13" s="77"/>
      <c r="G13" s="77"/>
      <c r="H13" s="77"/>
    </row>
    <row r="14" spans="1:8" ht="33.950000000000003" customHeight="1" x14ac:dyDescent="0.3">
      <c r="B14" s="77" t="s">
        <v>955</v>
      </c>
      <c r="C14" s="77"/>
      <c r="D14" s="77"/>
      <c r="E14" s="77"/>
      <c r="F14" s="77"/>
      <c r="G14" s="77"/>
      <c r="H14" s="77"/>
    </row>
    <row r="15" spans="1:8" x14ac:dyDescent="0.3">
      <c r="B15" s="77"/>
      <c r="C15" s="77"/>
      <c r="D15" s="77"/>
      <c r="E15" s="77"/>
      <c r="F15" s="77"/>
      <c r="G15" s="77"/>
      <c r="H15" s="77"/>
    </row>
    <row r="16" spans="1:8" ht="50.1" customHeight="1" x14ac:dyDescent="0.3">
      <c r="B16" s="77" t="s">
        <v>956</v>
      </c>
      <c r="C16" s="77"/>
      <c r="D16" s="77"/>
      <c r="E16" s="77"/>
      <c r="F16" s="77"/>
      <c r="G16" s="77"/>
      <c r="H16" s="77"/>
    </row>
    <row r="17" spans="2:8" x14ac:dyDescent="0.3">
      <c r="B17" s="77"/>
      <c r="C17" s="77"/>
      <c r="D17" s="77"/>
      <c r="E17" s="77"/>
      <c r="F17" s="77"/>
      <c r="G17" s="77"/>
      <c r="H17" s="77"/>
    </row>
    <row r="18" spans="2:8" x14ac:dyDescent="0.3">
      <c r="B18" s="21"/>
      <c r="C18" s="21"/>
      <c r="D18" s="21"/>
      <c r="E18" s="21"/>
      <c r="F18" s="21"/>
      <c r="G18" s="21"/>
      <c r="H18" s="21"/>
    </row>
    <row r="19" spans="2:8" x14ac:dyDescent="0.3">
      <c r="B19" s="78" t="s">
        <v>957</v>
      </c>
      <c r="C19" s="78"/>
      <c r="D19" s="78"/>
      <c r="E19" s="78"/>
      <c r="F19" s="78"/>
      <c r="G19" s="78"/>
      <c r="H19" s="78"/>
    </row>
    <row r="20" spans="2:8" x14ac:dyDescent="0.3">
      <c r="B20" s="21"/>
      <c r="C20" s="21"/>
      <c r="D20" s="21"/>
      <c r="E20" s="21"/>
      <c r="F20" s="21"/>
      <c r="G20" s="21"/>
      <c r="H20" s="21"/>
    </row>
    <row r="21" spans="2:8" x14ac:dyDescent="0.3">
      <c r="B21" s="78" t="str">
        <f>IF(기초자료입력!B58&lt;&gt;"","위원 구분: "&amp;기초자료입력!B58,"")</f>
        <v/>
      </c>
      <c r="C21" s="78"/>
      <c r="D21" s="78"/>
      <c r="E21" s="78"/>
      <c r="F21" s="78"/>
      <c r="G21" s="78"/>
      <c r="H21" s="78"/>
    </row>
    <row r="22" spans="2:8" x14ac:dyDescent="0.3">
      <c r="B22" s="21"/>
      <c r="C22" s="21"/>
      <c r="D22" s="21"/>
      <c r="E22" s="21"/>
      <c r="F22" s="21"/>
      <c r="G22" s="21"/>
      <c r="H22" s="21"/>
    </row>
    <row r="23" spans="2:8" x14ac:dyDescent="0.3">
      <c r="B23" s="78" t="s">
        <v>958</v>
      </c>
      <c r="C23" s="78"/>
      <c r="D23" s="78"/>
      <c r="E23" s="78"/>
      <c r="F23" s="78"/>
      <c r="G23" s="78"/>
      <c r="H23" s="78"/>
    </row>
    <row r="24" spans="2:8" x14ac:dyDescent="0.3">
      <c r="B24" s="21"/>
      <c r="C24" s="21"/>
      <c r="D24" s="21"/>
      <c r="E24" s="21"/>
      <c r="F24" s="21"/>
      <c r="G24" s="21"/>
      <c r="H24" s="21"/>
    </row>
    <row r="25" spans="2:8" x14ac:dyDescent="0.3">
      <c r="B25" s="78" t="str">
        <f>IF(기초자료입력!C4&lt;&gt;"",기초자료입력!C4,"○○○학교")&amp;"장 귀하"</f>
        <v>○○○학교장 귀하</v>
      </c>
      <c r="C25" s="78"/>
      <c r="D25" s="78"/>
      <c r="E25" s="78"/>
      <c r="F25" s="78"/>
      <c r="G25" s="78"/>
      <c r="H25" s="78"/>
    </row>
  </sheetData>
  <mergeCells count="11">
    <mergeCell ref="B14:H15"/>
    <mergeCell ref="B3:H3"/>
    <mergeCell ref="B5:H5"/>
    <mergeCell ref="B7:H8"/>
    <mergeCell ref="B10:H11"/>
    <mergeCell ref="B12:H13"/>
    <mergeCell ref="B16:H17"/>
    <mergeCell ref="B19:H19"/>
    <mergeCell ref="B21:H21"/>
    <mergeCell ref="B23:H23"/>
    <mergeCell ref="B25:H25"/>
  </mergeCells>
  <phoneticPr fontId="6" type="noConversion"/>
  <pageMargins left="0.50000076388888881" right="0.50000076388888881" top="0.50000076388888881" bottom="0.50000076388888881" header="0.19685069444444445" footer="0.19685069444444445"/>
  <pageSetup paperSize="9" fitToWidth="0"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0A812-148C-4E8C-B480-EC9A315E7E06}">
  <sheetPr codeName="Sheet6"/>
  <dimension ref="A1:K19"/>
  <sheetViews>
    <sheetView workbookViewId="0"/>
  </sheetViews>
  <sheetFormatPr defaultRowHeight="16.5" x14ac:dyDescent="0.3"/>
  <cols>
    <col min="1" max="1" width="3.125" customWidth="1"/>
    <col min="2" max="2" width="6.625" customWidth="1"/>
    <col min="3" max="3" width="14.625" customWidth="1"/>
    <col min="4" max="4" width="12.625" customWidth="1"/>
    <col min="5" max="9" width="9.625" customWidth="1"/>
    <col min="10" max="10" width="14.625" customWidth="1"/>
  </cols>
  <sheetData>
    <row r="1" spans="1:11" x14ac:dyDescent="0.3">
      <c r="A1" s="20" t="s">
        <v>941</v>
      </c>
    </row>
    <row r="2" spans="1:11" x14ac:dyDescent="0.3">
      <c r="K2" s="36" t="s">
        <v>338</v>
      </c>
    </row>
    <row r="3" spans="1:11" x14ac:dyDescent="0.3">
      <c r="B3" s="82" t="str">
        <f>"[13-3] "&amp;IF(기초자료입력!C5&lt;&gt;"",기초자료입력!C5,"20○○")&amp;"학년도 교복(동복·하복) 구매 업체별 제안서 평가표"</f>
        <v>[13-3] 20○○학년도 교복(동복·하복) 구매 업체별 제안서 평가표</v>
      </c>
      <c r="C3" s="83"/>
      <c r="D3" s="83"/>
      <c r="E3" s="83"/>
      <c r="F3" s="83"/>
      <c r="G3" s="83"/>
      <c r="H3" s="83"/>
      <c r="I3" s="38">
        <v>1</v>
      </c>
      <c r="J3" s="38"/>
    </row>
    <row r="4" spans="1:11" x14ac:dyDescent="0.3">
      <c r="B4" s="83"/>
      <c r="C4" s="83"/>
      <c r="D4" s="83"/>
      <c r="E4" s="83"/>
      <c r="F4" s="83"/>
      <c r="G4" s="83"/>
      <c r="H4" s="83"/>
      <c r="I4" s="38"/>
      <c r="J4" s="38"/>
    </row>
    <row r="5" spans="1:11" x14ac:dyDescent="0.3">
      <c r="B5" s="38" t="s">
        <v>87</v>
      </c>
      <c r="C5" s="38" t="str">
        <f>IF(기초자료입력!C4&lt;&gt;"",기초자료입력!C4,"")</f>
        <v/>
      </c>
      <c r="D5" s="38" t="s">
        <v>88</v>
      </c>
      <c r="E5" s="38" t="str">
        <f>IF(기초자료입력!C5&lt;&gt;"",기초자료입력!C5,"")</f>
        <v/>
      </c>
      <c r="F5" s="38" t="s">
        <v>341</v>
      </c>
      <c r="G5" s="81">
        <f>IFERROR(INDEX(기초자료입력!$B$44:$B$53,I3),"")</f>
        <v>0</v>
      </c>
      <c r="H5" s="81"/>
      <c r="I5" s="81"/>
      <c r="J5" s="81"/>
    </row>
    <row r="6" spans="1:11" x14ac:dyDescent="0.3">
      <c r="B6" s="38"/>
      <c r="C6" s="38"/>
      <c r="D6" s="38"/>
      <c r="E6" s="38"/>
      <c r="F6" s="38"/>
      <c r="G6" s="38"/>
      <c r="H6" s="38"/>
      <c r="I6" s="38"/>
      <c r="J6" s="38"/>
    </row>
    <row r="7" spans="1:11" ht="27.95" customHeight="1" x14ac:dyDescent="0.3">
      <c r="B7" s="68" t="s">
        <v>900</v>
      </c>
      <c r="C7" s="68" t="s">
        <v>60</v>
      </c>
      <c r="D7" s="68" t="s">
        <v>942</v>
      </c>
      <c r="E7" s="68" t="s">
        <v>943</v>
      </c>
      <c r="F7" s="68" t="s">
        <v>944</v>
      </c>
      <c r="G7" s="68" t="s">
        <v>945</v>
      </c>
      <c r="H7" s="68" t="s">
        <v>946</v>
      </c>
      <c r="I7" s="68" t="s">
        <v>947</v>
      </c>
      <c r="J7" s="61" t="s">
        <v>316</v>
      </c>
    </row>
    <row r="8" spans="1:11" ht="18" customHeight="1" x14ac:dyDescent="0.3">
      <c r="B8" s="84">
        <f>I3</f>
        <v>1</v>
      </c>
      <c r="C8" s="84">
        <f>IFERROR(INDEX(기초자료입력!$B$44:$B$53,I3),"")</f>
        <v>0</v>
      </c>
      <c r="D8" s="29"/>
      <c r="E8" s="67"/>
      <c r="F8" s="67"/>
      <c r="G8" s="67"/>
      <c r="H8" s="67"/>
      <c r="I8" s="29" t="str">
        <f t="shared" ref="I8:I15" si="0">IF(COUNT(E8:H8)=4,SUM(E8:H8),"")</f>
        <v/>
      </c>
      <c r="J8" s="85" t="s">
        <v>948</v>
      </c>
    </row>
    <row r="9" spans="1:11" ht="18" customHeight="1" x14ac:dyDescent="0.3">
      <c r="B9" s="84"/>
      <c r="C9" s="84"/>
      <c r="D9" s="29"/>
      <c r="E9" s="67"/>
      <c r="F9" s="67"/>
      <c r="G9" s="67"/>
      <c r="H9" s="67"/>
      <c r="I9" s="29" t="str">
        <f t="shared" si="0"/>
        <v/>
      </c>
      <c r="J9" s="85"/>
    </row>
    <row r="10" spans="1:11" ht="18" customHeight="1" x14ac:dyDescent="0.3">
      <c r="B10" s="84"/>
      <c r="C10" s="84"/>
      <c r="D10" s="29"/>
      <c r="E10" s="67"/>
      <c r="F10" s="67"/>
      <c r="G10" s="67"/>
      <c r="H10" s="67"/>
      <c r="I10" s="29" t="str">
        <f t="shared" si="0"/>
        <v/>
      </c>
      <c r="J10" s="85"/>
    </row>
    <row r="11" spans="1:11" ht="18" customHeight="1" x14ac:dyDescent="0.3">
      <c r="B11" s="84"/>
      <c r="C11" s="84"/>
      <c r="D11" s="29"/>
      <c r="E11" s="67"/>
      <c r="F11" s="67"/>
      <c r="G11" s="67"/>
      <c r="H11" s="67"/>
      <c r="I11" s="29" t="str">
        <f t="shared" si="0"/>
        <v/>
      </c>
      <c r="J11" s="85"/>
    </row>
    <row r="12" spans="1:11" ht="18" customHeight="1" x14ac:dyDescent="0.3">
      <c r="B12" s="84"/>
      <c r="C12" s="84"/>
      <c r="D12" s="29"/>
      <c r="E12" s="67"/>
      <c r="F12" s="67"/>
      <c r="G12" s="67"/>
      <c r="H12" s="67"/>
      <c r="I12" s="29" t="str">
        <f t="shared" si="0"/>
        <v/>
      </c>
      <c r="J12" s="85"/>
    </row>
    <row r="13" spans="1:11" ht="18" customHeight="1" x14ac:dyDescent="0.3">
      <c r="B13" s="84"/>
      <c r="C13" s="84"/>
      <c r="D13" s="29"/>
      <c r="E13" s="67"/>
      <c r="F13" s="67"/>
      <c r="G13" s="67"/>
      <c r="H13" s="67"/>
      <c r="I13" s="29" t="str">
        <f t="shared" si="0"/>
        <v/>
      </c>
      <c r="J13" s="85"/>
    </row>
    <row r="14" spans="1:11" ht="18" customHeight="1" x14ac:dyDescent="0.3">
      <c r="B14" s="84"/>
      <c r="C14" s="84"/>
      <c r="D14" s="29"/>
      <c r="E14" s="67"/>
      <c r="F14" s="67"/>
      <c r="G14" s="67"/>
      <c r="H14" s="67"/>
      <c r="I14" s="29" t="str">
        <f t="shared" si="0"/>
        <v/>
      </c>
      <c r="J14" s="85"/>
    </row>
    <row r="15" spans="1:11" ht="18" customHeight="1" x14ac:dyDescent="0.3">
      <c r="B15" s="84"/>
      <c r="C15" s="84"/>
      <c r="D15" s="29"/>
      <c r="E15" s="67"/>
      <c r="F15" s="67"/>
      <c r="G15" s="67"/>
      <c r="H15" s="67"/>
      <c r="I15" s="29" t="str">
        <f t="shared" si="0"/>
        <v/>
      </c>
      <c r="J15" s="85"/>
    </row>
    <row r="16" spans="1:11" x14ac:dyDescent="0.3">
      <c r="B16" s="80" t="s">
        <v>949</v>
      </c>
      <c r="C16" s="80"/>
      <c r="D16" s="80"/>
      <c r="E16" s="29" t="str">
        <f>IF(COUNT(E8:E15)=8,SUM(E8:E15)-MAX(E8:E15)-MIN(E8:E15),"")</f>
        <v/>
      </c>
      <c r="F16" s="29" t="str">
        <f>IF(COUNT(F8:F15)=8,SUM(F8:F15)-MAX(F8:F15)-MIN(F8:F15),"")</f>
        <v/>
      </c>
      <c r="G16" s="29" t="str">
        <f>IF(COUNT(G8:G15)=8,SUM(G8:G15)-MAX(G8:G15)-MIN(G8:G15),"")</f>
        <v/>
      </c>
      <c r="H16" s="29" t="str">
        <f>IF(COUNT(H8:H15)=8,SUM(H8:H15)-MAX(H8:H15)-MIN(H8:H15),"")</f>
        <v/>
      </c>
      <c r="I16" s="29" t="str">
        <f>IF(COUNT(I8:I15)=8,SUM(I8:I15)-MAX(I8:I15)-MIN(I8:I15),"")</f>
        <v/>
      </c>
      <c r="J16" s="29"/>
    </row>
    <row r="17" spans="2:10" x14ac:dyDescent="0.3">
      <c r="B17" s="80" t="s">
        <v>950</v>
      </c>
      <c r="C17" s="80"/>
      <c r="D17" s="80"/>
      <c r="E17" s="71" t="str">
        <f>IF(E16="","",E16/6)</f>
        <v/>
      </c>
      <c r="F17" s="71" t="str">
        <f>IF(F16="","",F16/6)</f>
        <v/>
      </c>
      <c r="G17" s="71" t="str">
        <f>IF(G16="","",G16/6)</f>
        <v/>
      </c>
      <c r="H17" s="71" t="str">
        <f>IF(H16="","",H16/6)</f>
        <v/>
      </c>
      <c r="I17" s="71" t="str">
        <f>IF(I16="","",I16/6)</f>
        <v/>
      </c>
      <c r="J17" s="29"/>
    </row>
    <row r="18" spans="2:10" x14ac:dyDescent="0.3">
      <c r="B18" s="38"/>
      <c r="C18" s="38"/>
      <c r="D18" s="38"/>
      <c r="E18" s="38"/>
      <c r="F18" s="38"/>
      <c r="G18" s="38"/>
      <c r="H18" s="38"/>
      <c r="I18" s="38"/>
      <c r="J18" s="38"/>
    </row>
    <row r="19" spans="2:10" x14ac:dyDescent="0.3">
      <c r="B19" s="81" t="s">
        <v>951</v>
      </c>
      <c r="C19" s="81"/>
      <c r="D19" s="81"/>
      <c r="E19" s="81"/>
      <c r="F19" s="81"/>
      <c r="G19" s="81"/>
      <c r="H19" s="81"/>
      <c r="I19" s="81"/>
      <c r="J19" s="81"/>
    </row>
  </sheetData>
  <mergeCells count="8">
    <mergeCell ref="B17:D17"/>
    <mergeCell ref="B19:J19"/>
    <mergeCell ref="B3:H4"/>
    <mergeCell ref="G5:J5"/>
    <mergeCell ref="B8:B15"/>
    <mergeCell ref="C8:C15"/>
    <mergeCell ref="J8:J15"/>
    <mergeCell ref="B16:D16"/>
  </mergeCells>
  <phoneticPr fontId="6" type="noConversion"/>
  <pageMargins left="0.50000076388888881" right="0.50000076388888881" top="0.50000076388888881" bottom="0.50000076388888881" header="0.19685069444444445" footer="0.19685069444444445"/>
  <pageSetup paperSize="9" fitToWidth="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5E999-6E16-4F64-A2B9-4E1616B59AB9}">
  <sheetPr codeName="Sheet7"/>
  <dimension ref="A1:I23"/>
  <sheetViews>
    <sheetView workbookViewId="0"/>
  </sheetViews>
  <sheetFormatPr defaultRowHeight="16.5" x14ac:dyDescent="0.3"/>
  <cols>
    <col min="1" max="1" width="3.125" customWidth="1"/>
    <col min="2" max="9" width="8.625" customWidth="1"/>
  </cols>
  <sheetData>
    <row r="1" spans="1:9" x14ac:dyDescent="0.3">
      <c r="A1" s="20" t="s">
        <v>932</v>
      </c>
    </row>
    <row r="3" spans="1:9" x14ac:dyDescent="0.3">
      <c r="B3" s="82" t="s">
        <v>933</v>
      </c>
      <c r="C3" s="83"/>
      <c r="D3" s="83"/>
      <c r="E3" s="83"/>
      <c r="F3" s="83"/>
      <c r="G3" s="83"/>
      <c r="H3" s="83"/>
      <c r="I3" s="83"/>
    </row>
    <row r="4" spans="1:9" x14ac:dyDescent="0.3">
      <c r="B4" s="38"/>
      <c r="C4" s="38"/>
      <c r="D4" s="38"/>
      <c r="E4" s="38"/>
      <c r="F4" s="38"/>
      <c r="G4" s="38"/>
      <c r="H4" s="38"/>
      <c r="I4" s="38"/>
    </row>
    <row r="5" spans="1:9" x14ac:dyDescent="0.3">
      <c r="B5" s="83" t="str">
        <f>IF(기초자료입력!C4&lt;&gt;"",기초자료입력!C4,"")&amp;IF(기초자료입력!C5&lt;&gt;""," ("&amp;기초자료입력!C5&amp;"학년도)","")&amp;IF(기초자료입력!C22&lt;&gt;""," · "&amp;기초자료입력!C22,"")</f>
        <v/>
      </c>
      <c r="C5" s="83"/>
      <c r="D5" s="83"/>
      <c r="E5" s="83"/>
      <c r="F5" s="83"/>
      <c r="G5" s="83"/>
      <c r="H5" s="83"/>
      <c r="I5" s="83"/>
    </row>
    <row r="6" spans="1:9" x14ac:dyDescent="0.3">
      <c r="B6" s="38"/>
      <c r="C6" s="38"/>
      <c r="D6" s="38"/>
      <c r="E6" s="38"/>
      <c r="F6" s="38"/>
      <c r="G6" s="38"/>
      <c r="H6" s="38"/>
      <c r="I6" s="38"/>
    </row>
    <row r="7" spans="1:9" ht="27.95" customHeight="1" x14ac:dyDescent="0.3">
      <c r="B7" s="87" t="s">
        <v>934</v>
      </c>
      <c r="C7" s="87"/>
      <c r="D7" s="87"/>
      <c r="E7" s="87" t="s">
        <v>935</v>
      </c>
      <c r="F7" s="87"/>
      <c r="G7" s="87"/>
      <c r="H7" s="87" t="s">
        <v>936</v>
      </c>
      <c r="I7" s="87" t="s">
        <v>316</v>
      </c>
    </row>
    <row r="8" spans="1:9" ht="30" customHeight="1" x14ac:dyDescent="0.3">
      <c r="B8" s="68" t="s">
        <v>60</v>
      </c>
      <c r="C8" s="68" t="s">
        <v>382</v>
      </c>
      <c r="D8" s="68" t="s">
        <v>434</v>
      </c>
      <c r="E8" s="68" t="s">
        <v>620</v>
      </c>
      <c r="F8" s="68" t="s">
        <v>901</v>
      </c>
      <c r="G8" s="68" t="s">
        <v>899</v>
      </c>
      <c r="H8" s="87"/>
      <c r="I8" s="87"/>
    </row>
    <row r="9" spans="1:9" x14ac:dyDescent="0.3">
      <c r="B9" s="70" t="str">
        <f>IF(기초자료입력!B44&lt;&gt;"",기초자료입력!B44,"")</f>
        <v/>
      </c>
      <c r="C9" s="70"/>
      <c r="D9" s="70"/>
      <c r="E9" s="70"/>
      <c r="F9" s="70"/>
      <c r="G9" s="70"/>
      <c r="H9" s="70"/>
      <c r="I9" s="70"/>
    </row>
    <row r="10" spans="1:9" x14ac:dyDescent="0.3">
      <c r="B10" s="70" t="str">
        <f>IF(기초자료입력!B45&lt;&gt;"",기초자료입력!B45,"")</f>
        <v/>
      </c>
      <c r="C10" s="70"/>
      <c r="D10" s="70"/>
      <c r="E10" s="70"/>
      <c r="F10" s="70"/>
      <c r="G10" s="70"/>
      <c r="H10" s="70"/>
      <c r="I10" s="70"/>
    </row>
    <row r="11" spans="1:9" x14ac:dyDescent="0.3">
      <c r="B11" s="70" t="str">
        <f>IF(기초자료입력!B46&lt;&gt;"",기초자료입력!B46,"")</f>
        <v/>
      </c>
      <c r="C11" s="70"/>
      <c r="D11" s="70"/>
      <c r="E11" s="70"/>
      <c r="F11" s="70"/>
      <c r="G11" s="70"/>
      <c r="H11" s="70"/>
      <c r="I11" s="70"/>
    </row>
    <row r="12" spans="1:9" x14ac:dyDescent="0.3">
      <c r="B12" s="70" t="str">
        <f>IF(기초자료입력!B47&lt;&gt;"",기초자료입력!B47,"")</f>
        <v/>
      </c>
      <c r="C12" s="70"/>
      <c r="D12" s="70"/>
      <c r="E12" s="70"/>
      <c r="F12" s="70"/>
      <c r="G12" s="70"/>
      <c r="H12" s="70"/>
      <c r="I12" s="70"/>
    </row>
    <row r="13" spans="1:9" x14ac:dyDescent="0.3">
      <c r="B13" s="70" t="str">
        <f>IF(기초자료입력!B48&lt;&gt;"",기초자료입력!B48,"")</f>
        <v/>
      </c>
      <c r="C13" s="70"/>
      <c r="D13" s="70"/>
      <c r="E13" s="70"/>
      <c r="F13" s="70"/>
      <c r="G13" s="70"/>
      <c r="H13" s="70"/>
      <c r="I13" s="70"/>
    </row>
    <row r="14" spans="1:9" x14ac:dyDescent="0.3">
      <c r="B14" s="70" t="str">
        <f>IF(기초자료입력!B49&lt;&gt;"",기초자료입력!B49,"")</f>
        <v/>
      </c>
      <c r="C14" s="70"/>
      <c r="D14" s="70"/>
      <c r="E14" s="70"/>
      <c r="F14" s="70"/>
      <c r="G14" s="70"/>
      <c r="H14" s="70"/>
      <c r="I14" s="70"/>
    </row>
    <row r="15" spans="1:9" x14ac:dyDescent="0.3">
      <c r="B15" s="70" t="str">
        <f>IF(기초자료입력!B50&lt;&gt;"",기초자료입력!B50,"")</f>
        <v/>
      </c>
      <c r="C15" s="70"/>
      <c r="D15" s="70"/>
      <c r="E15" s="70"/>
      <c r="F15" s="70"/>
      <c r="G15" s="70"/>
      <c r="H15" s="70"/>
      <c r="I15" s="70"/>
    </row>
    <row r="16" spans="1:9" x14ac:dyDescent="0.3">
      <c r="B16" s="70" t="str">
        <f>IF(기초자료입력!B51&lt;&gt;"",기초자료입력!B51,"")</f>
        <v/>
      </c>
      <c r="C16" s="70"/>
      <c r="D16" s="70"/>
      <c r="E16" s="70"/>
      <c r="F16" s="70"/>
      <c r="G16" s="70"/>
      <c r="H16" s="70"/>
      <c r="I16" s="70"/>
    </row>
    <row r="17" spans="2:9" x14ac:dyDescent="0.3">
      <c r="B17" s="70" t="str">
        <f>IF(기초자료입력!B52&lt;&gt;"",기초자료입력!B52,"")</f>
        <v/>
      </c>
      <c r="C17" s="70"/>
      <c r="D17" s="70"/>
      <c r="E17" s="70"/>
      <c r="F17" s="70"/>
      <c r="G17" s="70"/>
      <c r="H17" s="70"/>
      <c r="I17" s="70"/>
    </row>
    <row r="18" spans="2:9" x14ac:dyDescent="0.3">
      <c r="B18" s="70" t="str">
        <f>IF(기초자료입력!B53&lt;&gt;"",기초자료입력!B53,"")</f>
        <v/>
      </c>
      <c r="C18" s="70"/>
      <c r="D18" s="70"/>
      <c r="E18" s="70"/>
      <c r="F18" s="70"/>
      <c r="G18" s="70"/>
      <c r="H18" s="70"/>
      <c r="I18" s="70"/>
    </row>
    <row r="19" spans="2:9" x14ac:dyDescent="0.3">
      <c r="B19" s="38"/>
      <c r="C19" s="38"/>
      <c r="D19" s="38"/>
      <c r="E19" s="38"/>
      <c r="F19" s="38"/>
      <c r="G19" s="38"/>
      <c r="H19" s="38"/>
      <c r="I19" s="38"/>
    </row>
    <row r="20" spans="2:9" x14ac:dyDescent="0.3">
      <c r="B20" s="86" t="s">
        <v>937</v>
      </c>
      <c r="C20" s="81"/>
      <c r="D20" s="81"/>
      <c r="E20" s="81"/>
      <c r="F20" s="81"/>
      <c r="G20" s="81"/>
      <c r="H20" s="81"/>
      <c r="I20" s="81"/>
    </row>
    <row r="21" spans="2:9" x14ac:dyDescent="0.3">
      <c r="B21" s="81" t="s">
        <v>938</v>
      </c>
      <c r="C21" s="81"/>
      <c r="D21" s="81"/>
      <c r="E21" s="81"/>
      <c r="F21" s="81"/>
      <c r="G21" s="81"/>
      <c r="H21" s="81"/>
      <c r="I21" s="81"/>
    </row>
    <row r="22" spans="2:9" x14ac:dyDescent="0.3">
      <c r="B22" s="81" t="s">
        <v>939</v>
      </c>
      <c r="C22" s="81"/>
      <c r="D22" s="81"/>
      <c r="E22" s="81"/>
      <c r="F22" s="81"/>
      <c r="G22" s="81"/>
      <c r="H22" s="81"/>
      <c r="I22" s="81"/>
    </row>
    <row r="23" spans="2:9" x14ac:dyDescent="0.3">
      <c r="B23" s="81" t="s">
        <v>940</v>
      </c>
      <c r="C23" s="81"/>
      <c r="D23" s="81"/>
      <c r="E23" s="81"/>
      <c r="F23" s="81"/>
      <c r="G23" s="81"/>
      <c r="H23" s="81"/>
      <c r="I23" s="81"/>
    </row>
  </sheetData>
  <mergeCells count="10">
    <mergeCell ref="B20:I20"/>
    <mergeCell ref="B21:I21"/>
    <mergeCell ref="B22:I22"/>
    <mergeCell ref="B23:I23"/>
    <mergeCell ref="B3:I3"/>
    <mergeCell ref="B5:I5"/>
    <mergeCell ref="B7:D7"/>
    <mergeCell ref="E7:G7"/>
    <mergeCell ref="H7:H8"/>
    <mergeCell ref="I7:I8"/>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BFA5-B2C3-48E7-B820-A47F0E143DE6}">
  <sheetPr codeName="Sheet8"/>
  <dimension ref="A1:H21"/>
  <sheetViews>
    <sheetView workbookViewId="0"/>
  </sheetViews>
  <sheetFormatPr defaultRowHeight="16.5" x14ac:dyDescent="0.3"/>
  <cols>
    <col min="1" max="1" width="3.125" customWidth="1"/>
    <col min="2" max="2" width="7.625" customWidth="1"/>
    <col min="3" max="4" width="16.625" customWidth="1"/>
    <col min="5" max="6" width="15.625" customWidth="1"/>
    <col min="7" max="8" width="2.625" customWidth="1"/>
  </cols>
  <sheetData>
    <row r="1" spans="1:8" x14ac:dyDescent="0.3">
      <c r="A1" s="20" t="s">
        <v>926</v>
      </c>
    </row>
    <row r="3" spans="1:8" x14ac:dyDescent="0.3">
      <c r="B3" s="79" t="str">
        <f>IF(기초자료입력!C5&lt;&gt;"",기초자료입력!C5&amp;"학년도 ","")&amp;"교복선정 평가위원회 참석 등록부"</f>
        <v>교복선정 평가위원회 참석 등록부</v>
      </c>
      <c r="C3" s="78"/>
      <c r="D3" s="78"/>
      <c r="E3" s="78"/>
      <c r="F3" s="78"/>
      <c r="G3" s="78"/>
      <c r="H3" s="78"/>
    </row>
    <row r="4" spans="1:8" x14ac:dyDescent="0.3">
      <c r="B4" s="21"/>
      <c r="C4" s="21"/>
      <c r="D4" s="21"/>
      <c r="E4" s="21"/>
      <c r="F4" s="21"/>
      <c r="G4" s="21"/>
      <c r="H4" s="21"/>
    </row>
    <row r="5" spans="1:8" x14ac:dyDescent="0.3">
      <c r="B5" s="78" t="str">
        <f>IF(기초자료입력!C4&lt;&gt;"",기초자료입력!C4,"")&amp;IF(기초자료입력!C22&lt;&gt;""," · "&amp;기초자료입력!C22,"")</f>
        <v/>
      </c>
      <c r="C5" s="78"/>
      <c r="D5" s="78"/>
      <c r="E5" s="78"/>
      <c r="F5" s="78"/>
      <c r="G5" s="78"/>
      <c r="H5" s="78"/>
    </row>
    <row r="6" spans="1:8" x14ac:dyDescent="0.3">
      <c r="B6" s="21"/>
      <c r="C6" s="21"/>
      <c r="D6" s="21"/>
      <c r="E6" s="21"/>
      <c r="F6" s="21"/>
      <c r="G6" s="21"/>
      <c r="H6" s="21"/>
    </row>
    <row r="7" spans="1:8" x14ac:dyDescent="0.3">
      <c r="B7" s="21" t="s">
        <v>927</v>
      </c>
      <c r="C7" s="88"/>
      <c r="D7" s="88"/>
      <c r="E7" s="88"/>
      <c r="F7" s="88"/>
      <c r="G7" s="88"/>
      <c r="H7" s="88"/>
    </row>
    <row r="8" spans="1:8" x14ac:dyDescent="0.3">
      <c r="B8" s="21" t="s">
        <v>928</v>
      </c>
      <c r="C8" s="88" t="s">
        <v>929</v>
      </c>
      <c r="D8" s="88"/>
      <c r="E8" s="88"/>
      <c r="F8" s="88"/>
      <c r="G8" s="88"/>
      <c r="H8" s="88"/>
    </row>
    <row r="9" spans="1:8" x14ac:dyDescent="0.3">
      <c r="B9" s="21"/>
      <c r="C9" s="21"/>
      <c r="D9" s="21"/>
      <c r="E9" s="21"/>
      <c r="F9" s="21"/>
      <c r="G9" s="21"/>
      <c r="H9" s="21"/>
    </row>
    <row r="10" spans="1:8" x14ac:dyDescent="0.3">
      <c r="B10" s="89" t="s">
        <v>930</v>
      </c>
      <c r="C10" s="88"/>
      <c r="D10" s="88"/>
      <c r="E10" s="88"/>
      <c r="F10" s="88"/>
      <c r="G10" s="88"/>
      <c r="H10" s="88"/>
    </row>
    <row r="11" spans="1:8" x14ac:dyDescent="0.3">
      <c r="B11" s="24" t="s">
        <v>520</v>
      </c>
      <c r="C11" s="24" t="s">
        <v>620</v>
      </c>
      <c r="D11" s="24" t="s">
        <v>522</v>
      </c>
      <c r="E11" s="24" t="s">
        <v>931</v>
      </c>
      <c r="F11" s="24" t="s">
        <v>316</v>
      </c>
      <c r="G11" s="21"/>
      <c r="H11" s="21"/>
    </row>
    <row r="12" spans="1:8" x14ac:dyDescent="0.3">
      <c r="B12" s="51">
        <v>1</v>
      </c>
      <c r="C12" s="51" t="str">
        <f>IF(기초자료입력!B58&lt;&gt;"",기초자료입력!B58,"")</f>
        <v/>
      </c>
      <c r="D12" s="51"/>
      <c r="E12" s="51"/>
      <c r="F12" s="51"/>
      <c r="G12" s="21"/>
      <c r="H12" s="21"/>
    </row>
    <row r="13" spans="1:8" x14ac:dyDescent="0.3">
      <c r="B13" s="51">
        <v>2</v>
      </c>
      <c r="C13" s="51" t="str">
        <f>IF(기초자료입력!B59&lt;&gt;"",기초자료입력!B59,"")</f>
        <v/>
      </c>
      <c r="D13" s="51"/>
      <c r="E13" s="51"/>
      <c r="F13" s="51"/>
      <c r="G13" s="21"/>
      <c r="H13" s="21"/>
    </row>
    <row r="14" spans="1:8" x14ac:dyDescent="0.3">
      <c r="B14" s="51">
        <v>3</v>
      </c>
      <c r="C14" s="51" t="str">
        <f>IF(기초자료입력!B60&lt;&gt;"",기초자료입력!B60,"")</f>
        <v/>
      </c>
      <c r="D14" s="51"/>
      <c r="E14" s="51"/>
      <c r="F14" s="51"/>
      <c r="G14" s="21"/>
      <c r="H14" s="21"/>
    </row>
    <row r="15" spans="1:8" x14ac:dyDescent="0.3">
      <c r="B15" s="51">
        <v>4</v>
      </c>
      <c r="C15" s="51" t="str">
        <f>IF(기초자료입력!B61&lt;&gt;"",기초자료입력!B61,"")</f>
        <v/>
      </c>
      <c r="D15" s="51"/>
      <c r="E15" s="51"/>
      <c r="F15" s="51"/>
      <c r="G15" s="21"/>
      <c r="H15" s="21"/>
    </row>
    <row r="16" spans="1:8" x14ac:dyDescent="0.3">
      <c r="B16" s="51">
        <v>5</v>
      </c>
      <c r="C16" s="51" t="str">
        <f>IF(기초자료입력!B62&lt;&gt;"",기초자료입력!B62,"")</f>
        <v/>
      </c>
      <c r="D16" s="51"/>
      <c r="E16" s="51"/>
      <c r="F16" s="51"/>
      <c r="G16" s="21"/>
      <c r="H16" s="21"/>
    </row>
    <row r="17" spans="2:8" x14ac:dyDescent="0.3">
      <c r="B17" s="51">
        <v>6</v>
      </c>
      <c r="C17" s="51" t="str">
        <f>IF(기초자료입력!B63&lt;&gt;"",기초자료입력!B63,"")</f>
        <v/>
      </c>
      <c r="D17" s="51"/>
      <c r="E17" s="51"/>
      <c r="F17" s="51"/>
      <c r="G17" s="21"/>
      <c r="H17" s="21"/>
    </row>
    <row r="18" spans="2:8" x14ac:dyDescent="0.3">
      <c r="B18" s="51">
        <v>7</v>
      </c>
      <c r="C18" s="51" t="str">
        <f>IF(기초자료입력!B64&lt;&gt;"",기초자료입력!B64,"")</f>
        <v/>
      </c>
      <c r="D18" s="51"/>
      <c r="E18" s="51"/>
      <c r="F18" s="51"/>
      <c r="G18" s="21"/>
      <c r="H18" s="21"/>
    </row>
    <row r="19" spans="2:8" x14ac:dyDescent="0.3">
      <c r="B19" s="51">
        <v>8</v>
      </c>
      <c r="C19" s="51" t="str">
        <f>IF(기초자료입력!B65&lt;&gt;"",기초자료입력!B65,"")</f>
        <v/>
      </c>
      <c r="D19" s="51"/>
      <c r="E19" s="51"/>
      <c r="F19" s="51"/>
      <c r="G19" s="21"/>
      <c r="H19" s="21"/>
    </row>
    <row r="20" spans="2:8" x14ac:dyDescent="0.3">
      <c r="B20" s="51">
        <v>9</v>
      </c>
      <c r="C20" s="51" t="str">
        <f>IF(기초자료입력!B66&lt;&gt;"",기초자료입력!B66,"")</f>
        <v/>
      </c>
      <c r="D20" s="51"/>
      <c r="E20" s="51"/>
      <c r="F20" s="51"/>
      <c r="G20" s="21"/>
      <c r="H20" s="21"/>
    </row>
    <row r="21" spans="2:8" x14ac:dyDescent="0.3">
      <c r="B21" s="51">
        <v>10</v>
      </c>
      <c r="C21" s="51" t="str">
        <f>IF(기초자료입력!B67&lt;&gt;"",기초자료입력!B67,"")</f>
        <v/>
      </c>
      <c r="D21" s="51"/>
      <c r="E21" s="51"/>
      <c r="F21" s="51"/>
      <c r="G21" s="21"/>
      <c r="H21" s="21"/>
    </row>
  </sheetData>
  <mergeCells count="5">
    <mergeCell ref="B3:H3"/>
    <mergeCell ref="B5:H5"/>
    <mergeCell ref="C7:H7"/>
    <mergeCell ref="C8:H8"/>
    <mergeCell ref="B10:H10"/>
  </mergeCells>
  <phoneticPr fontId="6" type="noConversion"/>
  <pageMargins left="0.50000076388888881" right="0.50000076388888881" top="0.50000076388888881" bottom="0.50000076388888881" header="0.19685069444444445" footer="0.19685069444444445"/>
  <pageSetup paperSize="9" fitToWidth="0"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769C-61CF-4937-A342-E0C626C33F9A}">
  <sheetPr codeName="Sheet9"/>
  <dimension ref="A1:H38"/>
  <sheetViews>
    <sheetView workbookViewId="0"/>
  </sheetViews>
  <sheetFormatPr defaultRowHeight="16.5" x14ac:dyDescent="0.3"/>
  <cols>
    <col min="1" max="1" width="3.125" customWidth="1"/>
    <col min="2" max="2" width="16.625" customWidth="1"/>
    <col min="3" max="6" width="10.625" customWidth="1"/>
    <col min="7" max="7" width="14.625" customWidth="1"/>
  </cols>
  <sheetData>
    <row r="1" spans="1:8" x14ac:dyDescent="0.3">
      <c r="A1" s="20" t="s">
        <v>918</v>
      </c>
    </row>
    <row r="3" spans="1:8" x14ac:dyDescent="0.3">
      <c r="B3" s="92" t="str">
        <f>IF(기초자료입력!C4&lt;&gt;"",기초자료입력!C4,"○○학교")&amp;" 교복 구매 제안서 평가 결과"</f>
        <v>○○학교 교복 구매 제안서 평가 결과</v>
      </c>
      <c r="C3" s="93"/>
      <c r="D3" s="93"/>
      <c r="E3" s="93"/>
      <c r="F3" s="93"/>
      <c r="G3" s="93"/>
      <c r="H3" s="93"/>
    </row>
    <row r="4" spans="1:8" x14ac:dyDescent="0.3">
      <c r="B4" s="93"/>
      <c r="C4" s="93"/>
      <c r="D4" s="93"/>
      <c r="E4" s="93"/>
      <c r="F4" s="93"/>
      <c r="G4" s="93"/>
      <c r="H4" s="93"/>
    </row>
    <row r="5" spans="1:8" x14ac:dyDescent="0.3">
      <c r="B5" s="54" t="s">
        <v>25</v>
      </c>
      <c r="C5" s="37" t="str">
        <f>IF(기초자료입력!C9&lt;&gt;"",기초자료입력!C9,"")</f>
        <v/>
      </c>
      <c r="D5" s="37"/>
      <c r="E5" s="54" t="s">
        <v>289</v>
      </c>
      <c r="F5" s="37" t="str">
        <f>IF(기초자료입력!C8&lt;&gt;"",TEXT(기초자료입력!C8,"yyyy-mm-dd"),"")</f>
        <v/>
      </c>
      <c r="G5" s="37"/>
    </row>
    <row r="6" spans="1:8" x14ac:dyDescent="0.3">
      <c r="B6" s="37"/>
      <c r="C6" s="37"/>
      <c r="D6" s="37"/>
      <c r="E6" s="37"/>
      <c r="F6" s="37"/>
      <c r="G6" s="37"/>
    </row>
    <row r="7" spans="1:8" x14ac:dyDescent="0.3">
      <c r="B7" s="54" t="s">
        <v>290</v>
      </c>
      <c r="C7" s="94" t="s">
        <v>510</v>
      </c>
      <c r="D7" s="94"/>
      <c r="E7" s="94"/>
      <c r="F7" s="94"/>
      <c r="G7" s="94"/>
      <c r="H7" s="95"/>
    </row>
    <row r="8" spans="1:8" x14ac:dyDescent="0.3">
      <c r="B8" s="54" t="s">
        <v>297</v>
      </c>
      <c r="C8" s="94"/>
      <c r="D8" s="94"/>
      <c r="E8" s="94"/>
      <c r="F8" s="94"/>
      <c r="G8" s="94"/>
      <c r="H8" s="95"/>
    </row>
    <row r="9" spans="1:8" x14ac:dyDescent="0.3">
      <c r="B9" s="54" t="s">
        <v>291</v>
      </c>
      <c r="C9" s="96" t="str">
        <f>IF(기초자료입력!C22&lt;&gt;"",기초자료입력!C22,IF(기초자료입력!C5&lt;&gt;"",기초자료입력!C5,"20○○")&amp;"학년도 교복 업체 선정을 위한 제안서 평가 집계결과 보고")</f>
        <v>20○○학년도 교복 업체 선정을 위한 제안서 평가 집계결과 보고</v>
      </c>
      <c r="D9" s="94"/>
      <c r="E9" s="94"/>
      <c r="F9" s="94"/>
      <c r="G9" s="94"/>
      <c r="H9" s="95"/>
    </row>
    <row r="10" spans="1:8" x14ac:dyDescent="0.3">
      <c r="B10" s="38"/>
      <c r="C10" s="38"/>
      <c r="D10" s="38"/>
      <c r="E10" s="38"/>
      <c r="F10" s="38"/>
      <c r="G10" s="38"/>
    </row>
    <row r="11" spans="1:8" x14ac:dyDescent="0.3">
      <c r="B11" s="86" t="str">
        <f>"1. 관련："&amp;IF(기초자료입력!C23&lt;&gt;"",기초자료입력!C23,"관련 문서를 확인하십시오.")</f>
        <v>1. 관련：관련 문서를 확인하십시오.</v>
      </c>
      <c r="C11" s="81"/>
      <c r="D11" s="81"/>
      <c r="E11" s="81"/>
      <c r="F11" s="81"/>
      <c r="G11" s="81"/>
      <c r="H11" s="95"/>
    </row>
    <row r="12" spans="1:8" x14ac:dyDescent="0.3">
      <c r="B12" s="38"/>
      <c r="C12" s="38"/>
      <c r="D12" s="38"/>
      <c r="E12" s="38"/>
      <c r="F12" s="38"/>
      <c r="G12" s="38"/>
    </row>
    <row r="13" spans="1:8" ht="27.95" customHeight="1" x14ac:dyDescent="0.3">
      <c r="B13" s="91" t="str">
        <f>"2. "&amp;IF(기초자료입력!C5&lt;&gt;"",기초자료입력!C5,"20○○")&amp;"학년도 교복업체 선정을 위한 제안서 평가위원회 실시 결과를 아래와 같이 보고합니다."</f>
        <v>2. 20○○학년도 교복업체 선정을 위한 제안서 평가위원회 실시 결과를 아래와 같이 보고합니다.</v>
      </c>
      <c r="C13" s="91"/>
      <c r="D13" s="91"/>
      <c r="E13" s="91"/>
      <c r="F13" s="91"/>
      <c r="G13" s="91"/>
      <c r="H13" s="76"/>
    </row>
    <row r="14" spans="1:8" x14ac:dyDescent="0.3">
      <c r="B14" s="91"/>
      <c r="C14" s="91"/>
      <c r="D14" s="91"/>
      <c r="E14" s="91"/>
      <c r="F14" s="91"/>
      <c r="G14" s="91"/>
      <c r="H14" s="76"/>
    </row>
    <row r="15" spans="1:8" x14ac:dyDescent="0.3">
      <c r="B15" s="38"/>
      <c r="C15" s="38"/>
      <c r="D15" s="38"/>
      <c r="E15" s="38"/>
      <c r="F15" s="38"/>
      <c r="G15" s="38"/>
    </row>
    <row r="16" spans="1:8" x14ac:dyDescent="0.3">
      <c r="B16" s="38"/>
      <c r="C16" s="38"/>
      <c r="D16" s="38"/>
      <c r="E16" s="38"/>
      <c r="F16" s="38"/>
      <c r="G16" s="38"/>
    </row>
    <row r="17" spans="2:7" x14ac:dyDescent="0.3">
      <c r="B17" s="90" t="s">
        <v>60</v>
      </c>
      <c r="C17" s="90" t="s">
        <v>919</v>
      </c>
      <c r="D17" s="90"/>
      <c r="E17" s="90"/>
      <c r="F17" s="90" t="s">
        <v>922</v>
      </c>
      <c r="G17" s="90" t="s">
        <v>923</v>
      </c>
    </row>
    <row r="18" spans="2:7" x14ac:dyDescent="0.3">
      <c r="B18" s="90"/>
      <c r="C18" s="61" t="s">
        <v>920</v>
      </c>
      <c r="D18" s="61" t="s">
        <v>921</v>
      </c>
      <c r="E18" s="61" t="s">
        <v>295</v>
      </c>
      <c r="F18" s="90"/>
      <c r="G18" s="90"/>
    </row>
    <row r="19" spans="2:7" x14ac:dyDescent="0.3">
      <c r="B19" s="29" t="str">
        <f>IF(기초자료입력!B44&lt;&gt;"",기초자료입력!B44,"")</f>
        <v/>
      </c>
      <c r="C19" s="29" t="str">
        <f>IF(기초자료입력!B44="","",IF(OR(기초자료입력!C44="",기초자료입력!D44="",기초자료입력!E44="",기초자료입력!F44=""),"",기초자료입력!C44+기초자료입력!D44+기초자료입력!E44+기초자료입력!F44))</f>
        <v/>
      </c>
      <c r="D19" s="29" t="str">
        <f>IF(기초자료입력!B44="","",IF(OR(기초자료입력!H44="",기초자료입력!I44="",기초자료입력!J44="",기초자료입력!K44="",기초자료입력!L44=""),"",기초자료입력!H44+기초자료입력!I44+기초자료입력!J44+기초자료입력!K44+기초자료입력!L44))</f>
        <v/>
      </c>
      <c r="E19" s="29" t="str">
        <f t="shared" ref="E19:E28" si="0">IF(OR(C19="",D19=""),"",C19+D19)</f>
        <v/>
      </c>
      <c r="F19" s="29" t="str">
        <f t="shared" ref="F19:F28" si="1">IF(E19="","",IF(E19&gt;=80,"적격","부적격"))</f>
        <v/>
      </c>
      <c r="G19" s="29" t="str">
        <f t="shared" ref="G19:G28" si="2">IF(F19="적격","가격개찰대상","")</f>
        <v/>
      </c>
    </row>
    <row r="20" spans="2:7" x14ac:dyDescent="0.3">
      <c r="B20" s="29" t="str">
        <f>IF(기초자료입력!B45&lt;&gt;"",기초자료입력!B45,"")</f>
        <v/>
      </c>
      <c r="C20" s="29" t="str">
        <f>IF(기초자료입력!B45="","",IF(OR(기초자료입력!C45="",기초자료입력!D45="",기초자료입력!E45="",기초자료입력!F45=""),"",기초자료입력!C45+기초자료입력!D45+기초자료입력!E45+기초자료입력!F45))</f>
        <v/>
      </c>
      <c r="D20" s="29" t="str">
        <f>IF(기초자료입력!B45="","",IF(OR(기초자료입력!H45="",기초자료입력!I45="",기초자료입력!J45="",기초자료입력!K45="",기초자료입력!L45=""),"",기초자료입력!H45+기초자료입력!I45+기초자료입력!J45+기초자료입력!K45+기초자료입력!L45))</f>
        <v/>
      </c>
      <c r="E20" s="29" t="str">
        <f t="shared" si="0"/>
        <v/>
      </c>
      <c r="F20" s="29" t="str">
        <f t="shared" si="1"/>
        <v/>
      </c>
      <c r="G20" s="29" t="str">
        <f t="shared" si="2"/>
        <v/>
      </c>
    </row>
    <row r="21" spans="2:7" x14ac:dyDescent="0.3">
      <c r="B21" s="29" t="str">
        <f>IF(기초자료입력!B46&lt;&gt;"",기초자료입력!B46,"")</f>
        <v/>
      </c>
      <c r="C21" s="29" t="str">
        <f>IF(기초자료입력!B46="","",IF(OR(기초자료입력!C46="",기초자료입력!D46="",기초자료입력!E46="",기초자료입력!F46=""),"",기초자료입력!C46+기초자료입력!D46+기초자료입력!E46+기초자료입력!F46))</f>
        <v/>
      </c>
      <c r="D21" s="29" t="str">
        <f>IF(기초자료입력!B46="","",IF(OR(기초자료입력!H46="",기초자료입력!I46="",기초자료입력!J46="",기초자료입력!K46="",기초자료입력!L46=""),"",기초자료입력!H46+기초자료입력!I46+기초자료입력!J46+기초자료입력!K46+기초자료입력!L46))</f>
        <v/>
      </c>
      <c r="E21" s="29" t="str">
        <f t="shared" si="0"/>
        <v/>
      </c>
      <c r="F21" s="29" t="str">
        <f t="shared" si="1"/>
        <v/>
      </c>
      <c r="G21" s="29" t="str">
        <f t="shared" si="2"/>
        <v/>
      </c>
    </row>
    <row r="22" spans="2:7" x14ac:dyDescent="0.3">
      <c r="B22" s="29" t="str">
        <f>IF(기초자료입력!B47&lt;&gt;"",기초자료입력!B47,"")</f>
        <v/>
      </c>
      <c r="C22" s="29" t="str">
        <f>IF(기초자료입력!B47="","",IF(OR(기초자료입력!C47="",기초자료입력!D47="",기초자료입력!E47="",기초자료입력!F47=""),"",기초자료입력!C47+기초자료입력!D47+기초자료입력!E47+기초자료입력!F47))</f>
        <v/>
      </c>
      <c r="D22" s="29" t="str">
        <f>IF(기초자료입력!B47="","",IF(OR(기초자료입력!H47="",기초자료입력!I47="",기초자료입력!J47="",기초자료입력!K47="",기초자료입력!L47=""),"",기초자료입력!H47+기초자료입력!I47+기초자료입력!J47+기초자료입력!K47+기초자료입력!L47))</f>
        <v/>
      </c>
      <c r="E22" s="29" t="str">
        <f t="shared" si="0"/>
        <v/>
      </c>
      <c r="F22" s="29" t="str">
        <f t="shared" si="1"/>
        <v/>
      </c>
      <c r="G22" s="29" t="str">
        <f t="shared" si="2"/>
        <v/>
      </c>
    </row>
    <row r="23" spans="2:7" x14ac:dyDescent="0.3">
      <c r="B23" s="29" t="str">
        <f>IF(기초자료입력!B48&lt;&gt;"",기초자료입력!B48,"")</f>
        <v/>
      </c>
      <c r="C23" s="29" t="str">
        <f>IF(기초자료입력!B48="","",IF(OR(기초자료입력!C48="",기초자료입력!D48="",기초자료입력!E48="",기초자료입력!F48=""),"",기초자료입력!C48+기초자료입력!D48+기초자료입력!E48+기초자료입력!F48))</f>
        <v/>
      </c>
      <c r="D23" s="29" t="str">
        <f>IF(기초자료입력!B48="","",IF(OR(기초자료입력!H48="",기초자료입력!I48="",기초자료입력!J48="",기초자료입력!K48="",기초자료입력!L48=""),"",기초자료입력!H48+기초자료입력!I48+기초자료입력!J48+기초자료입력!K48+기초자료입력!L48))</f>
        <v/>
      </c>
      <c r="E23" s="29" t="str">
        <f t="shared" si="0"/>
        <v/>
      </c>
      <c r="F23" s="29" t="str">
        <f t="shared" si="1"/>
        <v/>
      </c>
      <c r="G23" s="29" t="str">
        <f t="shared" si="2"/>
        <v/>
      </c>
    </row>
    <row r="24" spans="2:7" x14ac:dyDescent="0.3">
      <c r="B24" s="29" t="str">
        <f>IF(기초자료입력!B49&lt;&gt;"",기초자료입력!B49,"")</f>
        <v/>
      </c>
      <c r="C24" s="29" t="str">
        <f>IF(기초자료입력!B49="","",IF(OR(기초자료입력!C49="",기초자료입력!D49="",기초자료입력!E49="",기초자료입력!F49=""),"",기초자료입력!C49+기초자료입력!D49+기초자료입력!E49+기초자료입력!F49))</f>
        <v/>
      </c>
      <c r="D24" s="29" t="str">
        <f>IF(기초자료입력!B49="","",IF(OR(기초자료입력!H49="",기초자료입력!I49="",기초자료입력!J49="",기초자료입력!K49="",기초자료입력!L49=""),"",기초자료입력!H49+기초자료입력!I49+기초자료입력!J49+기초자료입력!K49+기초자료입력!L49))</f>
        <v/>
      </c>
      <c r="E24" s="29" t="str">
        <f t="shared" si="0"/>
        <v/>
      </c>
      <c r="F24" s="29" t="str">
        <f t="shared" si="1"/>
        <v/>
      </c>
      <c r="G24" s="29" t="str">
        <f t="shared" si="2"/>
        <v/>
      </c>
    </row>
    <row r="25" spans="2:7" x14ac:dyDescent="0.3">
      <c r="B25" s="29" t="str">
        <f>IF(기초자료입력!B50&lt;&gt;"",기초자료입력!B50,"")</f>
        <v/>
      </c>
      <c r="C25" s="29" t="str">
        <f>IF(기초자료입력!B50="","",IF(OR(기초자료입력!C50="",기초자료입력!D50="",기초자료입력!E50="",기초자료입력!F50=""),"",기초자료입력!C50+기초자료입력!D50+기초자료입력!E50+기초자료입력!F50))</f>
        <v/>
      </c>
      <c r="D25" s="29" t="str">
        <f>IF(기초자료입력!B50="","",IF(OR(기초자료입력!H50="",기초자료입력!I50="",기초자료입력!J50="",기초자료입력!K50="",기초자료입력!L50=""),"",기초자료입력!H50+기초자료입력!I50+기초자료입력!J50+기초자료입력!K50+기초자료입력!L50))</f>
        <v/>
      </c>
      <c r="E25" s="29" t="str">
        <f t="shared" si="0"/>
        <v/>
      </c>
      <c r="F25" s="29" t="str">
        <f t="shared" si="1"/>
        <v/>
      </c>
      <c r="G25" s="29" t="str">
        <f t="shared" si="2"/>
        <v/>
      </c>
    </row>
    <row r="26" spans="2:7" x14ac:dyDescent="0.3">
      <c r="B26" s="29" t="str">
        <f>IF(기초자료입력!B51&lt;&gt;"",기초자료입력!B51,"")</f>
        <v/>
      </c>
      <c r="C26" s="29" t="str">
        <f>IF(기초자료입력!B51="","",IF(OR(기초자료입력!C51="",기초자료입력!D51="",기초자료입력!E51="",기초자료입력!F51=""),"",기초자료입력!C51+기초자료입력!D51+기초자료입력!E51+기초자료입력!F51))</f>
        <v/>
      </c>
      <c r="D26" s="29" t="str">
        <f>IF(기초자료입력!B51="","",IF(OR(기초자료입력!H51="",기초자료입력!I51="",기초자료입력!J51="",기초자료입력!K51="",기초자료입력!L51=""),"",기초자료입력!H51+기초자료입력!I51+기초자료입력!J51+기초자료입력!K51+기초자료입력!L51))</f>
        <v/>
      </c>
      <c r="E26" s="29" t="str">
        <f t="shared" si="0"/>
        <v/>
      </c>
      <c r="F26" s="29" t="str">
        <f t="shared" si="1"/>
        <v/>
      </c>
      <c r="G26" s="29" t="str">
        <f t="shared" si="2"/>
        <v/>
      </c>
    </row>
    <row r="27" spans="2:7" x14ac:dyDescent="0.3">
      <c r="B27" s="29" t="str">
        <f>IF(기초자료입력!B52&lt;&gt;"",기초자료입력!B52,"")</f>
        <v/>
      </c>
      <c r="C27" s="29" t="str">
        <f>IF(기초자료입력!B52="","",IF(OR(기초자료입력!C52="",기초자료입력!D52="",기초자료입력!E52="",기초자료입력!F52=""),"",기초자료입력!C52+기초자료입력!D52+기초자료입력!E52+기초자료입력!F52))</f>
        <v/>
      </c>
      <c r="D27" s="29" t="str">
        <f>IF(기초자료입력!B52="","",IF(OR(기초자료입력!H52="",기초자료입력!I52="",기초자료입력!J52="",기초자료입력!K52="",기초자료입력!L52=""),"",기초자료입력!H52+기초자료입력!I52+기초자료입력!J52+기초자료입력!K52+기초자료입력!L52))</f>
        <v/>
      </c>
      <c r="E27" s="29" t="str">
        <f t="shared" si="0"/>
        <v/>
      </c>
      <c r="F27" s="29" t="str">
        <f t="shared" si="1"/>
        <v/>
      </c>
      <c r="G27" s="29" t="str">
        <f t="shared" si="2"/>
        <v/>
      </c>
    </row>
    <row r="28" spans="2:7" x14ac:dyDescent="0.3">
      <c r="B28" s="29" t="str">
        <f>IF(기초자료입력!B53&lt;&gt;"",기초자료입력!B53,"")</f>
        <v/>
      </c>
      <c r="C28" s="29" t="str">
        <f>IF(기초자료입력!B53="","",IF(OR(기초자료입력!C53="",기초자료입력!D53="",기초자료입력!E53="",기초자료입력!F53=""),"",기초자료입력!C53+기초자료입력!D53+기초자료입력!E53+기초자료입력!F53))</f>
        <v/>
      </c>
      <c r="D28" s="29" t="str">
        <f>IF(기초자료입력!B53="","",IF(OR(기초자료입력!H53="",기초자료입력!I53="",기초자료입력!J53="",기초자료입력!K53="",기초자료입력!L53=""),"",기초자료입력!H53+기초자료입력!I53+기초자료입력!J53+기초자료입력!K53+기초자료입력!L53))</f>
        <v/>
      </c>
      <c r="E28" s="29" t="str">
        <f t="shared" si="0"/>
        <v/>
      </c>
      <c r="F28" s="29" t="str">
        <f t="shared" si="1"/>
        <v/>
      </c>
      <c r="G28" s="29" t="str">
        <f t="shared" si="2"/>
        <v/>
      </c>
    </row>
    <row r="29" spans="2:7" x14ac:dyDescent="0.3">
      <c r="B29" s="81" t="s">
        <v>924</v>
      </c>
      <c r="C29" s="81"/>
      <c r="D29" s="81"/>
      <c r="E29" s="81"/>
      <c r="F29" s="81"/>
      <c r="G29" s="81"/>
    </row>
    <row r="30" spans="2:7" x14ac:dyDescent="0.3">
      <c r="B30" s="91" t="s">
        <v>925</v>
      </c>
      <c r="C30" s="91"/>
      <c r="D30" s="91"/>
      <c r="E30" s="91"/>
      <c r="F30" s="91"/>
      <c r="G30" s="91"/>
    </row>
    <row r="31" spans="2:7" x14ac:dyDescent="0.3">
      <c r="B31" s="91"/>
      <c r="C31" s="91"/>
      <c r="D31" s="91"/>
      <c r="E31" s="91"/>
      <c r="F31" s="91"/>
      <c r="G31" s="91"/>
    </row>
    <row r="32" spans="2:7" x14ac:dyDescent="0.3">
      <c r="B32" s="91"/>
      <c r="C32" s="91"/>
      <c r="D32" s="91"/>
      <c r="E32" s="91"/>
      <c r="F32" s="91"/>
      <c r="G32" s="91"/>
    </row>
    <row r="33" spans="2:7" x14ac:dyDescent="0.3">
      <c r="B33" s="91"/>
      <c r="C33" s="91"/>
      <c r="D33" s="91"/>
      <c r="E33" s="91"/>
      <c r="F33" s="91"/>
      <c r="G33" s="91"/>
    </row>
    <row r="34" spans="2:7" x14ac:dyDescent="0.3">
      <c r="B34" s="91"/>
      <c r="C34" s="91"/>
      <c r="D34" s="91"/>
      <c r="E34" s="91"/>
      <c r="F34" s="91"/>
      <c r="G34" s="91"/>
    </row>
    <row r="35" spans="2:7" x14ac:dyDescent="0.3">
      <c r="B35" s="38"/>
      <c r="C35" s="38"/>
      <c r="D35" s="38"/>
      <c r="E35" s="38"/>
      <c r="F35" s="38"/>
      <c r="G35" s="38"/>
    </row>
    <row r="36" spans="2:7" x14ac:dyDescent="0.3">
      <c r="B36" s="38"/>
      <c r="C36" s="38"/>
      <c r="D36" s="38"/>
      <c r="E36" s="38"/>
      <c r="F36" s="38"/>
      <c r="G36" s="38"/>
    </row>
    <row r="37" spans="2:7" x14ac:dyDescent="0.3">
      <c r="B37" s="38"/>
      <c r="C37" s="38"/>
      <c r="D37" s="38"/>
      <c r="E37" s="38"/>
      <c r="F37" s="53" t="s">
        <v>293</v>
      </c>
      <c r="G37" s="53" t="s">
        <v>294</v>
      </c>
    </row>
    <row r="38" spans="2:7" x14ac:dyDescent="0.3">
      <c r="B38" s="53" t="s">
        <v>305</v>
      </c>
      <c r="C38" s="81" t="str">
        <f>IF(기초자료입력!C9&lt;&gt;"",기초자료입력!C9,"")</f>
        <v/>
      </c>
      <c r="D38" s="81"/>
      <c r="E38" s="81"/>
      <c r="F38" s="53" t="s">
        <v>306</v>
      </c>
      <c r="G38" s="38"/>
    </row>
  </sheetData>
  <mergeCells count="13">
    <mergeCell ref="B13:H14"/>
    <mergeCell ref="B3:H4"/>
    <mergeCell ref="C7:H7"/>
    <mergeCell ref="C8:H8"/>
    <mergeCell ref="C9:H9"/>
    <mergeCell ref="B11:H11"/>
    <mergeCell ref="C38:E38"/>
    <mergeCell ref="B17:B18"/>
    <mergeCell ref="C17:E17"/>
    <mergeCell ref="F17:F18"/>
    <mergeCell ref="G17:G18"/>
    <mergeCell ref="B29:G29"/>
    <mergeCell ref="B30:G34"/>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24575-2C59-4056-A716-AAD9DD9A8863}">
  <sheetPr codeName="Sheet10"/>
  <dimension ref="A1:H36"/>
  <sheetViews>
    <sheetView workbookViewId="0"/>
  </sheetViews>
  <sheetFormatPr defaultRowHeight="16.5" x14ac:dyDescent="0.3"/>
  <cols>
    <col min="1" max="1" width="3.125" customWidth="1"/>
    <col min="2" max="2" width="6.625" customWidth="1"/>
    <col min="3" max="3" width="16.625" customWidth="1"/>
    <col min="4" max="8" width="10.625" customWidth="1"/>
  </cols>
  <sheetData>
    <row r="1" spans="1:8" x14ac:dyDescent="0.3">
      <c r="A1" s="20" t="s">
        <v>911</v>
      </c>
    </row>
    <row r="3" spans="1:8" x14ac:dyDescent="0.3">
      <c r="B3" s="92" t="str">
        <f>IF(기초자료입력!C4&lt;&gt;"",기초자료입력!C4,"○○학교")&amp;" 교복 구매 제안서 정량평가 결과"</f>
        <v>○○학교 교복 구매 제안서 정량평가 결과</v>
      </c>
      <c r="C3" s="93"/>
      <c r="D3" s="93"/>
      <c r="E3" s="93"/>
      <c r="F3" s="93"/>
      <c r="G3" s="93"/>
      <c r="H3" s="93"/>
    </row>
    <row r="4" spans="1:8" x14ac:dyDescent="0.3">
      <c r="B4" s="93"/>
      <c r="C4" s="93"/>
      <c r="D4" s="93"/>
      <c r="E4" s="93"/>
      <c r="F4" s="93"/>
      <c r="G4" s="93"/>
      <c r="H4" s="93"/>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4" t="s">
        <v>510</v>
      </c>
      <c r="D7" s="94"/>
      <c r="E7" s="94"/>
      <c r="F7" s="94"/>
      <c r="G7" s="94"/>
      <c r="H7" s="94"/>
    </row>
    <row r="8" spans="1:8" x14ac:dyDescent="0.3">
      <c r="B8" s="54" t="s">
        <v>297</v>
      </c>
      <c r="C8" s="94"/>
      <c r="D8" s="94"/>
      <c r="E8" s="94"/>
      <c r="F8" s="94"/>
      <c r="G8" s="94"/>
      <c r="H8" s="94"/>
    </row>
    <row r="9" spans="1:8" x14ac:dyDescent="0.3">
      <c r="B9" s="54" t="s">
        <v>291</v>
      </c>
      <c r="C9" s="96" t="str">
        <f>IF(기초자료입력!C22&lt;&gt;"",기초자료입력!C22,IF(기초자료입력!C5&lt;&gt;"",기초자료입력!C5,"20○○")&amp;"학년도 교복 학교주관구매 제안서 정량평가 결과 보고")</f>
        <v>20○○학년도 교복 학교주관구매 제안서 정량평가 결과 보고</v>
      </c>
      <c r="D9" s="94"/>
      <c r="E9" s="94"/>
      <c r="F9" s="94"/>
      <c r="G9" s="94"/>
      <c r="H9" s="94"/>
    </row>
    <row r="10" spans="1:8" x14ac:dyDescent="0.3">
      <c r="B10" s="38"/>
      <c r="C10" s="38"/>
      <c r="D10" s="38"/>
      <c r="E10" s="38"/>
      <c r="F10" s="38"/>
      <c r="G10" s="38"/>
      <c r="H10" s="38"/>
    </row>
    <row r="11" spans="1:8" x14ac:dyDescent="0.3">
      <c r="B11" s="86" t="str">
        <f>"1. "&amp;IF(기초자료입력!C23&lt;&gt;"",기초자료입력!C23,"관련 문서를 확인하십시오.")</f>
        <v>1. 관련 문서를 확인하십시오.</v>
      </c>
      <c r="C11" s="81"/>
      <c r="D11" s="81"/>
      <c r="E11" s="81"/>
      <c r="F11" s="81"/>
      <c r="G11" s="81"/>
      <c r="H11" s="81"/>
    </row>
    <row r="12" spans="1:8" x14ac:dyDescent="0.3">
      <c r="B12" s="38"/>
      <c r="C12" s="38"/>
      <c r="D12" s="38"/>
      <c r="E12" s="38"/>
      <c r="F12" s="38"/>
      <c r="G12" s="38"/>
      <c r="H12" s="38"/>
    </row>
    <row r="13" spans="1:8" ht="32.1" customHeight="1" x14ac:dyDescent="0.3">
      <c r="B13" s="91"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20○○학년도 교복 학교주관구매 2단계 입찰(규격가격동시) 공고와 관련하여 접수된 제안서에 대한 정량평가를 실시하고, 그 결과를 아래와 같이 보고합니다.</v>
      </c>
      <c r="C13" s="91"/>
      <c r="D13" s="91"/>
      <c r="E13" s="91"/>
      <c r="F13" s="91"/>
      <c r="G13" s="91"/>
      <c r="H13" s="91"/>
    </row>
    <row r="14" spans="1:8" x14ac:dyDescent="0.3">
      <c r="B14" s="91"/>
      <c r="C14" s="91"/>
      <c r="D14" s="91"/>
      <c r="E14" s="91"/>
      <c r="F14" s="91"/>
      <c r="G14" s="91"/>
      <c r="H14" s="91"/>
    </row>
    <row r="15" spans="1:8" x14ac:dyDescent="0.3">
      <c r="B15" s="38"/>
      <c r="C15" s="38"/>
      <c r="D15" s="38"/>
      <c r="E15" s="38"/>
      <c r="F15" s="38"/>
      <c r="G15" s="38"/>
      <c r="H15" s="38"/>
    </row>
    <row r="16" spans="1:8" x14ac:dyDescent="0.3">
      <c r="B16" s="86" t="s">
        <v>912</v>
      </c>
      <c r="C16" s="81"/>
      <c r="D16" s="81"/>
      <c r="E16" s="81"/>
      <c r="F16" s="81"/>
      <c r="G16" s="81"/>
      <c r="H16" s="81"/>
    </row>
    <row r="17" spans="2:8" x14ac:dyDescent="0.3">
      <c r="B17" s="90" t="s">
        <v>520</v>
      </c>
      <c r="C17" s="90" t="s">
        <v>60</v>
      </c>
      <c r="D17" s="90" t="s">
        <v>329</v>
      </c>
      <c r="E17" s="90"/>
      <c r="F17" s="90"/>
      <c r="G17" s="90"/>
      <c r="H17" s="90"/>
    </row>
    <row r="18" spans="2:8" x14ac:dyDescent="0.3">
      <c r="B18" s="90"/>
      <c r="C18" s="90"/>
      <c r="D18" s="61" t="s">
        <v>913</v>
      </c>
      <c r="E18" s="61" t="s">
        <v>914</v>
      </c>
      <c r="F18" s="61" t="s">
        <v>915</v>
      </c>
      <c r="G18" s="61" t="s">
        <v>916</v>
      </c>
      <c r="H18" s="61" t="s">
        <v>295</v>
      </c>
    </row>
    <row r="19" spans="2:8" x14ac:dyDescent="0.3">
      <c r="B19" s="29" t="str">
        <f>IF(기초자료입력!B44&lt;&gt;"",1,"")</f>
        <v/>
      </c>
      <c r="C19" s="29" t="str">
        <f>IF(기초자료입력!B44&lt;&gt;"",기초자료입력!B44,"")</f>
        <v/>
      </c>
      <c r="D19" s="29" t="str">
        <f>IF(OR(기초자료입력!B44="",기초자료입력!C44=""),"",기초자료입력!C44)</f>
        <v/>
      </c>
      <c r="E19" s="29" t="str">
        <f>IF(OR(기초자료입력!B44="",기초자료입력!D44=""),"",기초자료입력!D44)</f>
        <v/>
      </c>
      <c r="F19" s="29" t="str">
        <f>IF(OR(기초자료입력!B44="",기초자료입력!E44=""),"",기초자료입력!E44)</f>
        <v/>
      </c>
      <c r="G19" s="29" t="str">
        <f>IF(OR(기초자료입력!B44="",기초자료입력!F44=""),"",기초자료입력!F44)</f>
        <v/>
      </c>
      <c r="H19" s="29" t="str">
        <f>IF(기초자료입력!B44="","",IF(OR(D19="",E19="",F19="",G19=""),"",D19+E19+F19+G19))</f>
        <v/>
      </c>
    </row>
    <row r="20" spans="2:8" x14ac:dyDescent="0.3">
      <c r="B20" s="29" t="str">
        <f>IF(기초자료입력!B45&lt;&gt;"",2,"")</f>
        <v/>
      </c>
      <c r="C20" s="29" t="str">
        <f>IF(기초자료입력!B45&lt;&gt;"",기초자료입력!B45,"")</f>
        <v/>
      </c>
      <c r="D20" s="29" t="str">
        <f>IF(OR(기초자료입력!B45="",기초자료입력!C45=""),"",기초자료입력!C45)</f>
        <v/>
      </c>
      <c r="E20" s="29" t="str">
        <f>IF(OR(기초자료입력!B45="",기초자료입력!D45=""),"",기초자료입력!D45)</f>
        <v/>
      </c>
      <c r="F20" s="29" t="str">
        <f>IF(OR(기초자료입력!B45="",기초자료입력!E45=""),"",기초자료입력!E45)</f>
        <v/>
      </c>
      <c r="G20" s="29" t="str">
        <f>IF(OR(기초자료입력!B45="",기초자료입력!F45=""),"",기초자료입력!F45)</f>
        <v/>
      </c>
      <c r="H20" s="29" t="str">
        <f>IF(기초자료입력!B45="","",IF(OR(D20="",E20="",F20="",G20=""),"",D20+E20+F20+G20))</f>
        <v/>
      </c>
    </row>
    <row r="21" spans="2:8" x14ac:dyDescent="0.3">
      <c r="B21" s="29" t="str">
        <f>IF(기초자료입력!B46&lt;&gt;"",3,"")</f>
        <v/>
      </c>
      <c r="C21" s="29" t="str">
        <f>IF(기초자료입력!B46&lt;&gt;"",기초자료입력!B46,"")</f>
        <v/>
      </c>
      <c r="D21" s="29" t="str">
        <f>IF(OR(기초자료입력!B46="",기초자료입력!C46=""),"",기초자료입력!C46)</f>
        <v/>
      </c>
      <c r="E21" s="29" t="str">
        <f>IF(OR(기초자료입력!B46="",기초자료입력!D46=""),"",기초자료입력!D46)</f>
        <v/>
      </c>
      <c r="F21" s="29" t="str">
        <f>IF(OR(기초자료입력!B46="",기초자료입력!E46=""),"",기초자료입력!E46)</f>
        <v/>
      </c>
      <c r="G21" s="29" t="str">
        <f>IF(OR(기초자료입력!B46="",기초자료입력!F46=""),"",기초자료입력!F46)</f>
        <v/>
      </c>
      <c r="H21" s="29" t="str">
        <f>IF(기초자료입력!B46="","",IF(OR(D21="",E21="",F21="",G21=""),"",D21+E21+F21+G21))</f>
        <v/>
      </c>
    </row>
    <row r="22" spans="2:8" x14ac:dyDescent="0.3">
      <c r="B22" s="29" t="str">
        <f>IF(기초자료입력!B47&lt;&gt;"",4,"")</f>
        <v/>
      </c>
      <c r="C22" s="29" t="str">
        <f>IF(기초자료입력!B47&lt;&gt;"",기초자료입력!B47,"")</f>
        <v/>
      </c>
      <c r="D22" s="29" t="str">
        <f>IF(OR(기초자료입력!B47="",기초자료입력!C47=""),"",기초자료입력!C47)</f>
        <v/>
      </c>
      <c r="E22" s="29" t="str">
        <f>IF(OR(기초자료입력!B47="",기초자료입력!D47=""),"",기초자료입력!D47)</f>
        <v/>
      </c>
      <c r="F22" s="29" t="str">
        <f>IF(OR(기초자료입력!B47="",기초자료입력!E47=""),"",기초자료입력!E47)</f>
        <v/>
      </c>
      <c r="G22" s="29" t="str">
        <f>IF(OR(기초자료입력!B47="",기초자료입력!F47=""),"",기초자료입력!F47)</f>
        <v/>
      </c>
      <c r="H22" s="29" t="str">
        <f>IF(기초자료입력!B47="","",IF(OR(D22="",E22="",F22="",G22=""),"",D22+E22+F22+G22))</f>
        <v/>
      </c>
    </row>
    <row r="23" spans="2:8" x14ac:dyDescent="0.3">
      <c r="B23" s="29" t="str">
        <f>IF(기초자료입력!B48&lt;&gt;"",5,"")</f>
        <v/>
      </c>
      <c r="C23" s="29" t="str">
        <f>IF(기초자료입력!B48&lt;&gt;"",기초자료입력!B48,"")</f>
        <v/>
      </c>
      <c r="D23" s="29" t="str">
        <f>IF(OR(기초자료입력!B48="",기초자료입력!C48=""),"",기초자료입력!C48)</f>
        <v/>
      </c>
      <c r="E23" s="29" t="str">
        <f>IF(OR(기초자료입력!B48="",기초자료입력!D48=""),"",기초자료입력!D48)</f>
        <v/>
      </c>
      <c r="F23" s="29" t="str">
        <f>IF(OR(기초자료입력!B48="",기초자료입력!E48=""),"",기초자료입력!E48)</f>
        <v/>
      </c>
      <c r="G23" s="29" t="str">
        <f>IF(OR(기초자료입력!B48="",기초자료입력!F48=""),"",기초자료입력!F48)</f>
        <v/>
      </c>
      <c r="H23" s="29" t="str">
        <f>IF(기초자료입력!B48="","",IF(OR(D23="",E23="",F23="",G23=""),"",D23+E23+F23+G23))</f>
        <v/>
      </c>
    </row>
    <row r="24" spans="2:8" x14ac:dyDescent="0.3">
      <c r="B24" s="29" t="str">
        <f>IF(기초자료입력!B49&lt;&gt;"",6,"")</f>
        <v/>
      </c>
      <c r="C24" s="29" t="str">
        <f>IF(기초자료입력!B49&lt;&gt;"",기초자료입력!B49,"")</f>
        <v/>
      </c>
      <c r="D24" s="29" t="str">
        <f>IF(OR(기초자료입력!B49="",기초자료입력!C49=""),"",기초자료입력!C49)</f>
        <v/>
      </c>
      <c r="E24" s="29" t="str">
        <f>IF(OR(기초자료입력!B49="",기초자료입력!D49=""),"",기초자료입력!D49)</f>
        <v/>
      </c>
      <c r="F24" s="29" t="str">
        <f>IF(OR(기초자료입력!B49="",기초자료입력!E49=""),"",기초자료입력!E49)</f>
        <v/>
      </c>
      <c r="G24" s="29" t="str">
        <f>IF(OR(기초자료입력!B49="",기초자료입력!F49=""),"",기초자료입력!F49)</f>
        <v/>
      </c>
      <c r="H24" s="29" t="str">
        <f>IF(기초자료입력!B49="","",IF(OR(D24="",E24="",F24="",G24=""),"",D24+E24+F24+G24))</f>
        <v/>
      </c>
    </row>
    <row r="25" spans="2:8" x14ac:dyDescent="0.3">
      <c r="B25" s="29" t="str">
        <f>IF(기초자료입력!B50&lt;&gt;"",7,"")</f>
        <v/>
      </c>
      <c r="C25" s="29" t="str">
        <f>IF(기초자료입력!B50&lt;&gt;"",기초자료입력!B50,"")</f>
        <v/>
      </c>
      <c r="D25" s="29" t="str">
        <f>IF(OR(기초자료입력!B50="",기초자료입력!C50=""),"",기초자료입력!C50)</f>
        <v/>
      </c>
      <c r="E25" s="29" t="str">
        <f>IF(OR(기초자료입력!B50="",기초자료입력!D50=""),"",기초자료입력!D50)</f>
        <v/>
      </c>
      <c r="F25" s="29" t="str">
        <f>IF(OR(기초자료입력!B50="",기초자료입력!E50=""),"",기초자료입력!E50)</f>
        <v/>
      </c>
      <c r="G25" s="29" t="str">
        <f>IF(OR(기초자료입력!B50="",기초자료입력!F50=""),"",기초자료입력!F50)</f>
        <v/>
      </c>
      <c r="H25" s="29" t="str">
        <f>IF(기초자료입력!B50="","",IF(OR(D25="",E25="",F25="",G25=""),"",D25+E25+F25+G25))</f>
        <v/>
      </c>
    </row>
    <row r="26" spans="2:8" x14ac:dyDescent="0.3">
      <c r="B26" s="29" t="str">
        <f>IF(기초자료입력!B51&lt;&gt;"",8,"")</f>
        <v/>
      </c>
      <c r="C26" s="29" t="str">
        <f>IF(기초자료입력!B51&lt;&gt;"",기초자료입력!B51,"")</f>
        <v/>
      </c>
      <c r="D26" s="29" t="str">
        <f>IF(OR(기초자료입력!B51="",기초자료입력!C51=""),"",기초자료입력!C51)</f>
        <v/>
      </c>
      <c r="E26" s="29" t="str">
        <f>IF(OR(기초자료입력!B51="",기초자료입력!D51=""),"",기초자료입력!D51)</f>
        <v/>
      </c>
      <c r="F26" s="29" t="str">
        <f>IF(OR(기초자료입력!B51="",기초자료입력!E51=""),"",기초자료입력!E51)</f>
        <v/>
      </c>
      <c r="G26" s="29" t="str">
        <f>IF(OR(기초자료입력!B51="",기초자료입력!F51=""),"",기초자료입력!F51)</f>
        <v/>
      </c>
      <c r="H26" s="29" t="str">
        <f>IF(기초자료입력!B51="","",IF(OR(D26="",E26="",F26="",G26=""),"",D26+E26+F26+G26))</f>
        <v/>
      </c>
    </row>
    <row r="27" spans="2:8" x14ac:dyDescent="0.3">
      <c r="B27" s="29" t="str">
        <f>IF(기초자료입력!B52&lt;&gt;"",9,"")</f>
        <v/>
      </c>
      <c r="C27" s="29" t="str">
        <f>IF(기초자료입력!B52&lt;&gt;"",기초자료입력!B52,"")</f>
        <v/>
      </c>
      <c r="D27" s="29" t="str">
        <f>IF(OR(기초자료입력!B52="",기초자료입력!C52=""),"",기초자료입력!C52)</f>
        <v/>
      </c>
      <c r="E27" s="29" t="str">
        <f>IF(OR(기초자료입력!B52="",기초자료입력!D52=""),"",기초자료입력!D52)</f>
        <v/>
      </c>
      <c r="F27" s="29" t="str">
        <f>IF(OR(기초자료입력!B52="",기초자료입력!E52=""),"",기초자료입력!E52)</f>
        <v/>
      </c>
      <c r="G27" s="29" t="str">
        <f>IF(OR(기초자료입력!B52="",기초자료입력!F52=""),"",기초자료입력!F52)</f>
        <v/>
      </c>
      <c r="H27" s="29" t="str">
        <f>IF(기초자료입력!B52="","",IF(OR(D27="",E27="",F27="",G27=""),"",D27+E27+F27+G27))</f>
        <v/>
      </c>
    </row>
    <row r="28" spans="2:8" x14ac:dyDescent="0.3">
      <c r="B28" s="29" t="str">
        <f>IF(기초자료입력!B53&lt;&gt;"",10,"")</f>
        <v/>
      </c>
      <c r="C28" s="29" t="str">
        <f>IF(기초자료입력!B53&lt;&gt;"",기초자료입력!B53,"")</f>
        <v/>
      </c>
      <c r="D28" s="29" t="str">
        <f>IF(OR(기초자료입력!B53="",기초자료입력!C53=""),"",기초자료입력!C53)</f>
        <v/>
      </c>
      <c r="E28" s="29" t="str">
        <f>IF(OR(기초자료입력!B53="",기초자료입력!D53=""),"",기초자료입력!D53)</f>
        <v/>
      </c>
      <c r="F28" s="29" t="str">
        <f>IF(OR(기초자료입력!B53="",기초자료입력!E53=""),"",기초자료입력!E53)</f>
        <v/>
      </c>
      <c r="G28" s="29" t="str">
        <f>IF(OR(기초자료입력!B53="",기초자료입력!F53=""),"",기초자료입력!F53)</f>
        <v/>
      </c>
      <c r="H28" s="29" t="str">
        <f>IF(기초자료입력!B53="","",IF(OR(D28="",E28="",F28="",G28=""),"",D28+E28+F28+G28))</f>
        <v/>
      </c>
    </row>
    <row r="29" spans="2:8" x14ac:dyDescent="0.3">
      <c r="B29" s="38"/>
      <c r="C29" s="38"/>
      <c r="D29" s="38"/>
      <c r="E29" s="38"/>
      <c r="F29" s="38"/>
      <c r="G29" s="38"/>
      <c r="H29" s="38"/>
    </row>
    <row r="30" spans="2:8" x14ac:dyDescent="0.3">
      <c r="B30" s="91" t="s">
        <v>917</v>
      </c>
      <c r="C30" s="91"/>
      <c r="D30" s="91"/>
      <c r="E30" s="91"/>
      <c r="F30" s="91"/>
      <c r="G30" s="91"/>
      <c r="H30" s="91"/>
    </row>
    <row r="31" spans="2:8" x14ac:dyDescent="0.3">
      <c r="B31" s="38"/>
      <c r="C31" s="38"/>
      <c r="D31" s="38"/>
      <c r="E31" s="38"/>
      <c r="F31" s="38"/>
      <c r="G31" s="38"/>
      <c r="H31" s="38"/>
    </row>
    <row r="32" spans="2:8" x14ac:dyDescent="0.3">
      <c r="B32" s="38"/>
      <c r="C32" s="38"/>
      <c r="D32" s="38"/>
      <c r="E32" s="38"/>
      <c r="F32" s="38"/>
      <c r="G32" s="38"/>
      <c r="H32" s="38"/>
    </row>
    <row r="33" spans="2:8" x14ac:dyDescent="0.3">
      <c r="B33" s="38"/>
      <c r="C33" s="38"/>
      <c r="D33" s="38"/>
      <c r="E33" s="38"/>
      <c r="F33" s="54" t="s">
        <v>293</v>
      </c>
      <c r="G33" s="54" t="s">
        <v>304</v>
      </c>
      <c r="H33" s="54" t="s">
        <v>294</v>
      </c>
    </row>
    <row r="34" spans="2:8" x14ac:dyDescent="0.3">
      <c r="B34" s="53" t="s">
        <v>305</v>
      </c>
      <c r="C34" s="81" t="str">
        <f>IF(기초자료입력!C9&lt;&gt;"",기초자료입력!C9,"")</f>
        <v/>
      </c>
      <c r="D34" s="81"/>
      <c r="E34" s="81"/>
      <c r="F34" s="54" t="s">
        <v>306</v>
      </c>
      <c r="G34" s="94"/>
      <c r="H34" s="94"/>
    </row>
    <row r="35" spans="2:8" x14ac:dyDescent="0.3">
      <c r="B35" s="53" t="s">
        <v>307</v>
      </c>
      <c r="C35" s="38"/>
      <c r="D35" s="53" t="s">
        <v>308</v>
      </c>
      <c r="E35" s="81"/>
      <c r="F35" s="94"/>
      <c r="G35" s="94"/>
      <c r="H35" s="94"/>
    </row>
    <row r="36" spans="2:8" x14ac:dyDescent="0.3">
      <c r="B36" s="53" t="s">
        <v>309</v>
      </c>
      <c r="C36" s="38"/>
      <c r="D36" s="53" t="s">
        <v>310</v>
      </c>
      <c r="E36" s="38"/>
      <c r="F36" s="54" t="s">
        <v>311</v>
      </c>
      <c r="G36" s="94"/>
      <c r="H36" s="94"/>
    </row>
  </sheetData>
  <mergeCells count="15">
    <mergeCell ref="B13:H14"/>
    <mergeCell ref="B3:H4"/>
    <mergeCell ref="C7:H7"/>
    <mergeCell ref="C8:H8"/>
    <mergeCell ref="C9:H9"/>
    <mergeCell ref="B11:H11"/>
    <mergeCell ref="E35:H35"/>
    <mergeCell ref="G36:H36"/>
    <mergeCell ref="B16:H16"/>
    <mergeCell ref="B17:B18"/>
    <mergeCell ref="C17:C18"/>
    <mergeCell ref="D17:H17"/>
    <mergeCell ref="B30:H30"/>
    <mergeCell ref="C34:E34"/>
    <mergeCell ref="G34:H34"/>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44856-C5CA-4670-887A-2EE01614B785}">
  <sheetPr codeName="Sheet11"/>
  <dimension ref="A1:H38"/>
  <sheetViews>
    <sheetView workbookViewId="0"/>
  </sheetViews>
  <sheetFormatPr defaultRowHeight="16.5" x14ac:dyDescent="0.3"/>
  <cols>
    <col min="1" max="1" width="3.125" customWidth="1"/>
    <col min="2" max="2" width="9.625" customWidth="1"/>
    <col min="3" max="3" width="14.625" customWidth="1"/>
    <col min="4" max="4" width="16.625" customWidth="1"/>
    <col min="5" max="5" width="12.625" customWidth="1"/>
    <col min="6" max="8" width="8.625" customWidth="1"/>
  </cols>
  <sheetData>
    <row r="1" spans="1:8" x14ac:dyDescent="0.3">
      <c r="A1" s="20" t="s">
        <v>906</v>
      </c>
    </row>
    <row r="3" spans="1:8" x14ac:dyDescent="0.3">
      <c r="B3" s="92" t="str">
        <f>IF(기초자료입력!C4&lt;&gt;"",기초자료입력!C4,"○○학교")&amp;" 교복 제안서 평가위원회 개최"</f>
        <v>○○학교 교복 제안서 평가위원회 개최</v>
      </c>
      <c r="C3" s="93"/>
      <c r="D3" s="93"/>
      <c r="E3" s="93"/>
      <c r="F3" s="93"/>
      <c r="G3" s="93"/>
      <c r="H3" s="93"/>
    </row>
    <row r="4" spans="1:8" x14ac:dyDescent="0.3">
      <c r="B4" s="93"/>
      <c r="C4" s="93"/>
      <c r="D4" s="93"/>
      <c r="E4" s="93"/>
      <c r="F4" s="93"/>
      <c r="G4" s="93"/>
      <c r="H4" s="93"/>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4" t="s">
        <v>510</v>
      </c>
      <c r="D7" s="94"/>
      <c r="E7" s="94"/>
      <c r="F7" s="94"/>
      <c r="G7" s="94"/>
      <c r="H7" s="94"/>
    </row>
    <row r="8" spans="1:8" x14ac:dyDescent="0.3">
      <c r="B8" s="54" t="s">
        <v>297</v>
      </c>
      <c r="C8" s="94"/>
      <c r="D8" s="94"/>
      <c r="E8" s="94"/>
      <c r="F8" s="94"/>
      <c r="G8" s="94"/>
      <c r="H8" s="94"/>
    </row>
    <row r="9" spans="1:8" x14ac:dyDescent="0.3">
      <c r="B9" s="54" t="s">
        <v>291</v>
      </c>
      <c r="C9" s="96" t="str">
        <f>IF(기초자료입력!C22&lt;&gt;"",기초자료입력!C22,IF(기초자료입력!C5&lt;&gt;"",기초자료입력!C5,"20○○")&amp;"학년도 교복 학교주관구매 제안서 평가위원회 개최")</f>
        <v>20○○학년도 교복 학교주관구매 제안서 평가위원회 개최</v>
      </c>
      <c r="D9" s="94"/>
      <c r="E9" s="94"/>
      <c r="F9" s="94"/>
      <c r="G9" s="94"/>
      <c r="H9" s="94"/>
    </row>
    <row r="10" spans="1:8" x14ac:dyDescent="0.3">
      <c r="B10" s="38"/>
      <c r="C10" s="38"/>
      <c r="D10" s="38"/>
      <c r="E10" s="38"/>
      <c r="F10" s="38"/>
      <c r="G10" s="38"/>
      <c r="H10" s="38"/>
    </row>
    <row r="11" spans="1:8" x14ac:dyDescent="0.3">
      <c r="B11" s="86" t="str">
        <f>"1. "&amp;IF(기초자료입력!C23&lt;&gt;"",기초자료입력!C23,"관련 문서를 확인하십시오.")</f>
        <v>1. 관련 문서를 확인하십시오.</v>
      </c>
      <c r="C11" s="81"/>
      <c r="D11" s="81"/>
      <c r="E11" s="81"/>
      <c r="F11" s="81"/>
      <c r="G11" s="81"/>
      <c r="H11" s="81"/>
    </row>
    <row r="12" spans="1:8" x14ac:dyDescent="0.3">
      <c r="B12" s="38"/>
      <c r="C12" s="38"/>
      <c r="D12" s="38"/>
      <c r="E12" s="38"/>
      <c r="F12" s="38"/>
      <c r="G12" s="38"/>
      <c r="H12" s="38"/>
    </row>
    <row r="13" spans="1:8" ht="27.95" customHeight="1" x14ac:dyDescent="0.3">
      <c r="B13" s="91" t="str">
        <f>"2. "&amp;IF(기초자료입력!C5&lt;&gt;"",기초자료입력!C5,"20○○")&amp;"학년도 교복 학교주관구매 제안서 평가위원회를 아래와 같이 개최하고자 합니다."</f>
        <v>2. 20○○학년도 교복 학교주관구매 제안서 평가위원회를 아래와 같이 개최하고자 합니다.</v>
      </c>
      <c r="C13" s="91"/>
      <c r="D13" s="91"/>
      <c r="E13" s="91"/>
      <c r="F13" s="91"/>
      <c r="G13" s="91"/>
      <c r="H13" s="91"/>
    </row>
    <row r="14" spans="1:8" x14ac:dyDescent="0.3">
      <c r="B14" s="91"/>
      <c r="C14" s="91"/>
      <c r="D14" s="91"/>
      <c r="E14" s="91"/>
      <c r="F14" s="91"/>
      <c r="G14" s="91"/>
      <c r="H14" s="91"/>
    </row>
    <row r="15" spans="1:8" x14ac:dyDescent="0.3">
      <c r="B15" s="38"/>
      <c r="C15" s="38"/>
      <c r="D15" s="38"/>
      <c r="E15" s="38"/>
      <c r="F15" s="38"/>
      <c r="G15" s="38"/>
      <c r="H15" s="38"/>
    </row>
    <row r="16" spans="1:8" x14ac:dyDescent="0.3">
      <c r="B16" s="53" t="s">
        <v>907</v>
      </c>
      <c r="C16" s="97"/>
      <c r="D16" s="81"/>
      <c r="E16" s="81"/>
      <c r="F16" s="81"/>
      <c r="G16" s="81"/>
      <c r="H16" s="81"/>
    </row>
    <row r="17" spans="2:8" x14ac:dyDescent="0.3">
      <c r="B17" s="53" t="s">
        <v>908</v>
      </c>
      <c r="C17" s="97"/>
      <c r="D17" s="81"/>
      <c r="E17" s="81"/>
      <c r="F17" s="81"/>
      <c r="G17" s="81"/>
      <c r="H17" s="81"/>
    </row>
    <row r="18" spans="2:8" x14ac:dyDescent="0.3">
      <c r="B18" s="53" t="s">
        <v>909</v>
      </c>
      <c r="C18" s="81" t="str">
        <f>IF(COUNTA(기초자료입력!B58:B67)&gt;0,"평가위원 "&amp;COUNTA(기초자료입력!B58:B67)&amp;"명","")</f>
        <v/>
      </c>
      <c r="D18" s="81"/>
      <c r="E18" s="81"/>
      <c r="F18" s="81"/>
      <c r="G18" s="81"/>
      <c r="H18" s="81"/>
    </row>
    <row r="19" spans="2:8" x14ac:dyDescent="0.3">
      <c r="B19" s="38"/>
      <c r="C19" s="38"/>
      <c r="D19" s="38"/>
      <c r="E19" s="38"/>
      <c r="F19" s="38"/>
      <c r="G19" s="38"/>
      <c r="H19" s="38"/>
    </row>
    <row r="20" spans="2:8" x14ac:dyDescent="0.3">
      <c r="B20" s="61" t="s">
        <v>520</v>
      </c>
      <c r="C20" s="61" t="s">
        <v>327</v>
      </c>
      <c r="D20" s="61" t="s">
        <v>522</v>
      </c>
      <c r="E20" s="61" t="s">
        <v>316</v>
      </c>
      <c r="F20" s="38"/>
      <c r="G20" s="38"/>
      <c r="H20" s="38"/>
    </row>
    <row r="21" spans="2:8" x14ac:dyDescent="0.3">
      <c r="B21" s="29" t="str">
        <f>IF(기초자료입력!B58&lt;&gt;"",1,"")</f>
        <v/>
      </c>
      <c r="C21" s="29" t="str">
        <f>IF(기초자료입력!B58&lt;&gt;"","위원장","")</f>
        <v/>
      </c>
      <c r="D21" s="29" t="str">
        <f>IF(기초자료입력!C58&lt;&gt;"",기초자료입력!C58,"")</f>
        <v/>
      </c>
      <c r="E21" s="29"/>
      <c r="F21" s="38"/>
      <c r="G21" s="38"/>
      <c r="H21" s="38"/>
    </row>
    <row r="22" spans="2:8" x14ac:dyDescent="0.3">
      <c r="B22" s="29" t="str">
        <f>IF(기초자료입력!B59&lt;&gt;"",2,"")</f>
        <v/>
      </c>
      <c r="C22" s="29" t="str">
        <f>IF(기초자료입력!B59&lt;&gt;"","부위원장","")</f>
        <v/>
      </c>
      <c r="D22" s="29" t="str">
        <f>IF(기초자료입력!C59&lt;&gt;"",기초자료입력!C59,"")</f>
        <v/>
      </c>
      <c r="E22" s="29"/>
      <c r="F22" s="38"/>
      <c r="G22" s="38"/>
      <c r="H22" s="38"/>
    </row>
    <row r="23" spans="2:8" x14ac:dyDescent="0.3">
      <c r="B23" s="29" t="str">
        <f>IF(기초자료입력!B60&lt;&gt;"",3,"")</f>
        <v/>
      </c>
      <c r="C23" s="29" t="str">
        <f>IF(기초자료입력!B60&lt;&gt;"","위원","")</f>
        <v/>
      </c>
      <c r="D23" s="29" t="str">
        <f>IF(기초자료입력!C60&lt;&gt;"",기초자료입력!C60,"")</f>
        <v/>
      </c>
      <c r="E23" s="29"/>
      <c r="F23" s="38"/>
      <c r="G23" s="38"/>
      <c r="H23" s="38"/>
    </row>
    <row r="24" spans="2:8" x14ac:dyDescent="0.3">
      <c r="B24" s="29" t="str">
        <f>IF(기초자료입력!B61&lt;&gt;"",4,"")</f>
        <v/>
      </c>
      <c r="C24" s="29" t="str">
        <f>IF(기초자료입력!B61&lt;&gt;"","위원","")</f>
        <v/>
      </c>
      <c r="D24" s="29" t="str">
        <f>IF(기초자료입력!C61&lt;&gt;"",기초자료입력!C61,"")</f>
        <v/>
      </c>
      <c r="E24" s="29"/>
      <c r="F24" s="38"/>
      <c r="G24" s="38"/>
      <c r="H24" s="38"/>
    </row>
    <row r="25" spans="2:8" x14ac:dyDescent="0.3">
      <c r="B25" s="29" t="str">
        <f>IF(기초자료입력!B62&lt;&gt;"",5,"")</f>
        <v/>
      </c>
      <c r="C25" s="29" t="str">
        <f>IF(기초자료입력!B62&lt;&gt;"","위원","")</f>
        <v/>
      </c>
      <c r="D25" s="29" t="str">
        <f>IF(기초자료입력!C62&lt;&gt;"",기초자료입력!C62,"")</f>
        <v/>
      </c>
      <c r="E25" s="29"/>
      <c r="F25" s="38"/>
      <c r="G25" s="38"/>
      <c r="H25" s="38"/>
    </row>
    <row r="26" spans="2:8" x14ac:dyDescent="0.3">
      <c r="B26" s="29" t="str">
        <f>IF(기초자료입력!B63&lt;&gt;"",6,"")</f>
        <v/>
      </c>
      <c r="C26" s="29" t="str">
        <f>IF(기초자료입력!B63&lt;&gt;"","위원","")</f>
        <v/>
      </c>
      <c r="D26" s="29" t="str">
        <f>IF(기초자료입력!C63&lt;&gt;"",기초자료입력!C63,"")</f>
        <v/>
      </c>
      <c r="E26" s="29"/>
      <c r="F26" s="38"/>
      <c r="G26" s="38"/>
      <c r="H26" s="38"/>
    </row>
    <row r="27" spans="2:8" x14ac:dyDescent="0.3">
      <c r="B27" s="29" t="str">
        <f>IF(기초자료입력!B64&lt;&gt;"",7,"")</f>
        <v/>
      </c>
      <c r="C27" s="29" t="str">
        <f>IF(기초자료입력!B64&lt;&gt;"","위원","")</f>
        <v/>
      </c>
      <c r="D27" s="29" t="str">
        <f>IF(기초자료입력!C64&lt;&gt;"",기초자료입력!C64,"")</f>
        <v/>
      </c>
      <c r="E27" s="29"/>
      <c r="F27" s="38"/>
      <c r="G27" s="38"/>
      <c r="H27" s="38"/>
    </row>
    <row r="28" spans="2:8" x14ac:dyDescent="0.3">
      <c r="B28" s="29" t="str">
        <f>IF(기초자료입력!B65&lt;&gt;"",8,"")</f>
        <v/>
      </c>
      <c r="C28" s="29" t="str">
        <f>IF(기초자료입력!B65&lt;&gt;"","위원","")</f>
        <v/>
      </c>
      <c r="D28" s="29" t="str">
        <f>IF(기초자료입력!C65&lt;&gt;"",기초자료입력!C65,"")</f>
        <v/>
      </c>
      <c r="E28" s="29"/>
      <c r="F28" s="38"/>
      <c r="G28" s="38"/>
      <c r="H28" s="38"/>
    </row>
    <row r="29" spans="2:8" x14ac:dyDescent="0.3">
      <c r="B29" s="29" t="str">
        <f>IF(기초자료입력!B66&lt;&gt;"",9,"")</f>
        <v/>
      </c>
      <c r="C29" s="29" t="str">
        <f>IF(기초자료입력!B66&lt;&gt;"","위원","")</f>
        <v/>
      </c>
      <c r="D29" s="29" t="str">
        <f>IF(기초자료입력!C66&lt;&gt;"",기초자료입력!C66,"")</f>
        <v/>
      </c>
      <c r="E29" s="29"/>
      <c r="F29" s="38"/>
      <c r="G29" s="38"/>
      <c r="H29" s="38"/>
    </row>
    <row r="30" spans="2:8" x14ac:dyDescent="0.3">
      <c r="B30" s="29" t="str">
        <f>IF(기초자료입력!B67&lt;&gt;"",10,"")</f>
        <v/>
      </c>
      <c r="C30" s="29" t="str">
        <f>IF(기초자료입력!B67&lt;&gt;"","위원","")</f>
        <v/>
      </c>
      <c r="D30" s="29" t="str">
        <f>IF(기초자료입력!C67&lt;&gt;"",기초자료입력!C67,"")</f>
        <v/>
      </c>
      <c r="E30" s="29"/>
      <c r="F30" s="38"/>
      <c r="G30" s="38"/>
      <c r="H30" s="38"/>
    </row>
    <row r="31" spans="2:8" x14ac:dyDescent="0.3">
      <c r="B31" s="38"/>
      <c r="C31" s="38"/>
      <c r="D31" s="38"/>
      <c r="E31" s="38"/>
      <c r="F31" s="38"/>
      <c r="G31" s="38"/>
      <c r="H31" s="38"/>
    </row>
    <row r="32" spans="2:8" x14ac:dyDescent="0.3">
      <c r="B32" s="81" t="s">
        <v>910</v>
      </c>
      <c r="C32" s="81"/>
      <c r="D32" s="81"/>
      <c r="E32" s="81"/>
      <c r="F32" s="81"/>
      <c r="G32" s="81"/>
      <c r="H32" s="81"/>
    </row>
    <row r="33" spans="2:8" x14ac:dyDescent="0.3">
      <c r="B33" s="38"/>
      <c r="C33" s="38"/>
      <c r="D33" s="38"/>
      <c r="E33" s="38"/>
      <c r="F33" s="38"/>
      <c r="G33" s="38"/>
      <c r="H33" s="38"/>
    </row>
    <row r="34" spans="2:8" x14ac:dyDescent="0.3">
      <c r="B34" s="38"/>
      <c r="C34" s="38"/>
      <c r="D34" s="38"/>
      <c r="E34" s="38"/>
      <c r="F34" s="38"/>
      <c r="G34" s="38"/>
      <c r="H34" s="38"/>
    </row>
    <row r="35" spans="2:8" x14ac:dyDescent="0.3">
      <c r="B35" s="38"/>
      <c r="C35" s="38"/>
      <c r="D35" s="38"/>
      <c r="E35" s="38"/>
      <c r="F35" s="54" t="s">
        <v>293</v>
      </c>
      <c r="G35" s="54" t="s">
        <v>304</v>
      </c>
      <c r="H35" s="54" t="s">
        <v>294</v>
      </c>
    </row>
    <row r="36" spans="2:8" x14ac:dyDescent="0.3">
      <c r="B36" s="53" t="s">
        <v>305</v>
      </c>
      <c r="C36" s="81" t="str">
        <f>IF(기초자료입력!C9&lt;&gt;"",기초자료입력!C9,"")</f>
        <v/>
      </c>
      <c r="D36" s="81"/>
      <c r="E36" s="81"/>
      <c r="F36" s="54" t="s">
        <v>306</v>
      </c>
      <c r="G36" s="94"/>
      <c r="H36" s="94"/>
    </row>
    <row r="37" spans="2:8" x14ac:dyDescent="0.3">
      <c r="B37" s="53" t="s">
        <v>307</v>
      </c>
      <c r="C37" s="38"/>
      <c r="D37" s="53" t="s">
        <v>308</v>
      </c>
      <c r="E37" s="81"/>
      <c r="F37" s="94"/>
      <c r="G37" s="94"/>
      <c r="H37" s="94"/>
    </row>
    <row r="38" spans="2:8" x14ac:dyDescent="0.3">
      <c r="B38" s="53" t="s">
        <v>309</v>
      </c>
      <c r="C38" s="38"/>
      <c r="D38" s="53" t="s">
        <v>310</v>
      </c>
      <c r="E38" s="38"/>
      <c r="F38" s="54" t="s">
        <v>311</v>
      </c>
      <c r="G38" s="94"/>
      <c r="H38" s="94"/>
    </row>
  </sheetData>
  <mergeCells count="14">
    <mergeCell ref="B13:H14"/>
    <mergeCell ref="B3:H4"/>
    <mergeCell ref="C7:H7"/>
    <mergeCell ref="C8:H8"/>
    <mergeCell ref="C9:H9"/>
    <mergeCell ref="B11:H11"/>
    <mergeCell ref="E37:H37"/>
    <mergeCell ref="G38:H38"/>
    <mergeCell ref="C16:H16"/>
    <mergeCell ref="C17:H17"/>
    <mergeCell ref="C18:H18"/>
    <mergeCell ref="B32:H32"/>
    <mergeCell ref="C36:E36"/>
    <mergeCell ref="G36:H36"/>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5AFB8-68CE-4C4C-830F-B84941475DB2}">
  <sheetPr codeName="Sheet12"/>
  <dimension ref="A1:Q21"/>
  <sheetViews>
    <sheetView workbookViewId="0"/>
  </sheetViews>
  <sheetFormatPr defaultRowHeight="16.5" x14ac:dyDescent="0.3"/>
  <cols>
    <col min="1" max="1" width="3.125" customWidth="1"/>
    <col min="2" max="3" width="8.625" customWidth="1"/>
    <col min="4" max="4" width="16.625" customWidth="1"/>
    <col min="5" max="12" width="8.625" customWidth="1"/>
  </cols>
  <sheetData>
    <row r="1" spans="1:17" x14ac:dyDescent="0.3">
      <c r="A1" s="20" t="s">
        <v>893</v>
      </c>
    </row>
    <row r="3" spans="1:17" x14ac:dyDescent="0.3">
      <c r="B3" s="82" t="str">
        <f>IF(기초자료입력!C5&lt;&gt;"",기초자료입력!C5,"20○○")&amp;"학년도 교복 학교주관구매 제안서 접수대장"</f>
        <v>20○○학년도 교복 학교주관구매 제안서 접수대장</v>
      </c>
      <c r="C3" s="83"/>
      <c r="D3" s="83"/>
      <c r="E3" s="83"/>
      <c r="F3" s="83"/>
      <c r="G3" s="83"/>
      <c r="H3" s="83"/>
      <c r="I3" s="83"/>
      <c r="J3" s="83"/>
      <c r="K3" s="83"/>
      <c r="L3" s="83"/>
    </row>
    <row r="4" spans="1:17" x14ac:dyDescent="0.3">
      <c r="B4" s="83" t="str">
        <f>IF(기초자료입력!C4&lt;&gt;"",기초자료입력!C4,"○○학교")</f>
        <v>○○학교</v>
      </c>
      <c r="C4" s="83"/>
      <c r="D4" s="83"/>
      <c r="E4" s="83"/>
      <c r="F4" s="83"/>
      <c r="G4" s="83"/>
      <c r="H4" s="83"/>
      <c r="I4" s="83"/>
      <c r="J4" s="83"/>
      <c r="K4" s="83"/>
      <c r="L4" s="83"/>
    </row>
    <row r="5" spans="1:17" x14ac:dyDescent="0.3">
      <c r="B5" s="38"/>
      <c r="C5" s="38"/>
      <c r="D5" s="38"/>
      <c r="E5" s="38"/>
      <c r="F5" s="38"/>
      <c r="G5" s="38"/>
      <c r="H5" s="38"/>
      <c r="I5" s="38"/>
      <c r="J5" s="38"/>
      <c r="K5" s="38"/>
      <c r="L5" s="38"/>
    </row>
    <row r="6" spans="1:17" ht="30" customHeight="1" x14ac:dyDescent="0.3">
      <c r="B6" s="87" t="s">
        <v>894</v>
      </c>
      <c r="C6" s="87" t="s">
        <v>895</v>
      </c>
      <c r="D6" s="87" t="s">
        <v>896</v>
      </c>
      <c r="E6" s="87"/>
      <c r="F6" s="87"/>
      <c r="G6" s="87" t="s">
        <v>897</v>
      </c>
      <c r="H6" s="87"/>
      <c r="I6" s="87"/>
      <c r="J6" s="87" t="s">
        <v>898</v>
      </c>
      <c r="K6" s="87"/>
      <c r="L6" s="87" t="s">
        <v>316</v>
      </c>
    </row>
    <row r="7" spans="1:17" ht="30" customHeight="1" x14ac:dyDescent="0.3">
      <c r="B7" s="87"/>
      <c r="C7" s="87"/>
      <c r="D7" s="68" t="s">
        <v>60</v>
      </c>
      <c r="E7" s="68" t="s">
        <v>382</v>
      </c>
      <c r="F7" s="68" t="s">
        <v>309</v>
      </c>
      <c r="G7" s="68" t="s">
        <v>899</v>
      </c>
      <c r="H7" s="68" t="s">
        <v>900</v>
      </c>
      <c r="I7" s="68" t="s">
        <v>620</v>
      </c>
      <c r="J7" s="68" t="s">
        <v>901</v>
      </c>
      <c r="K7" s="68" t="s">
        <v>899</v>
      </c>
      <c r="L7" s="87"/>
      <c r="M7" t="s">
        <v>309</v>
      </c>
      <c r="N7" s="27" t="s">
        <v>899</v>
      </c>
      <c r="O7" t="s">
        <v>900</v>
      </c>
      <c r="P7" t="s">
        <v>902</v>
      </c>
      <c r="Q7" t="s">
        <v>903</v>
      </c>
    </row>
    <row r="8" spans="1:17" x14ac:dyDescent="0.3">
      <c r="B8" s="69"/>
      <c r="C8" s="70" t="str">
        <f>IF(기초자료입력!B44&lt;&gt;"",1,"")</f>
        <v/>
      </c>
      <c r="D8" s="70" t="str">
        <f>IF(기초자료입력!B44&lt;&gt;"",기초자료입력!B44,"")</f>
        <v/>
      </c>
      <c r="E8" s="69"/>
      <c r="F8" s="69"/>
      <c r="G8" s="69"/>
      <c r="H8" s="69"/>
      <c r="I8" s="69"/>
      <c r="J8" s="69"/>
      <c r="K8" s="69"/>
      <c r="L8" s="69"/>
    </row>
    <row r="9" spans="1:17" x14ac:dyDescent="0.3">
      <c r="B9" s="69"/>
      <c r="C9" s="70" t="str">
        <f>IF(기초자료입력!B45&lt;&gt;"",2,"")</f>
        <v/>
      </c>
      <c r="D9" s="70" t="str">
        <f>IF(기초자료입력!B45&lt;&gt;"",기초자료입력!B45,"")</f>
        <v/>
      </c>
      <c r="E9" s="69"/>
      <c r="F9" s="69"/>
      <c r="G9" s="69"/>
      <c r="H9" s="69"/>
      <c r="I9" s="69"/>
      <c r="J9" s="69"/>
      <c r="K9" s="69"/>
      <c r="L9" s="69"/>
    </row>
    <row r="10" spans="1:17" x14ac:dyDescent="0.3">
      <c r="B10" s="69"/>
      <c r="C10" s="70" t="str">
        <f>IF(기초자료입력!B46&lt;&gt;"",3,"")</f>
        <v/>
      </c>
      <c r="D10" s="70" t="str">
        <f>IF(기초자료입력!B46&lt;&gt;"",기초자료입력!B46,"")</f>
        <v/>
      </c>
      <c r="E10" s="69"/>
      <c r="F10" s="69"/>
      <c r="G10" s="69"/>
      <c r="H10" s="69"/>
      <c r="I10" s="69"/>
      <c r="J10" s="69"/>
      <c r="K10" s="69"/>
      <c r="L10" s="69"/>
    </row>
    <row r="11" spans="1:17" x14ac:dyDescent="0.3">
      <c r="B11" s="69"/>
      <c r="C11" s="70" t="str">
        <f>IF(기초자료입력!B47&lt;&gt;"",4,"")</f>
        <v/>
      </c>
      <c r="D11" s="70" t="str">
        <f>IF(기초자료입력!B47&lt;&gt;"",기초자료입력!B47,"")</f>
        <v/>
      </c>
      <c r="E11" s="69"/>
      <c r="F11" s="69"/>
      <c r="G11" s="69"/>
      <c r="H11" s="69"/>
      <c r="I11" s="69"/>
      <c r="J11" s="69"/>
      <c r="K11" s="69"/>
      <c r="L11" s="69"/>
    </row>
    <row r="12" spans="1:17" x14ac:dyDescent="0.3">
      <c r="B12" s="69"/>
      <c r="C12" s="70" t="str">
        <f>IF(기초자료입력!B48&lt;&gt;"",5,"")</f>
        <v/>
      </c>
      <c r="D12" s="70" t="str">
        <f>IF(기초자료입력!B48&lt;&gt;"",기초자료입력!B48,"")</f>
        <v/>
      </c>
      <c r="E12" s="69"/>
      <c r="F12" s="69"/>
      <c r="G12" s="69"/>
      <c r="H12" s="69"/>
      <c r="I12" s="69"/>
      <c r="J12" s="69"/>
      <c r="K12" s="69"/>
      <c r="L12" s="69"/>
    </row>
    <row r="13" spans="1:17" x14ac:dyDescent="0.3">
      <c r="B13" s="69"/>
      <c r="C13" s="70" t="str">
        <f>IF(기초자료입력!B49&lt;&gt;"",6,"")</f>
        <v/>
      </c>
      <c r="D13" s="70" t="str">
        <f>IF(기초자료입력!B49&lt;&gt;"",기초자료입력!B49,"")</f>
        <v/>
      </c>
      <c r="E13" s="69"/>
      <c r="F13" s="69"/>
      <c r="G13" s="69"/>
      <c r="H13" s="69"/>
      <c r="I13" s="69"/>
      <c r="J13" s="69"/>
      <c r="K13" s="69"/>
      <c r="L13" s="69"/>
    </row>
    <row r="14" spans="1:17" x14ac:dyDescent="0.3">
      <c r="B14" s="69"/>
      <c r="C14" s="70" t="str">
        <f>IF(기초자료입력!B50&lt;&gt;"",7,"")</f>
        <v/>
      </c>
      <c r="D14" s="70" t="str">
        <f>IF(기초자료입력!B50&lt;&gt;"",기초자료입력!B50,"")</f>
        <v/>
      </c>
      <c r="E14" s="69"/>
      <c r="F14" s="69"/>
      <c r="G14" s="69"/>
      <c r="H14" s="69"/>
      <c r="I14" s="69"/>
      <c r="J14" s="69"/>
      <c r="K14" s="69"/>
      <c r="L14" s="69"/>
    </row>
    <row r="15" spans="1:17" x14ac:dyDescent="0.3">
      <c r="B15" s="69"/>
      <c r="C15" s="70" t="str">
        <f>IF(기초자료입력!B51&lt;&gt;"",8,"")</f>
        <v/>
      </c>
      <c r="D15" s="70" t="str">
        <f>IF(기초자료입력!B51&lt;&gt;"",기초자료입력!B51,"")</f>
        <v/>
      </c>
      <c r="E15" s="69"/>
      <c r="F15" s="69"/>
      <c r="G15" s="69"/>
      <c r="H15" s="69"/>
      <c r="I15" s="69"/>
      <c r="J15" s="69"/>
      <c r="K15" s="69"/>
      <c r="L15" s="69"/>
    </row>
    <row r="16" spans="1:17" x14ac:dyDescent="0.3">
      <c r="B16" s="69"/>
      <c r="C16" s="70" t="str">
        <f>IF(기초자료입력!B52&lt;&gt;"",9,"")</f>
        <v/>
      </c>
      <c r="D16" s="70" t="str">
        <f>IF(기초자료입력!B52&lt;&gt;"",기초자료입력!B52,"")</f>
        <v/>
      </c>
      <c r="E16" s="69"/>
      <c r="F16" s="69"/>
      <c r="G16" s="69"/>
      <c r="H16" s="69"/>
      <c r="I16" s="69"/>
      <c r="J16" s="69"/>
      <c r="K16" s="69"/>
      <c r="L16" s="69"/>
    </row>
    <row r="17" spans="2:12" x14ac:dyDescent="0.3">
      <c r="B17" s="69"/>
      <c r="C17" s="70" t="str">
        <f>IF(기초자료입력!B53&lt;&gt;"",10,"")</f>
        <v/>
      </c>
      <c r="D17" s="70" t="str">
        <f>IF(기초자료입력!B53&lt;&gt;"",기초자료입력!B53,"")</f>
        <v/>
      </c>
      <c r="E17" s="69"/>
      <c r="F17" s="69"/>
      <c r="G17" s="69"/>
      <c r="H17" s="69"/>
      <c r="I17" s="69"/>
      <c r="J17" s="69"/>
      <c r="K17" s="69"/>
      <c r="L17" s="69"/>
    </row>
    <row r="18" spans="2:12" x14ac:dyDescent="0.3">
      <c r="B18" s="38"/>
      <c r="C18" s="38"/>
      <c r="D18" s="38"/>
      <c r="E18" s="38"/>
      <c r="F18" s="38"/>
      <c r="G18" s="38"/>
      <c r="H18" s="38"/>
      <c r="I18" s="38"/>
      <c r="J18" s="38"/>
      <c r="K18" s="38"/>
      <c r="L18" s="38"/>
    </row>
    <row r="19" spans="2:12" x14ac:dyDescent="0.3">
      <c r="B19" s="38"/>
      <c r="C19" s="38"/>
      <c r="D19" s="38"/>
      <c r="E19" s="38"/>
      <c r="F19" s="38"/>
      <c r="G19" s="38"/>
      <c r="H19" s="38"/>
      <c r="I19" s="38"/>
      <c r="J19" s="38"/>
      <c r="K19" s="38"/>
      <c r="L19" s="38"/>
    </row>
    <row r="20" spans="2:12" x14ac:dyDescent="0.3">
      <c r="B20" s="81" t="s">
        <v>904</v>
      </c>
      <c r="C20" s="81"/>
      <c r="D20" s="81"/>
      <c r="E20" s="81"/>
      <c r="F20" s="81"/>
      <c r="G20" s="81"/>
      <c r="H20" s="81"/>
      <c r="I20" s="81"/>
      <c r="J20" s="81"/>
      <c r="K20" s="81"/>
      <c r="L20" s="81"/>
    </row>
    <row r="21" spans="2:12" x14ac:dyDescent="0.3">
      <c r="B21" s="81" t="s">
        <v>905</v>
      </c>
      <c r="C21" s="81"/>
      <c r="D21" s="81"/>
      <c r="E21" s="81"/>
      <c r="F21" s="81"/>
      <c r="G21" s="81"/>
      <c r="H21" s="81"/>
      <c r="I21" s="81"/>
      <c r="J21" s="81"/>
      <c r="K21" s="81"/>
      <c r="L21" s="81"/>
    </row>
  </sheetData>
  <mergeCells count="10">
    <mergeCell ref="B20:L20"/>
    <mergeCell ref="B21:L21"/>
    <mergeCell ref="B3:L3"/>
    <mergeCell ref="B4:L4"/>
    <mergeCell ref="D6:F6"/>
    <mergeCell ref="G6:I6"/>
    <mergeCell ref="J6:K6"/>
    <mergeCell ref="L6:L7"/>
    <mergeCell ref="B6:B7"/>
    <mergeCell ref="C6:C7"/>
  </mergeCells>
  <phoneticPr fontId="6" type="noConversion"/>
  <pageMargins left="0.39370138888888889" right="0.39370138888888889" top="0.39370138888888889" bottom="0.39370138888888889" header="0.19685069444444445" footer="0.19685069444444445"/>
  <pageSetup paperSize="9" fitToWidth="0"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9A718-A30D-431A-B7FA-1F2B96AD4397}">
  <sheetPr codeName="Sheet13"/>
  <dimension ref="A1:H36"/>
  <sheetViews>
    <sheetView workbookViewId="0"/>
  </sheetViews>
  <sheetFormatPr defaultRowHeight="16.5" x14ac:dyDescent="0.3"/>
  <cols>
    <col min="1" max="1" width="3.125" customWidth="1"/>
    <col min="2" max="2" width="11.625" customWidth="1"/>
    <col min="3" max="3" width="14.625" customWidth="1"/>
    <col min="4" max="4" width="13.625" customWidth="1"/>
    <col min="5" max="5" width="10.625" customWidth="1"/>
    <col min="6" max="8" width="8.625" customWidth="1"/>
  </cols>
  <sheetData>
    <row r="1" spans="1:8" x14ac:dyDescent="0.3">
      <c r="A1" s="20" t="s">
        <v>888</v>
      </c>
    </row>
    <row r="3" spans="1:8" x14ac:dyDescent="0.3">
      <c r="B3" s="92" t="str">
        <f>IF(기초자료입력!C4&lt;&gt;"",기초자료입력!C4,"○○학교")&amp;" 교복구매 제안서 접수 결과"</f>
        <v>○○학교 교복구매 제안서 접수 결과</v>
      </c>
      <c r="C3" s="93"/>
      <c r="D3" s="93"/>
      <c r="E3" s="93"/>
      <c r="F3" s="93"/>
      <c r="G3" s="93"/>
      <c r="H3" s="93"/>
    </row>
    <row r="4" spans="1:8" x14ac:dyDescent="0.3">
      <c r="B4" s="93"/>
      <c r="C4" s="93"/>
      <c r="D4" s="93"/>
      <c r="E4" s="93"/>
      <c r="F4" s="93"/>
      <c r="G4" s="93"/>
      <c r="H4" s="93"/>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4" t="s">
        <v>510</v>
      </c>
      <c r="D7" s="94"/>
      <c r="E7" s="94"/>
      <c r="F7" s="94"/>
      <c r="G7" s="94"/>
      <c r="H7" s="94"/>
    </row>
    <row r="8" spans="1:8" x14ac:dyDescent="0.3">
      <c r="B8" s="54" t="s">
        <v>297</v>
      </c>
      <c r="C8" s="94"/>
      <c r="D8" s="94"/>
      <c r="E8" s="94"/>
      <c r="F8" s="94"/>
      <c r="G8" s="94"/>
      <c r="H8" s="94"/>
    </row>
    <row r="9" spans="1:8" x14ac:dyDescent="0.3">
      <c r="B9" s="54" t="s">
        <v>291</v>
      </c>
      <c r="C9" s="96" t="str">
        <f>IF(기초자료입력!C22&lt;&gt;"",기초자료입력!C22,IF(기초자료입력!C5&lt;&gt;"",기초자료입력!C5,"20○○")&amp;"학년도 교복 학교주관구매 제안서 접수 결과 보고")</f>
        <v>20○○학년도 교복 학교주관구매 제안서 접수 결과 보고</v>
      </c>
      <c r="D9" s="94"/>
      <c r="E9" s="94"/>
      <c r="F9" s="94"/>
      <c r="G9" s="94"/>
      <c r="H9" s="94"/>
    </row>
    <row r="10" spans="1:8" x14ac:dyDescent="0.3">
      <c r="B10" s="38"/>
      <c r="C10" s="38"/>
      <c r="D10" s="38"/>
      <c r="E10" s="38"/>
      <c r="F10" s="38"/>
      <c r="G10" s="38"/>
      <c r="H10" s="38"/>
    </row>
    <row r="11" spans="1:8" x14ac:dyDescent="0.3">
      <c r="B11" s="86" t="str">
        <f>"1. "&amp;IF(기초자료입력!C23&lt;&gt;"",기초자료입력!C23,"관련 문서를 확인하십시오.")</f>
        <v>1. 관련 문서를 확인하십시오.</v>
      </c>
      <c r="C11" s="81"/>
      <c r="D11" s="81"/>
      <c r="E11" s="81"/>
      <c r="F11" s="81"/>
      <c r="G11" s="81"/>
      <c r="H11" s="81"/>
    </row>
    <row r="12" spans="1:8" x14ac:dyDescent="0.3">
      <c r="B12" s="38"/>
      <c r="C12" s="38"/>
      <c r="D12" s="38"/>
      <c r="E12" s="38"/>
      <c r="F12" s="38"/>
      <c r="G12" s="38"/>
      <c r="H12" s="38"/>
    </row>
    <row r="13" spans="1:8" ht="32.1" customHeight="1" x14ac:dyDescent="0.3">
      <c r="B13" s="91" t="str">
        <f>"2. "&amp;IF(기초자료입력!C5&lt;&gt;"",기초자료입력!C5,"20○○")&amp;"학년도 "&amp;IF(기초자료입력!C12&lt;&gt;"",기초자료입력!C12,"교복 학교주관구매")&amp;" 2단계 입찰(규격·가격 동시) 공고와 관련하여 제안서 접수 결과를 아래와 같이 보고합니다."</f>
        <v>2. 20○○학년도 교복 학교주관구매 2단계 입찰(규격·가격 동시) 공고와 관련하여 제안서 접수 결과를 아래와 같이 보고합니다.</v>
      </c>
      <c r="C13" s="91"/>
      <c r="D13" s="91"/>
      <c r="E13" s="91"/>
      <c r="F13" s="91"/>
      <c r="G13" s="91"/>
      <c r="H13" s="91"/>
    </row>
    <row r="14" spans="1:8" x14ac:dyDescent="0.3">
      <c r="B14" s="91"/>
      <c r="C14" s="91"/>
      <c r="D14" s="91"/>
      <c r="E14" s="91"/>
      <c r="F14" s="91"/>
      <c r="G14" s="91"/>
      <c r="H14" s="91"/>
    </row>
    <row r="15" spans="1:8" x14ac:dyDescent="0.3">
      <c r="B15" s="38"/>
      <c r="C15" s="38"/>
      <c r="D15" s="38"/>
      <c r="E15" s="38"/>
      <c r="F15" s="38"/>
      <c r="G15" s="38"/>
      <c r="H15" s="38"/>
    </row>
    <row r="16" spans="1:8" x14ac:dyDescent="0.3">
      <c r="B16" s="86" t="s">
        <v>889</v>
      </c>
      <c r="C16" s="81"/>
      <c r="D16" s="81"/>
      <c r="E16" s="81"/>
      <c r="F16" s="81"/>
      <c r="G16" s="81"/>
      <c r="H16" s="81"/>
    </row>
    <row r="17" spans="2:8" x14ac:dyDescent="0.3">
      <c r="B17" s="90" t="s">
        <v>890</v>
      </c>
      <c r="C17" s="90" t="s">
        <v>891</v>
      </c>
      <c r="D17" s="90" t="s">
        <v>892</v>
      </c>
      <c r="E17" s="90"/>
      <c r="F17" s="38"/>
      <c r="G17" s="38"/>
      <c r="H17" s="38"/>
    </row>
    <row r="18" spans="2:8" x14ac:dyDescent="0.3">
      <c r="B18" s="90"/>
      <c r="C18" s="90"/>
      <c r="D18" s="61" t="s">
        <v>60</v>
      </c>
      <c r="E18" s="61" t="s">
        <v>382</v>
      </c>
      <c r="F18" s="38"/>
      <c r="G18" s="38"/>
      <c r="H18" s="38"/>
    </row>
    <row r="19" spans="2:8" x14ac:dyDescent="0.3">
      <c r="B19" s="29" t="str">
        <f>IF(기초자료입력!B44&lt;&gt;"",1,"")</f>
        <v/>
      </c>
      <c r="C19" s="67"/>
      <c r="D19" s="29" t="str">
        <f>IF(기초자료입력!B44&lt;&gt;"",기초자료입력!B44,"")</f>
        <v/>
      </c>
      <c r="E19" s="67"/>
      <c r="F19" s="38"/>
      <c r="G19" s="38"/>
      <c r="H19" s="38"/>
    </row>
    <row r="20" spans="2:8" x14ac:dyDescent="0.3">
      <c r="B20" s="29" t="str">
        <f>IF(기초자료입력!B45&lt;&gt;"",2,"")</f>
        <v/>
      </c>
      <c r="C20" s="67"/>
      <c r="D20" s="29" t="str">
        <f>IF(기초자료입력!B45&lt;&gt;"",기초자료입력!B45,"")</f>
        <v/>
      </c>
      <c r="E20" s="67"/>
      <c r="F20" s="38"/>
      <c r="G20" s="38"/>
      <c r="H20" s="38"/>
    </row>
    <row r="21" spans="2:8" x14ac:dyDescent="0.3">
      <c r="B21" s="29" t="str">
        <f>IF(기초자료입력!B46&lt;&gt;"",3,"")</f>
        <v/>
      </c>
      <c r="C21" s="67"/>
      <c r="D21" s="29" t="str">
        <f>IF(기초자료입력!B46&lt;&gt;"",기초자료입력!B46,"")</f>
        <v/>
      </c>
      <c r="E21" s="67"/>
      <c r="F21" s="38"/>
      <c r="G21" s="38"/>
      <c r="H21" s="38"/>
    </row>
    <row r="22" spans="2:8" x14ac:dyDescent="0.3">
      <c r="B22" s="29" t="str">
        <f>IF(기초자료입력!B47&lt;&gt;"",4,"")</f>
        <v/>
      </c>
      <c r="C22" s="67"/>
      <c r="D22" s="29" t="str">
        <f>IF(기초자료입력!B47&lt;&gt;"",기초자료입력!B47,"")</f>
        <v/>
      </c>
      <c r="E22" s="67"/>
      <c r="F22" s="38"/>
      <c r="G22" s="38"/>
      <c r="H22" s="38"/>
    </row>
    <row r="23" spans="2:8" x14ac:dyDescent="0.3">
      <c r="B23" s="29" t="str">
        <f>IF(기초자료입력!B48&lt;&gt;"",5,"")</f>
        <v/>
      </c>
      <c r="C23" s="67"/>
      <c r="D23" s="29" t="str">
        <f>IF(기초자료입력!B48&lt;&gt;"",기초자료입력!B48,"")</f>
        <v/>
      </c>
      <c r="E23" s="67"/>
      <c r="F23" s="38"/>
      <c r="G23" s="38"/>
      <c r="H23" s="38"/>
    </row>
    <row r="24" spans="2:8" x14ac:dyDescent="0.3">
      <c r="B24" s="29" t="str">
        <f>IF(기초자료입력!B49&lt;&gt;"",6,"")</f>
        <v/>
      </c>
      <c r="C24" s="67"/>
      <c r="D24" s="29" t="str">
        <f>IF(기초자료입력!B49&lt;&gt;"",기초자료입력!B49,"")</f>
        <v/>
      </c>
      <c r="E24" s="67"/>
      <c r="F24" s="38"/>
      <c r="G24" s="38"/>
      <c r="H24" s="38"/>
    </row>
    <row r="25" spans="2:8" x14ac:dyDescent="0.3">
      <c r="B25" s="29" t="str">
        <f>IF(기초자료입력!B50&lt;&gt;"",7,"")</f>
        <v/>
      </c>
      <c r="C25" s="67"/>
      <c r="D25" s="29" t="str">
        <f>IF(기초자료입력!B50&lt;&gt;"",기초자료입력!B50,"")</f>
        <v/>
      </c>
      <c r="E25" s="67"/>
      <c r="F25" s="38"/>
      <c r="G25" s="38"/>
      <c r="H25" s="38"/>
    </row>
    <row r="26" spans="2:8" x14ac:dyDescent="0.3">
      <c r="B26" s="29" t="str">
        <f>IF(기초자료입력!B51&lt;&gt;"",8,"")</f>
        <v/>
      </c>
      <c r="C26" s="67"/>
      <c r="D26" s="29" t="str">
        <f>IF(기초자료입력!B51&lt;&gt;"",기초자료입력!B51,"")</f>
        <v/>
      </c>
      <c r="E26" s="67"/>
      <c r="F26" s="38"/>
      <c r="G26" s="38"/>
      <c r="H26" s="38"/>
    </row>
    <row r="27" spans="2:8" x14ac:dyDescent="0.3">
      <c r="B27" s="29" t="str">
        <f>IF(기초자료입력!B52&lt;&gt;"",9,"")</f>
        <v/>
      </c>
      <c r="C27" s="67"/>
      <c r="D27" s="29" t="str">
        <f>IF(기초자료입력!B52&lt;&gt;"",기초자료입력!B52,"")</f>
        <v/>
      </c>
      <c r="E27" s="67"/>
      <c r="F27" s="38"/>
      <c r="G27" s="38"/>
      <c r="H27" s="38"/>
    </row>
    <row r="28" spans="2:8" x14ac:dyDescent="0.3">
      <c r="B28" s="29" t="str">
        <f>IF(기초자료입력!B53&lt;&gt;"",10,"")</f>
        <v/>
      </c>
      <c r="C28" s="67"/>
      <c r="D28" s="29" t="str">
        <f>IF(기초자료입력!B53&lt;&gt;"",기초자료입력!B53,"")</f>
        <v/>
      </c>
      <c r="E28" s="67"/>
      <c r="F28" s="38"/>
      <c r="G28" s="38"/>
      <c r="H28" s="38"/>
    </row>
    <row r="29" spans="2:8" x14ac:dyDescent="0.3">
      <c r="B29" s="38"/>
      <c r="C29" s="38"/>
      <c r="D29" s="38"/>
      <c r="E29" s="38"/>
      <c r="F29" s="38"/>
      <c r="G29" s="38"/>
      <c r="H29" s="38"/>
    </row>
    <row r="30" spans="2:8" x14ac:dyDescent="0.3">
      <c r="B30" s="81" t="str">
        <f>"붙임  "&amp;IF(기초자료입력!C5&lt;&gt;"",기초자료입력!C5,"20○○")&amp;"학년도 교복 학교주관구매 제안서 접수대장 1부.  끝."</f>
        <v>붙임  20○○학년도 교복 학교주관구매 제안서 접수대장 1부.  끝.</v>
      </c>
      <c r="C30" s="81"/>
      <c r="D30" s="81"/>
      <c r="E30" s="81"/>
      <c r="F30" s="81"/>
      <c r="G30" s="81"/>
      <c r="H30" s="81"/>
    </row>
    <row r="31" spans="2:8" x14ac:dyDescent="0.3">
      <c r="B31" s="38"/>
      <c r="C31" s="38"/>
      <c r="D31" s="38"/>
      <c r="E31" s="38"/>
      <c r="F31" s="38"/>
      <c r="G31" s="38"/>
      <c r="H31" s="38"/>
    </row>
    <row r="32" spans="2:8" x14ac:dyDescent="0.3">
      <c r="B32" s="38"/>
      <c r="C32" s="38"/>
      <c r="D32" s="38"/>
      <c r="E32" s="38"/>
      <c r="F32" s="38"/>
      <c r="G32" s="38"/>
      <c r="H32" s="38"/>
    </row>
    <row r="33" spans="2:8" x14ac:dyDescent="0.3">
      <c r="B33" s="38"/>
      <c r="C33" s="38"/>
      <c r="D33" s="38"/>
      <c r="E33" s="38"/>
      <c r="F33" s="54" t="s">
        <v>293</v>
      </c>
      <c r="G33" s="54" t="s">
        <v>304</v>
      </c>
      <c r="H33" s="54" t="s">
        <v>294</v>
      </c>
    </row>
    <row r="34" spans="2:8" x14ac:dyDescent="0.3">
      <c r="B34" s="53" t="s">
        <v>305</v>
      </c>
      <c r="C34" s="81" t="str">
        <f>IF(기초자료입력!C9&lt;&gt;"",기초자료입력!C9,"")</f>
        <v/>
      </c>
      <c r="D34" s="81"/>
      <c r="E34" s="81"/>
      <c r="F34" s="54" t="s">
        <v>306</v>
      </c>
      <c r="G34" s="94"/>
      <c r="H34" s="94"/>
    </row>
    <row r="35" spans="2:8" x14ac:dyDescent="0.3">
      <c r="B35" s="53" t="s">
        <v>307</v>
      </c>
      <c r="C35" s="38"/>
      <c r="D35" s="53" t="s">
        <v>308</v>
      </c>
      <c r="E35" s="81"/>
      <c r="F35" s="94"/>
      <c r="G35" s="94"/>
      <c r="H35" s="94"/>
    </row>
    <row r="36" spans="2:8" x14ac:dyDescent="0.3">
      <c r="B36" s="53" t="s">
        <v>309</v>
      </c>
      <c r="C36" s="38"/>
      <c r="D36" s="53" t="s">
        <v>310</v>
      </c>
      <c r="E36" s="38"/>
      <c r="F36" s="54" t="s">
        <v>311</v>
      </c>
      <c r="G36" s="94"/>
      <c r="H36" s="94"/>
    </row>
  </sheetData>
  <mergeCells count="15">
    <mergeCell ref="B13:H14"/>
    <mergeCell ref="B3:H4"/>
    <mergeCell ref="C7:H7"/>
    <mergeCell ref="C8:H8"/>
    <mergeCell ref="C9:H9"/>
    <mergeCell ref="B11:H11"/>
    <mergeCell ref="E35:H35"/>
    <mergeCell ref="G36:H36"/>
    <mergeCell ref="B16:H16"/>
    <mergeCell ref="D17:E17"/>
    <mergeCell ref="B17:B18"/>
    <mergeCell ref="C17:C18"/>
    <mergeCell ref="B30:H30"/>
    <mergeCell ref="C34:E34"/>
    <mergeCell ref="G34:H34"/>
  </mergeCells>
  <phoneticPr fontId="6" type="noConversion"/>
  <pageMargins left="0.29527604166666666" right="0.29527604166666666" top="0.39370138888888889" bottom="0.39370138888888889" header="0.19685069444444445" footer="0.19685069444444445"/>
  <pageSetup paperSize="9" fitToWidth="0"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D1440-5BB5-4BDA-B985-D3E106C391BB}">
  <sheetPr codeName="Sheet14"/>
  <dimension ref="A1:G29"/>
  <sheetViews>
    <sheetView workbookViewId="0"/>
  </sheetViews>
  <sheetFormatPr defaultRowHeight="16.5" x14ac:dyDescent="0.3"/>
  <cols>
    <col min="1" max="1" width="3.125" customWidth="1"/>
    <col min="2" max="2" width="11.625" customWidth="1"/>
    <col min="3" max="3" width="8.625" customWidth="1"/>
    <col min="4" max="4" width="12.625" customWidth="1"/>
    <col min="5" max="6" width="10.625" customWidth="1"/>
    <col min="7" max="7" width="8.625" customWidth="1"/>
  </cols>
  <sheetData>
    <row r="1" spans="1:7" ht="12" customHeight="1" x14ac:dyDescent="0.3">
      <c r="A1" s="20" t="s">
        <v>877</v>
      </c>
    </row>
    <row r="3" spans="1:7" x14ac:dyDescent="0.3">
      <c r="B3" s="79" t="s">
        <v>878</v>
      </c>
      <c r="C3" s="78"/>
      <c r="D3" s="78"/>
      <c r="E3" s="78"/>
      <c r="F3" s="78"/>
      <c r="G3" s="78"/>
    </row>
    <row r="4" spans="1:7" ht="9.9499999999999993" customHeight="1" x14ac:dyDescent="0.3">
      <c r="B4" s="49"/>
      <c r="C4" s="49"/>
      <c r="D4" s="49"/>
      <c r="E4" s="49"/>
      <c r="F4" s="49"/>
      <c r="G4" s="49"/>
    </row>
    <row r="5" spans="1:7" x14ac:dyDescent="0.3">
      <c r="B5" s="100" t="str">
        <f>"1. 건  명 : "&amp;IF(기초자료입력!C12&lt;&gt;"",기초자료입력!C12,IF(기초자료입력!C5&lt;&gt;"",기초자료입력!C5,"20○○")&amp;"학년도 "&amp;IF(기초자료입력!C4&lt;&gt;"",기초자료입력!C4,"◯◯◯◯학교")&amp;" 교복(동·하복) 학교주관 구매")</f>
        <v>1. 건  명 : 20○○학년도 ◯◯◯◯학교 교복(동·하복) 학교주관 구매</v>
      </c>
      <c r="C5" s="100"/>
      <c r="D5" s="100"/>
      <c r="E5" s="100"/>
      <c r="F5" s="100"/>
      <c r="G5" s="100"/>
    </row>
    <row r="6" spans="1:7" x14ac:dyDescent="0.3">
      <c r="B6" s="77" t="s">
        <v>879</v>
      </c>
      <c r="C6" s="77"/>
      <c r="D6" s="77"/>
      <c r="E6" s="77"/>
      <c r="F6" s="77"/>
      <c r="G6" s="77"/>
    </row>
    <row r="7" spans="1:7" x14ac:dyDescent="0.3">
      <c r="B7" s="101" t="str">
        <f>"3. 낙찰금액(동/하복 한 벌 기준) : "&amp;IF(ISNUMBER('F-043_계약체결'!$C$16),TEXT('F-043_계약체결'!$C$16,"#,##0")&amp;"원","000,000원(F-043 계약체결 낙찰단가 미입력)")</f>
        <v>3. 낙찰금액(동/하복 한 벌 기준) : 000,000원(F-043 계약체결 낙찰단가 미입력)</v>
      </c>
      <c r="C7" s="100"/>
      <c r="D7" s="100"/>
      <c r="E7" s="100"/>
      <c r="F7" s="100"/>
      <c r="G7" s="100"/>
    </row>
    <row r="8" spans="1:7" ht="9.9499999999999993" customHeight="1" x14ac:dyDescent="0.3">
      <c r="B8" s="49"/>
      <c r="C8" s="49"/>
      <c r="D8" s="49"/>
      <c r="E8" s="49"/>
      <c r="F8" s="49"/>
      <c r="G8" s="49"/>
    </row>
    <row r="9" spans="1:7" x14ac:dyDescent="0.3">
      <c r="B9" s="101" t="s">
        <v>880</v>
      </c>
      <c r="C9" s="100"/>
      <c r="D9" s="100"/>
      <c r="E9" s="100"/>
      <c r="F9" s="100"/>
      <c r="G9" s="100"/>
    </row>
    <row r="10" spans="1:7" ht="9.9499999999999993" customHeight="1" x14ac:dyDescent="0.3">
      <c r="B10" s="49"/>
      <c r="C10" s="49"/>
      <c r="D10" s="49"/>
      <c r="E10" s="49"/>
      <c r="F10" s="49"/>
      <c r="G10" s="49"/>
    </row>
    <row r="11" spans="1:7" x14ac:dyDescent="0.3">
      <c r="B11" s="26" t="s">
        <v>314</v>
      </c>
      <c r="C11" s="26" t="s">
        <v>55</v>
      </c>
      <c r="D11" s="26" t="s">
        <v>881</v>
      </c>
      <c r="E11" s="102" t="s">
        <v>882</v>
      </c>
      <c r="F11" s="102"/>
      <c r="G11" s="26" t="s">
        <v>316</v>
      </c>
    </row>
    <row r="12" spans="1:7" ht="18" customHeight="1" x14ac:dyDescent="0.3">
      <c r="B12" s="51" t="str">
        <f>IF(기초자료입력!B29&lt;&gt;"",기초자료입력!B29,"후드 점퍼")</f>
        <v>후드 점퍼</v>
      </c>
      <c r="C12" s="51">
        <v>1</v>
      </c>
      <c r="D12" s="51" t="str">
        <f>IF(SUM(기초자료입력!$D$29:$D$34)=0,"",TEXT(기초자료입력!D29/SUM(기초자료입력!$D$29:$D$34)*100,"0.0")&amp;"%")</f>
        <v/>
      </c>
      <c r="E12" s="66">
        <f>IF(OR(SUM(기초자료입력!$D$29:$D$34)=0,NOT(ISNUMBER('F-043_계약체결'!$C$16))),0,ROUNDDOWN('F-043_계약체결'!$C$16*(기초자료입력!D29/SUM(기초자료입력!$D$29:$D$34)),0))</f>
        <v>0</v>
      </c>
      <c r="F12" s="52"/>
      <c r="G12" s="52"/>
    </row>
    <row r="13" spans="1:7" ht="18" customHeight="1" x14ac:dyDescent="0.3">
      <c r="B13" s="51" t="str">
        <f>IF(기초자료입력!B30&lt;&gt;"",기초자료입력!B30,"집업티")</f>
        <v>집업티</v>
      </c>
      <c r="C13" s="51">
        <v>1</v>
      </c>
      <c r="D13" s="51" t="str">
        <f>IF(SUM(기초자료입력!$D$29:$D$34)=0,"",TEXT(기초자료입력!D30/SUM(기초자료입력!$D$29:$D$34)*100,"0.0")&amp;"%")</f>
        <v/>
      </c>
      <c r="E13" s="66">
        <f>IF(OR(SUM(기초자료입력!$D$29:$D$34)=0,NOT(ISNUMBER('F-043_계약체결'!$C$16))),0,ROUNDDOWN('F-043_계약체결'!$C$16*(기초자료입력!D30/SUM(기초자료입력!$D$29:$D$34)),0))</f>
        <v>0</v>
      </c>
      <c r="F13" s="52"/>
      <c r="G13" s="52"/>
    </row>
    <row r="14" spans="1:7" ht="18" customHeight="1" x14ac:dyDescent="0.3">
      <c r="B14" s="51" t="str">
        <f>IF(기초자료입력!B31&lt;&gt;"",기초자료입력!B31,"맨투맨티")</f>
        <v>맨투맨티</v>
      </c>
      <c r="C14" s="51">
        <v>1</v>
      </c>
      <c r="D14" s="51" t="str">
        <f>IF(SUM(기초자료입력!$D$29:$D$34)=0,"",TEXT(기초자료입력!D31/SUM(기초자료입력!$D$29:$D$34)*100,"0.0")&amp;"%")</f>
        <v/>
      </c>
      <c r="E14" s="66">
        <f>IF(OR(SUM(기초자료입력!$D$29:$D$34)=0,NOT(ISNUMBER('F-043_계약체결'!$C$16))),0,ROUNDDOWN('F-043_계약체결'!$C$16*(기초자료입력!D31/SUM(기초자료입력!$D$29:$D$34)),0))</f>
        <v>0</v>
      </c>
      <c r="F14" s="52"/>
      <c r="G14" s="52"/>
    </row>
    <row r="15" spans="1:7" ht="18" customHeight="1" x14ac:dyDescent="0.3">
      <c r="B15" s="51" t="str">
        <f>IF(기초자료입력!B32&lt;&gt;"",기초자료입력!B32,"긴바지")</f>
        <v>긴바지</v>
      </c>
      <c r="C15" s="51">
        <v>1</v>
      </c>
      <c r="D15" s="51" t="str">
        <f>IF(SUM(기초자료입력!$D$29:$D$34)=0,"",TEXT(기초자료입력!D32/SUM(기초자료입력!$D$29:$D$34)*100,"0.0")&amp;"%")</f>
        <v/>
      </c>
      <c r="E15" s="66">
        <f>IF(OR(SUM(기초자료입력!$D$29:$D$34)=0,NOT(ISNUMBER('F-043_계약체결'!$C$16))),0,ROUNDDOWN('F-043_계약체결'!$C$16*(기초자료입력!D32/SUM(기초자료입력!$D$29:$D$34)),0))</f>
        <v>0</v>
      </c>
      <c r="F15" s="52"/>
      <c r="G15" s="52"/>
    </row>
    <row r="16" spans="1:7" ht="18" customHeight="1" x14ac:dyDescent="0.3">
      <c r="B16" s="51" t="str">
        <f>IF(기초자료입력!B33&lt;&gt;"",기초자료입력!B33,"반팔티")</f>
        <v>반팔티</v>
      </c>
      <c r="C16" s="51">
        <v>1</v>
      </c>
      <c r="D16" s="51" t="str">
        <f>IF(SUM(기초자료입력!$D$29:$D$34)=0,"",TEXT(기초자료입력!D33/SUM(기초자료입력!$D$29:$D$34)*100,"0.0")&amp;"%")</f>
        <v/>
      </c>
      <c r="E16" s="66">
        <f>IF(OR(SUM(기초자료입력!$D$29:$D$34)=0,NOT(ISNUMBER('F-043_계약체결'!$C$16))),0,ROUNDDOWN('F-043_계약체결'!$C$16*(기초자료입력!D33/SUM(기초자료입력!$D$29:$D$34)),0))</f>
        <v>0</v>
      </c>
      <c r="F16" s="52"/>
      <c r="G16" s="52"/>
    </row>
    <row r="17" spans="2:7" ht="18" customHeight="1" x14ac:dyDescent="0.3">
      <c r="B17" s="51" t="str">
        <f>IF(기초자료입력!B34&lt;&gt;"",기초자료입력!B34,"반바지")</f>
        <v>반바지</v>
      </c>
      <c r="C17" s="51">
        <v>1</v>
      </c>
      <c r="D17" s="51" t="str">
        <f>IF(SUM(기초자료입력!$D$29:$D$34)=0,"",TEXT(기초자료입력!D34/SUM(기초자료입력!$D$29:$D$34)*100,"0.0")&amp;"%")</f>
        <v/>
      </c>
      <c r="E17" s="66">
        <f>IF(OR(SUM(기초자료입력!$D$29:$D$34)=0,NOT(ISNUMBER('F-043_계약체결'!$C$16))),0,ROUNDDOWN('F-043_계약체결'!$C$16*(기초자료입력!D34/SUM(기초자료입력!$D$29:$D$34)),0))</f>
        <v>0</v>
      </c>
      <c r="F17" s="52"/>
      <c r="G17" s="52"/>
    </row>
    <row r="18" spans="2:7" ht="18" customHeight="1" x14ac:dyDescent="0.3">
      <c r="B18" s="26" t="s">
        <v>295</v>
      </c>
      <c r="C18" s="51">
        <f>SUM(C12:C17)</f>
        <v>6</v>
      </c>
      <c r="D18" s="26" t="str">
        <f>"100%"</f>
        <v>100%</v>
      </c>
      <c r="E18" s="98">
        <f>SUM(E12:E17)</f>
        <v>0</v>
      </c>
      <c r="F18" s="99"/>
      <c r="G18" s="52" t="s">
        <v>883</v>
      </c>
    </row>
    <row r="19" spans="2:7" ht="9.9499999999999993" customHeight="1" x14ac:dyDescent="0.3">
      <c r="B19" s="49"/>
      <c r="C19" s="49"/>
      <c r="D19" s="49"/>
      <c r="E19" s="49"/>
      <c r="F19" s="49"/>
      <c r="G19" s="49"/>
    </row>
    <row r="20" spans="2:7" ht="30" customHeight="1" x14ac:dyDescent="0.3">
      <c r="B20" s="77" t="s">
        <v>884</v>
      </c>
      <c r="C20" s="77"/>
      <c r="D20" s="77"/>
      <c r="E20" s="77"/>
      <c r="F20" s="77"/>
      <c r="G20" s="77"/>
    </row>
    <row r="21" spans="2:7" ht="0.95" customHeight="1" x14ac:dyDescent="0.3">
      <c r="B21" s="77"/>
      <c r="C21" s="77"/>
      <c r="D21" s="77"/>
      <c r="E21" s="77"/>
      <c r="F21" s="77"/>
      <c r="G21" s="77"/>
    </row>
    <row r="22" spans="2:7" ht="9.9499999999999993" customHeight="1" x14ac:dyDescent="0.3">
      <c r="B22" s="49"/>
      <c r="C22" s="49"/>
      <c r="D22" s="49"/>
      <c r="E22" s="49"/>
      <c r="F22" s="49"/>
      <c r="G22" s="49"/>
    </row>
    <row r="23" spans="2:7" x14ac:dyDescent="0.3">
      <c r="B23" s="78" t="s">
        <v>885</v>
      </c>
      <c r="C23" s="78"/>
      <c r="D23" s="78"/>
      <c r="E23" s="78"/>
      <c r="F23" s="78"/>
      <c r="G23" s="78"/>
    </row>
    <row r="24" spans="2:7" ht="9.9499999999999993" customHeight="1" x14ac:dyDescent="0.3">
      <c r="B24" s="49"/>
      <c r="C24" s="49"/>
      <c r="D24" s="49"/>
      <c r="E24" s="49"/>
      <c r="F24" s="49"/>
      <c r="G24" s="49"/>
    </row>
    <row r="25" spans="2:7" x14ac:dyDescent="0.3">
      <c r="B25" s="100" t="s">
        <v>886</v>
      </c>
      <c r="C25" s="100"/>
      <c r="D25" s="100"/>
      <c r="E25" s="100"/>
      <c r="F25" s="100"/>
      <c r="G25" s="100"/>
    </row>
    <row r="26" spans="2:7" ht="9.9499999999999993" customHeight="1" x14ac:dyDescent="0.3">
      <c r="B26" s="49"/>
      <c r="C26" s="49"/>
      <c r="D26" s="49"/>
      <c r="E26" s="49"/>
      <c r="F26" s="49"/>
      <c r="G26" s="49"/>
    </row>
    <row r="27" spans="2:7" x14ac:dyDescent="0.3">
      <c r="B27" s="78" t="str">
        <f>IF(기초자료입력!$C$4="","◯◯◯◯학교장 귀하",기초자료입력!$C$4&amp;"장 귀하")</f>
        <v>◯◯◯◯학교장 귀하</v>
      </c>
      <c r="C27" s="78"/>
      <c r="D27" s="78"/>
      <c r="E27" s="78"/>
      <c r="F27" s="78"/>
      <c r="G27" s="78"/>
    </row>
    <row r="28" spans="2:7" ht="9.9499999999999993" customHeight="1" x14ac:dyDescent="0.3">
      <c r="B28" s="49"/>
      <c r="C28" s="49"/>
      <c r="D28" s="49"/>
      <c r="E28" s="49"/>
      <c r="F28" s="49"/>
      <c r="G28" s="49"/>
    </row>
    <row r="29" spans="2:7" x14ac:dyDescent="0.3">
      <c r="B29" s="100" t="s">
        <v>887</v>
      </c>
      <c r="C29" s="100"/>
      <c r="D29" s="100"/>
      <c r="E29" s="100"/>
      <c r="F29" s="100"/>
      <c r="G29" s="100"/>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ageMargins left="0.50000076388888881" right="0.50000076388888881" top="0.50000076388888881" bottom="0.50000076388888881" header="0.3" footer="0.3"/>
  <pageSetup paperSize="9" fitToWidth="0"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15600-F667-4EF3-AC4D-A79D5BCF9D1B}">
  <sheetPr codeName="Sheet15"/>
  <dimension ref="A1:F19"/>
  <sheetViews>
    <sheetView workbookViewId="0"/>
  </sheetViews>
  <sheetFormatPr defaultRowHeight="16.5" x14ac:dyDescent="0.3"/>
  <cols>
    <col min="1" max="1" width="3.125" customWidth="1"/>
    <col min="2" max="2" width="16.625" customWidth="1"/>
    <col min="3" max="6" width="14.625" customWidth="1"/>
  </cols>
  <sheetData>
    <row r="1" spans="1:6" ht="9.9499999999999993" customHeight="1" x14ac:dyDescent="0.3">
      <c r="A1" s="20" t="s">
        <v>869</v>
      </c>
    </row>
    <row r="3" spans="1:6" ht="20.100000000000001" customHeight="1" x14ac:dyDescent="0.3">
      <c r="B3" s="105" t="s">
        <v>220</v>
      </c>
      <c r="C3" s="103"/>
      <c r="D3" s="103"/>
      <c r="E3" s="103"/>
      <c r="F3" s="103"/>
    </row>
    <row r="4" spans="1:6" ht="20.100000000000001" customHeight="1" x14ac:dyDescent="0.3">
      <c r="B4" s="103"/>
      <c r="C4" s="103"/>
      <c r="D4" s="103"/>
      <c r="E4" s="103"/>
      <c r="F4" s="103"/>
    </row>
    <row r="5" spans="1:6" ht="6" customHeight="1" x14ac:dyDescent="0.3">
      <c r="B5" s="55"/>
      <c r="C5" s="55"/>
      <c r="D5" s="55"/>
      <c r="E5" s="55"/>
      <c r="F5" s="55"/>
    </row>
    <row r="6" spans="1:6" ht="165.95" customHeight="1" x14ac:dyDescent="0.3">
      <c r="B6" s="106" t="s">
        <v>870</v>
      </c>
      <c r="C6" s="106"/>
      <c r="D6" s="106"/>
      <c r="E6" s="106"/>
      <c r="F6" s="106"/>
    </row>
    <row r="7" spans="1:6" ht="6" customHeight="1" x14ac:dyDescent="0.3">
      <c r="B7" s="55"/>
      <c r="C7" s="55"/>
      <c r="D7" s="55"/>
      <c r="E7" s="55"/>
      <c r="F7" s="55"/>
    </row>
    <row r="8" spans="1:6" ht="6" customHeight="1" x14ac:dyDescent="0.3">
      <c r="B8" s="55"/>
      <c r="C8" s="55"/>
      <c r="D8" s="55"/>
      <c r="E8" s="55"/>
      <c r="F8" s="55"/>
    </row>
    <row r="9" spans="1:6" ht="122.1" customHeight="1" x14ac:dyDescent="0.3">
      <c r="B9" s="106" t="s">
        <v>871</v>
      </c>
      <c r="C9" s="106"/>
      <c r="D9" s="106"/>
      <c r="E9" s="106"/>
      <c r="F9" s="106"/>
    </row>
    <row r="10" spans="1:6" ht="78" customHeight="1" x14ac:dyDescent="0.3">
      <c r="B10" s="106" t="s">
        <v>872</v>
      </c>
      <c r="C10" s="106"/>
      <c r="D10" s="106"/>
      <c r="E10" s="106"/>
      <c r="F10" s="106"/>
    </row>
    <row r="11" spans="1:6" ht="78" customHeight="1" x14ac:dyDescent="0.3">
      <c r="B11" s="106" t="s">
        <v>873</v>
      </c>
      <c r="C11" s="106"/>
      <c r="D11" s="106"/>
      <c r="E11" s="106"/>
      <c r="F11" s="106"/>
    </row>
    <row r="12" spans="1:6" ht="144" customHeight="1" x14ac:dyDescent="0.3">
      <c r="B12" s="106" t="s">
        <v>874</v>
      </c>
      <c r="C12" s="106"/>
      <c r="D12" s="106"/>
      <c r="E12" s="106"/>
      <c r="F12" s="106"/>
    </row>
    <row r="13" spans="1:6" ht="6" customHeight="1" x14ac:dyDescent="0.3">
      <c r="B13" s="55"/>
      <c r="C13" s="55"/>
      <c r="D13" s="55"/>
      <c r="E13" s="55"/>
      <c r="F13" s="55"/>
    </row>
    <row r="14" spans="1:6" ht="6" customHeight="1" x14ac:dyDescent="0.3">
      <c r="B14" s="55"/>
      <c r="C14" s="55"/>
      <c r="D14" s="55"/>
      <c r="E14" s="55"/>
      <c r="F14" s="55"/>
    </row>
    <row r="15" spans="1:6" ht="15.95" customHeight="1" x14ac:dyDescent="0.3">
      <c r="B15" s="103" t="s">
        <v>875</v>
      </c>
      <c r="C15" s="103"/>
      <c r="D15" s="103"/>
      <c r="E15" s="103"/>
      <c r="F15" s="103"/>
    </row>
    <row r="16" spans="1:6" ht="6" customHeight="1" x14ac:dyDescent="0.3">
      <c r="B16" s="55"/>
      <c r="C16" s="55"/>
      <c r="D16" s="55"/>
      <c r="E16" s="55"/>
      <c r="F16" s="55"/>
    </row>
    <row r="17" spans="2:6" ht="18" customHeight="1" x14ac:dyDescent="0.3">
      <c r="B17" s="104" t="s">
        <v>876</v>
      </c>
      <c r="C17" s="104"/>
      <c r="D17" s="104"/>
      <c r="E17" s="104"/>
      <c r="F17" s="104"/>
    </row>
    <row r="18" spans="2:6" ht="6" customHeight="1" x14ac:dyDescent="0.3">
      <c r="B18" s="55"/>
      <c r="C18" s="55"/>
      <c r="D18" s="55"/>
      <c r="E18" s="55"/>
      <c r="F18" s="55"/>
    </row>
    <row r="19" spans="2:6" ht="15.95" customHeight="1" x14ac:dyDescent="0.3">
      <c r="B19" s="103" t="str">
        <f>IF(기초자료입력!$C$4="","○○○학교장 귀하",기초자료입력!$C$4&amp;"장 귀하")</f>
        <v>○○○학교장 귀하</v>
      </c>
      <c r="C19" s="103"/>
      <c r="D19" s="103"/>
      <c r="E19" s="103"/>
      <c r="F19" s="103"/>
    </row>
  </sheetData>
  <mergeCells count="9">
    <mergeCell ref="B15:F15"/>
    <mergeCell ref="B17:F17"/>
    <mergeCell ref="B19:F19"/>
    <mergeCell ref="B3:F4"/>
    <mergeCell ref="B6:F6"/>
    <mergeCell ref="B9:F9"/>
    <mergeCell ref="B10:F10"/>
    <mergeCell ref="B11:F11"/>
    <mergeCell ref="B12:F12"/>
  </mergeCells>
  <phoneticPr fontId="6" type="noConversion"/>
  <pageMargins left="0.39370138888888889" right="0.39370138888888889" top="0.39370138888888889" bottom="0.39370138888888889" header="0.11811041666666666" footer="0.11811041666666666"/>
  <pageSetup paperSize="9" fitToWidth="0"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18DF4-261D-4A43-818B-AE637707AC73}">
  <sheetPr codeName="Sheet16"/>
  <dimension ref="A1:F25"/>
  <sheetViews>
    <sheetView workbookViewId="0"/>
  </sheetViews>
  <sheetFormatPr defaultRowHeight="16.5" x14ac:dyDescent="0.3"/>
  <cols>
    <col min="1" max="1" width="3.125" customWidth="1"/>
    <col min="2" max="2" width="16.625" customWidth="1"/>
    <col min="3" max="6" width="14.625" customWidth="1"/>
  </cols>
  <sheetData>
    <row r="1" spans="1:6" ht="12" customHeight="1" x14ac:dyDescent="0.3">
      <c r="A1" s="20" t="s">
        <v>859</v>
      </c>
    </row>
    <row r="3" spans="1:6" ht="24" customHeight="1" x14ac:dyDescent="0.3">
      <c r="B3" s="105" t="s">
        <v>217</v>
      </c>
      <c r="C3" s="103"/>
      <c r="D3" s="103"/>
      <c r="E3" s="103"/>
      <c r="F3" s="103"/>
    </row>
    <row r="4" spans="1:6" ht="24" customHeight="1" x14ac:dyDescent="0.3">
      <c r="B4" s="103"/>
      <c r="C4" s="103"/>
      <c r="D4" s="103"/>
      <c r="E4" s="103"/>
      <c r="F4" s="103"/>
    </row>
    <row r="5" spans="1:6" ht="9.9499999999999993" customHeight="1" x14ac:dyDescent="0.3">
      <c r="B5" s="55"/>
      <c r="C5" s="55"/>
      <c r="D5" s="55"/>
      <c r="E5" s="55"/>
      <c r="F5" s="55"/>
    </row>
    <row r="6" spans="1:6" ht="99.95" customHeight="1" x14ac:dyDescent="0.3">
      <c r="B6" s="106"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「20○○학년도 ○○학교 교복(동복·하복) 학교주관구매 입찰」제안서를 제출함에 있어, 「개인정보보호법」제15조 및 같은 법 제17조에 의거하여 아래와 같이 정보수집·제공에 동의합니다.</v>
      </c>
      <c r="C6" s="106"/>
      <c r="D6" s="106"/>
      <c r="E6" s="106"/>
      <c r="F6" s="106"/>
    </row>
    <row r="7" spans="1:6" x14ac:dyDescent="0.3">
      <c r="B7" s="55"/>
      <c r="C7" s="55"/>
      <c r="D7" s="55"/>
      <c r="E7" s="55"/>
      <c r="F7" s="55"/>
    </row>
    <row r="8" spans="1:6" x14ac:dyDescent="0.3">
      <c r="B8" s="55"/>
      <c r="C8" s="55"/>
      <c r="D8" s="55"/>
      <c r="E8" s="55"/>
      <c r="F8" s="55"/>
    </row>
    <row r="9" spans="1:6" ht="18" customHeight="1" x14ac:dyDescent="0.3">
      <c r="B9" s="106" t="s">
        <v>860</v>
      </c>
      <c r="C9" s="104"/>
      <c r="D9" s="104"/>
      <c r="E9" s="104"/>
      <c r="F9" s="104"/>
    </row>
    <row r="10" spans="1:6" ht="18" customHeight="1" x14ac:dyDescent="0.3">
      <c r="B10" s="106" t="s">
        <v>861</v>
      </c>
      <c r="C10" s="104"/>
      <c r="D10" s="104"/>
      <c r="E10" s="104"/>
      <c r="F10" s="104"/>
    </row>
    <row r="11" spans="1:6" ht="18" customHeight="1" x14ac:dyDescent="0.3">
      <c r="B11" s="106" t="s">
        <v>862</v>
      </c>
      <c r="C11" s="104"/>
      <c r="D11" s="104"/>
      <c r="E11" s="104"/>
      <c r="F11" s="104"/>
    </row>
    <row r="12" spans="1:6" ht="78" customHeight="1" x14ac:dyDescent="0.3">
      <c r="B12" s="106" t="s">
        <v>863</v>
      </c>
      <c r="C12" s="106"/>
      <c r="D12" s="106"/>
      <c r="E12" s="106"/>
      <c r="F12" s="106"/>
    </row>
    <row r="13" spans="1:6" ht="9.9499999999999993" customHeight="1" x14ac:dyDescent="0.3">
      <c r="B13" s="55"/>
      <c r="C13" s="55"/>
      <c r="D13" s="55"/>
      <c r="E13" s="55"/>
      <c r="F13" s="55"/>
    </row>
    <row r="14" spans="1:6" ht="9.9499999999999993" customHeight="1" x14ac:dyDescent="0.3">
      <c r="B14" s="55"/>
      <c r="C14" s="55"/>
      <c r="D14" s="55"/>
      <c r="E14" s="55"/>
      <c r="F14" s="55"/>
    </row>
    <row r="15" spans="1:6" ht="9.9499999999999993" customHeight="1" x14ac:dyDescent="0.3">
      <c r="B15" s="55"/>
      <c r="C15" s="55"/>
      <c r="D15" s="55"/>
      <c r="E15" s="55"/>
      <c r="F15" s="55"/>
    </row>
    <row r="16" spans="1:6" ht="24" customHeight="1" x14ac:dyDescent="0.3">
      <c r="B16" s="105" t="s">
        <v>864</v>
      </c>
      <c r="C16" s="103"/>
      <c r="D16" s="103"/>
      <c r="E16" s="103"/>
      <c r="F16" s="103"/>
    </row>
    <row r="17" spans="2:6" ht="14.1" customHeight="1" x14ac:dyDescent="0.3">
      <c r="B17" s="107" t="s">
        <v>865</v>
      </c>
      <c r="C17" s="104"/>
      <c r="D17" s="104"/>
      <c r="E17" s="104"/>
      <c r="F17" s="104"/>
    </row>
    <row r="18" spans="2:6" ht="9.9499999999999993" customHeight="1" x14ac:dyDescent="0.3">
      <c r="B18" s="55"/>
      <c r="C18" s="55"/>
      <c r="D18" s="55"/>
      <c r="E18" s="55"/>
      <c r="F18" s="55"/>
    </row>
    <row r="19" spans="2:6" ht="20.100000000000001" customHeight="1" x14ac:dyDescent="0.3">
      <c r="B19" s="103" t="str">
        <f>IF(기초자료입력!C8&lt;&gt;"",TEXT(기초자료입력!C8,"yyyy. mm. dd."),"20○○.    .    .")</f>
        <v>20○○.    .    .</v>
      </c>
      <c r="C19" s="103"/>
      <c r="D19" s="103"/>
      <c r="E19" s="103"/>
      <c r="F19" s="103"/>
    </row>
    <row r="20" spans="2:6" ht="14.1" customHeight="1" x14ac:dyDescent="0.3">
      <c r="B20" s="55"/>
      <c r="C20" s="55"/>
      <c r="D20" s="55"/>
      <c r="E20" s="55"/>
      <c r="F20" s="55"/>
    </row>
    <row r="21" spans="2:6" ht="18" customHeight="1" x14ac:dyDescent="0.3">
      <c r="B21" s="104" t="s">
        <v>866</v>
      </c>
      <c r="C21" s="104"/>
      <c r="D21" s="104"/>
      <c r="E21" s="104"/>
      <c r="F21" s="104"/>
    </row>
    <row r="22" spans="2:6" ht="18" customHeight="1" x14ac:dyDescent="0.3">
      <c r="B22" s="104" t="s">
        <v>867</v>
      </c>
      <c r="C22" s="104"/>
      <c r="D22" s="104"/>
      <c r="E22" s="104"/>
      <c r="F22" s="104"/>
    </row>
    <row r="23" spans="2:6" ht="21.95" customHeight="1" x14ac:dyDescent="0.3">
      <c r="B23" s="104" t="s">
        <v>868</v>
      </c>
      <c r="C23" s="104"/>
      <c r="D23" s="104"/>
      <c r="E23" s="104"/>
      <c r="F23" s="104"/>
    </row>
    <row r="24" spans="2:6" ht="9.9499999999999993" customHeight="1" x14ac:dyDescent="0.3">
      <c r="B24" s="55"/>
      <c r="C24" s="55"/>
      <c r="D24" s="55"/>
      <c r="E24" s="55"/>
      <c r="F24" s="55"/>
    </row>
    <row r="25" spans="2:6" ht="20.100000000000001" customHeight="1" x14ac:dyDescent="0.3">
      <c r="B25" s="103" t="str">
        <f>IF(기초자료입력!$C$4="","○○학교장 귀하",기초자료입력!$C$4&amp;"장 귀하")</f>
        <v>○○학교장 귀하</v>
      </c>
      <c r="C25" s="103"/>
      <c r="D25" s="103"/>
      <c r="E25" s="103"/>
      <c r="F25" s="103"/>
    </row>
  </sheetData>
  <mergeCells count="13">
    <mergeCell ref="B12:F12"/>
    <mergeCell ref="B3:F4"/>
    <mergeCell ref="B6:F6"/>
    <mergeCell ref="B9:F9"/>
    <mergeCell ref="B10:F10"/>
    <mergeCell ref="B11:F11"/>
    <mergeCell ref="B25:F25"/>
    <mergeCell ref="B16:F16"/>
    <mergeCell ref="B17:F17"/>
    <mergeCell ref="B19:F19"/>
    <mergeCell ref="B21:F21"/>
    <mergeCell ref="B22:F22"/>
    <mergeCell ref="B23:F23"/>
  </mergeCells>
  <phoneticPr fontId="6" type="noConversion"/>
  <pageMargins left="0.59055208333333331" right="0.59055208333333331" top="0.59055208333333331" bottom="0.59055208333333331" header="0.19685069444444445" footer="0.19685069444444445"/>
  <pageSetup paperSize="9" fitToWidth="0"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2863C-39FB-4316-92C5-BBDF5EB62509}">
  <sheetPr codeName="Sheet17"/>
  <dimension ref="A1:F24"/>
  <sheetViews>
    <sheetView workbookViewId="0"/>
  </sheetViews>
  <sheetFormatPr defaultRowHeight="16.5" x14ac:dyDescent="0.3"/>
  <cols>
    <col min="1" max="1" width="3.125" customWidth="1"/>
    <col min="2" max="3" width="16.625" customWidth="1"/>
    <col min="4" max="6" width="14.625" customWidth="1"/>
  </cols>
  <sheetData>
    <row r="1" spans="1:6" ht="12" customHeight="1" x14ac:dyDescent="0.3">
      <c r="A1" s="20" t="s">
        <v>847</v>
      </c>
    </row>
    <row r="3" spans="1:6" ht="24" customHeight="1" x14ac:dyDescent="0.3">
      <c r="B3" s="105" t="s">
        <v>848</v>
      </c>
      <c r="C3" s="103"/>
      <c r="D3" s="103"/>
      <c r="E3" s="103"/>
      <c r="F3" s="103"/>
    </row>
    <row r="4" spans="1:6" ht="24" customHeight="1" x14ac:dyDescent="0.3">
      <c r="B4" s="103"/>
      <c r="C4" s="103"/>
      <c r="D4" s="103"/>
      <c r="E4" s="103"/>
      <c r="F4" s="103"/>
    </row>
    <row r="5" spans="1:6" ht="9.9499999999999993" customHeight="1" x14ac:dyDescent="0.3">
      <c r="B5" s="55"/>
      <c r="C5" s="55"/>
      <c r="D5" s="55"/>
      <c r="E5" s="55"/>
      <c r="F5" s="55"/>
    </row>
    <row r="6" spans="1:6" ht="20.100000000000001" customHeight="1" x14ac:dyDescent="0.3">
      <c r="B6" s="104" t="s">
        <v>849</v>
      </c>
      <c r="C6" s="104"/>
      <c r="D6" s="104"/>
      <c r="E6" s="104"/>
      <c r="F6" s="104"/>
    </row>
    <row r="7" spans="1:6" ht="20.100000000000001" customHeight="1" x14ac:dyDescent="0.3">
      <c r="B7" s="104" t="s">
        <v>850</v>
      </c>
      <c r="C7" s="104"/>
      <c r="D7" s="104"/>
      <c r="E7" s="104"/>
      <c r="F7" s="104"/>
    </row>
    <row r="8" spans="1:6" ht="20.100000000000001" customHeight="1" x14ac:dyDescent="0.3">
      <c r="B8" s="104" t="s">
        <v>851</v>
      </c>
      <c r="C8" s="104"/>
      <c r="D8" s="104"/>
      <c r="E8" s="104"/>
      <c r="F8" s="104"/>
    </row>
    <row r="9" spans="1:6" ht="20.100000000000001" customHeight="1" x14ac:dyDescent="0.3">
      <c r="B9" s="104" t="s">
        <v>852</v>
      </c>
      <c r="C9" s="104"/>
      <c r="D9" s="104"/>
      <c r="E9" s="104"/>
      <c r="F9" s="104"/>
    </row>
    <row r="10" spans="1:6" ht="20.100000000000001" customHeight="1" x14ac:dyDescent="0.3">
      <c r="B10" s="104" t="s">
        <v>853</v>
      </c>
      <c r="C10" s="104"/>
      <c r="D10" s="104"/>
      <c r="E10" s="104"/>
      <c r="F10" s="104"/>
    </row>
    <row r="11" spans="1:6" ht="9.9499999999999993" customHeight="1" x14ac:dyDescent="0.3">
      <c r="B11" s="55"/>
      <c r="C11" s="55"/>
      <c r="D11" s="55"/>
      <c r="E11" s="55"/>
      <c r="F11" s="55"/>
    </row>
    <row r="12" spans="1:6" ht="78" customHeight="1" x14ac:dyDescent="0.3">
      <c r="B12" s="106"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「20○○학년도 ◯◯◯◯학교 교복(동·하복) 학교주관구매」제안서를 제출함에 있어 일체의 권한을 다음의 사람에게 위임합니다.</v>
      </c>
      <c r="C12" s="106"/>
      <c r="D12" s="106"/>
      <c r="E12" s="106"/>
      <c r="F12" s="106"/>
    </row>
    <row r="13" spans="1:6" ht="9.9499999999999993" customHeight="1" x14ac:dyDescent="0.3">
      <c r="B13" s="55"/>
      <c r="C13" s="55"/>
      <c r="D13" s="55"/>
      <c r="E13" s="55"/>
      <c r="F13" s="55"/>
    </row>
    <row r="14" spans="1:6" ht="9.9499999999999993" customHeight="1" x14ac:dyDescent="0.3">
      <c r="B14" s="55"/>
      <c r="C14" s="55"/>
      <c r="D14" s="55"/>
      <c r="E14" s="55"/>
      <c r="F14" s="55"/>
    </row>
    <row r="15" spans="1:6" ht="20.100000000000001" customHeight="1" x14ac:dyDescent="0.3">
      <c r="B15" s="28" t="s">
        <v>854</v>
      </c>
      <c r="C15" s="108"/>
      <c r="D15" s="108"/>
      <c r="E15" s="108"/>
      <c r="F15" s="108"/>
    </row>
    <row r="16" spans="1:6" ht="20.100000000000001" customHeight="1" x14ac:dyDescent="0.3">
      <c r="B16" s="28" t="s">
        <v>435</v>
      </c>
      <c r="C16" s="56"/>
      <c r="D16" s="28" t="s">
        <v>434</v>
      </c>
      <c r="E16" s="108"/>
      <c r="F16" s="108"/>
    </row>
    <row r="17" spans="2:6" ht="20.100000000000001" customHeight="1" x14ac:dyDescent="0.3">
      <c r="B17" s="28" t="s">
        <v>855</v>
      </c>
      <c r="C17" s="108"/>
      <c r="D17" s="108"/>
      <c r="E17" s="108"/>
      <c r="F17" s="108"/>
    </row>
    <row r="18" spans="2:6" ht="9.9499999999999993" customHeight="1" x14ac:dyDescent="0.3">
      <c r="B18" s="55"/>
      <c r="C18" s="55"/>
      <c r="D18" s="55"/>
      <c r="E18" s="55"/>
      <c r="F18" s="55"/>
    </row>
    <row r="19" spans="2:6" ht="15.95" customHeight="1" x14ac:dyDescent="0.3">
      <c r="B19" s="104" t="s">
        <v>856</v>
      </c>
      <c r="C19" s="104"/>
      <c r="D19" s="104"/>
      <c r="E19" s="104"/>
      <c r="F19" s="104"/>
    </row>
    <row r="20" spans="2:6" ht="15.95" customHeight="1" x14ac:dyDescent="0.3">
      <c r="B20" s="104" t="s">
        <v>857</v>
      </c>
      <c r="C20" s="104"/>
      <c r="D20" s="104"/>
      <c r="E20" s="104"/>
      <c r="F20" s="104"/>
    </row>
    <row r="21" spans="2:6" ht="9.9499999999999993" customHeight="1" x14ac:dyDescent="0.3">
      <c r="B21" s="55"/>
      <c r="C21" s="55"/>
      <c r="D21" s="55"/>
      <c r="E21" s="55"/>
      <c r="F21" s="55"/>
    </row>
    <row r="22" spans="2:6" ht="21.95" customHeight="1" x14ac:dyDescent="0.3">
      <c r="B22" s="104" t="s">
        <v>858</v>
      </c>
      <c r="C22" s="104"/>
      <c r="D22" s="104"/>
      <c r="E22" s="104"/>
      <c r="F22" s="104"/>
    </row>
    <row r="23" spans="2:6" ht="9.9499999999999993" customHeight="1" x14ac:dyDescent="0.3">
      <c r="B23" s="55"/>
      <c r="C23" s="55"/>
      <c r="D23" s="55"/>
      <c r="E23" s="55"/>
      <c r="F23" s="55"/>
    </row>
    <row r="24" spans="2:6" ht="20.100000000000001" customHeight="1" x14ac:dyDescent="0.3">
      <c r="B24" s="103" t="str">
        <f>IF(기초자료입력!$C$4="","◯◯◯◯학교장 귀하",기초자료입력!$C$4&amp;"장 귀하")</f>
        <v>◯◯◯◯학교장 귀하</v>
      </c>
      <c r="C24" s="103"/>
      <c r="D24" s="103"/>
      <c r="E24" s="103"/>
      <c r="F24" s="103"/>
    </row>
  </sheetData>
  <mergeCells count="14">
    <mergeCell ref="B10:F10"/>
    <mergeCell ref="B3:F4"/>
    <mergeCell ref="B6:F6"/>
    <mergeCell ref="B7:F7"/>
    <mergeCell ref="B8:F8"/>
    <mergeCell ref="B9:F9"/>
    <mergeCell ref="B22:F22"/>
    <mergeCell ref="B24:F24"/>
    <mergeCell ref="B12:F12"/>
    <mergeCell ref="C15:F15"/>
    <mergeCell ref="E16:F16"/>
    <mergeCell ref="C17:F17"/>
    <mergeCell ref="B19:F19"/>
    <mergeCell ref="B20:F20"/>
  </mergeCells>
  <phoneticPr fontId="6" type="noConversion"/>
  <pageMargins left="0.59055208333333331" right="0.59055208333333331" top="0.59055208333333331" bottom="0.59055208333333331" header="0.19685069444444445" footer="0.19685069444444445"/>
  <pageSetup paperSize="9" fitToWidth="0"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EB033-9D39-4045-9E51-CE00D8BAB71A}">
  <sheetPr codeName="Sheet18"/>
  <dimension ref="A1:I35"/>
  <sheetViews>
    <sheetView workbookViewId="0"/>
  </sheetViews>
  <sheetFormatPr defaultRowHeight="16.5" x14ac:dyDescent="0.3"/>
  <cols>
    <col min="1" max="1" width="3.125" customWidth="1"/>
    <col min="2" max="2" width="14.625" customWidth="1"/>
    <col min="3" max="3" width="6.625" customWidth="1"/>
    <col min="4" max="4" width="24.625" customWidth="1"/>
    <col min="5" max="9" width="7.625" customWidth="1"/>
  </cols>
  <sheetData>
    <row r="1" spans="1:9" x14ac:dyDescent="0.3">
      <c r="A1" s="20" t="s">
        <v>816</v>
      </c>
    </row>
    <row r="3" spans="1:9" x14ac:dyDescent="0.3">
      <c r="B3" s="92" t="str">
        <f>IF(기초자료입력!C22&lt;&gt;"",기초자료입력!C22,"교복 학교주관구매 만족도 조사(동복/하복)")</f>
        <v>교복 학교주관구매 만족도 조사(동복/하복)</v>
      </c>
      <c r="C3" s="83"/>
      <c r="D3" s="83"/>
      <c r="E3" s="83"/>
      <c r="F3" s="83"/>
      <c r="G3" s="83"/>
      <c r="H3" s="83"/>
      <c r="I3" s="83"/>
    </row>
    <row r="4" spans="1:9" x14ac:dyDescent="0.3">
      <c r="B4" s="83"/>
      <c r="C4" s="83"/>
      <c r="D4" s="83"/>
      <c r="E4" s="83"/>
      <c r="F4" s="83"/>
      <c r="G4" s="83"/>
      <c r="H4" s="83"/>
      <c r="I4" s="83"/>
    </row>
    <row r="5" spans="1:9" x14ac:dyDescent="0.3">
      <c r="B5" s="38"/>
      <c r="C5" s="38"/>
      <c r="D5" s="38"/>
      <c r="E5" s="38"/>
      <c r="F5" s="38"/>
      <c r="G5" s="38"/>
      <c r="H5" s="38"/>
      <c r="I5" s="38"/>
    </row>
    <row r="6" spans="1:9" ht="30" customHeight="1" x14ac:dyDescent="0.3">
      <c r="B6" s="77" t="s">
        <v>817</v>
      </c>
      <c r="C6" s="77"/>
      <c r="D6" s="77"/>
      <c r="E6" s="77"/>
      <c r="F6" s="77"/>
      <c r="G6" s="77"/>
      <c r="H6" s="77"/>
      <c r="I6" s="77"/>
    </row>
    <row r="7" spans="1:9" ht="30" customHeight="1" x14ac:dyDescent="0.3">
      <c r="B7" s="77" t="s">
        <v>818</v>
      </c>
      <c r="C7" s="77"/>
      <c r="D7" s="77"/>
      <c r="E7" s="77"/>
      <c r="F7" s="77"/>
      <c r="G7" s="77"/>
      <c r="H7" s="77"/>
      <c r="I7" s="77"/>
    </row>
    <row r="8" spans="1:9" x14ac:dyDescent="0.3">
      <c r="B8" s="21"/>
      <c r="C8" s="21"/>
      <c r="D8" s="21"/>
      <c r="E8" s="21"/>
      <c r="F8" s="21"/>
      <c r="G8" s="21"/>
      <c r="H8" s="21"/>
      <c r="I8" s="21"/>
    </row>
    <row r="9" spans="1:9" x14ac:dyDescent="0.3">
      <c r="B9" s="79" t="str">
        <f>IF(기초자료입력!C4&lt;&gt;"",기초자료입력!C4,"○○○학교")&amp;" 교복선정위원회"</f>
        <v>○○○학교 교복선정위원회</v>
      </c>
      <c r="C9" s="78"/>
      <c r="D9" s="78"/>
      <c r="E9" s="78"/>
      <c r="F9" s="78"/>
      <c r="G9" s="78"/>
      <c r="H9" s="78"/>
      <c r="I9" s="78"/>
    </row>
    <row r="10" spans="1:9" x14ac:dyDescent="0.3">
      <c r="B10" s="78" t="str">
        <f>IF(기초자료입력!C5&lt;&gt;"",기초자료입력!C5,"20○○")&amp;"학년도 / 해당란에 「○」표로 기재"</f>
        <v>20○○학년도 / 해당란에 「○」표로 기재</v>
      </c>
      <c r="C10" s="78"/>
      <c r="D10" s="78"/>
      <c r="E10" s="78"/>
      <c r="F10" s="78"/>
      <c r="G10" s="78"/>
      <c r="H10" s="78"/>
      <c r="I10" s="78"/>
    </row>
    <row r="11" spans="1:9" x14ac:dyDescent="0.3">
      <c r="B11" s="38"/>
      <c r="C11" s="38"/>
      <c r="D11" s="38"/>
      <c r="E11" s="38"/>
      <c r="F11" s="38"/>
      <c r="G11" s="38"/>
      <c r="H11" s="38"/>
      <c r="I11" s="38"/>
    </row>
    <row r="12" spans="1:9" x14ac:dyDescent="0.3">
      <c r="B12" s="61" t="s">
        <v>819</v>
      </c>
      <c r="C12" s="61" t="s">
        <v>327</v>
      </c>
      <c r="D12" s="61" t="s">
        <v>820</v>
      </c>
      <c r="E12" s="61" t="s">
        <v>821</v>
      </c>
      <c r="F12" s="61" t="s">
        <v>822</v>
      </c>
      <c r="G12" s="61" t="s">
        <v>823</v>
      </c>
      <c r="H12" s="61" t="s">
        <v>824</v>
      </c>
      <c r="I12" s="61" t="s">
        <v>825</v>
      </c>
    </row>
    <row r="13" spans="1:9" x14ac:dyDescent="0.3">
      <c r="B13" s="61"/>
      <c r="C13" s="61"/>
      <c r="D13" s="61"/>
      <c r="E13" s="61">
        <v>10</v>
      </c>
      <c r="F13" s="61">
        <v>8</v>
      </c>
      <c r="G13" s="61">
        <v>6</v>
      </c>
      <c r="H13" s="61">
        <v>4</v>
      </c>
      <c r="I13" s="61">
        <v>2</v>
      </c>
    </row>
    <row r="14" spans="1:9" ht="27.95" customHeight="1" x14ac:dyDescent="0.3">
      <c r="B14" s="33" t="s">
        <v>826</v>
      </c>
      <c r="C14" s="37">
        <v>1</v>
      </c>
      <c r="D14" s="33" t="s">
        <v>827</v>
      </c>
      <c r="E14" s="37"/>
      <c r="F14" s="37"/>
      <c r="G14" s="37"/>
      <c r="H14" s="37"/>
      <c r="I14" s="37"/>
    </row>
    <row r="15" spans="1:9" ht="27.95" customHeight="1" x14ac:dyDescent="0.3">
      <c r="B15" s="33" t="s">
        <v>828</v>
      </c>
      <c r="C15" s="37">
        <v>2</v>
      </c>
      <c r="D15" s="33" t="s">
        <v>829</v>
      </c>
      <c r="E15" s="37"/>
      <c r="F15" s="37"/>
      <c r="G15" s="37"/>
      <c r="H15" s="37"/>
      <c r="I15" s="37"/>
    </row>
    <row r="16" spans="1:9" ht="27.95" customHeight="1" x14ac:dyDescent="0.3">
      <c r="B16" s="33"/>
      <c r="C16" s="37">
        <v>3</v>
      </c>
      <c r="D16" s="33" t="s">
        <v>830</v>
      </c>
      <c r="E16" s="37"/>
      <c r="F16" s="37"/>
      <c r="G16" s="37"/>
      <c r="H16" s="37"/>
      <c r="I16" s="37"/>
    </row>
    <row r="17" spans="2:9" ht="27.95" customHeight="1" x14ac:dyDescent="0.3">
      <c r="B17" s="33"/>
      <c r="C17" s="37">
        <v>4</v>
      </c>
      <c r="D17" s="33" t="s">
        <v>831</v>
      </c>
      <c r="E17" s="37"/>
      <c r="F17" s="37"/>
      <c r="G17" s="37"/>
      <c r="H17" s="37"/>
      <c r="I17" s="37"/>
    </row>
    <row r="18" spans="2:9" ht="27.95" customHeight="1" x14ac:dyDescent="0.3">
      <c r="B18" s="33"/>
      <c r="C18" s="37">
        <v>5</v>
      </c>
      <c r="D18" s="33" t="s">
        <v>832</v>
      </c>
      <c r="E18" s="37"/>
      <c r="F18" s="37"/>
      <c r="G18" s="37"/>
      <c r="H18" s="37"/>
      <c r="I18" s="37"/>
    </row>
    <row r="19" spans="2:9" ht="27.95" customHeight="1" x14ac:dyDescent="0.3">
      <c r="B19" s="33" t="s">
        <v>833</v>
      </c>
      <c r="C19" s="37">
        <v>6</v>
      </c>
      <c r="D19" s="33" t="s">
        <v>834</v>
      </c>
      <c r="E19" s="37"/>
      <c r="F19" s="37"/>
      <c r="G19" s="37"/>
      <c r="H19" s="37"/>
      <c r="I19" s="37"/>
    </row>
    <row r="20" spans="2:9" ht="27.95" customHeight="1" x14ac:dyDescent="0.3">
      <c r="B20" s="33" t="s">
        <v>835</v>
      </c>
      <c r="C20" s="37">
        <v>7</v>
      </c>
      <c r="D20" s="33" t="s">
        <v>836</v>
      </c>
      <c r="E20" s="37"/>
      <c r="F20" s="37"/>
      <c r="G20" s="37"/>
      <c r="H20" s="37"/>
      <c r="I20" s="37"/>
    </row>
    <row r="21" spans="2:9" ht="27.95" customHeight="1" x14ac:dyDescent="0.3">
      <c r="B21" s="33"/>
      <c r="C21" s="37">
        <v>8</v>
      </c>
      <c r="D21" s="33" t="s">
        <v>837</v>
      </c>
      <c r="E21" s="37"/>
      <c r="F21" s="37"/>
      <c r="G21" s="37"/>
      <c r="H21" s="37"/>
      <c r="I21" s="37"/>
    </row>
    <row r="22" spans="2:9" ht="27.95" customHeight="1" x14ac:dyDescent="0.3">
      <c r="B22" s="33"/>
      <c r="C22" s="37">
        <v>9</v>
      </c>
      <c r="D22" s="33" t="s">
        <v>838</v>
      </c>
      <c r="E22" s="37"/>
      <c r="F22" s="37"/>
      <c r="G22" s="37"/>
      <c r="H22" s="37"/>
      <c r="I22" s="37"/>
    </row>
    <row r="23" spans="2:9" ht="27.95" customHeight="1" x14ac:dyDescent="0.3">
      <c r="B23" s="33"/>
      <c r="C23" s="37">
        <v>10</v>
      </c>
      <c r="D23" s="33" t="s">
        <v>839</v>
      </c>
      <c r="E23" s="37"/>
      <c r="F23" s="37"/>
      <c r="G23" s="37"/>
      <c r="H23" s="37"/>
      <c r="I23" s="37"/>
    </row>
    <row r="24" spans="2:9" x14ac:dyDescent="0.3">
      <c r="B24" s="80" t="s">
        <v>840</v>
      </c>
      <c r="C24" s="80"/>
      <c r="D24" s="80"/>
      <c r="E24" s="29"/>
      <c r="F24" s="29"/>
      <c r="G24" s="29"/>
      <c r="H24" s="29"/>
      <c r="I24" s="29"/>
    </row>
    <row r="25" spans="2:9" x14ac:dyDescent="0.3">
      <c r="B25" s="38"/>
      <c r="C25" s="38"/>
      <c r="D25" s="38"/>
      <c r="E25" s="38"/>
      <c r="F25" s="38"/>
      <c r="G25" s="38"/>
      <c r="H25" s="38"/>
      <c r="I25" s="38"/>
    </row>
    <row r="26" spans="2:9" x14ac:dyDescent="0.3">
      <c r="B26" s="80" t="s">
        <v>841</v>
      </c>
      <c r="C26" s="80"/>
      <c r="D26" s="80"/>
      <c r="E26" s="80"/>
      <c r="F26" s="80"/>
      <c r="G26" s="80"/>
      <c r="H26" s="80" t="s">
        <v>842</v>
      </c>
      <c r="I26" s="80"/>
    </row>
    <row r="27" spans="2:9" x14ac:dyDescent="0.3">
      <c r="B27" s="80" t="s">
        <v>843</v>
      </c>
      <c r="C27" s="80"/>
      <c r="D27" s="80"/>
      <c r="E27" s="80"/>
      <c r="F27" s="80"/>
      <c r="G27" s="80"/>
      <c r="H27" s="80" t="s">
        <v>844</v>
      </c>
      <c r="I27" s="80"/>
    </row>
    <row r="28" spans="2:9" x14ac:dyDescent="0.3">
      <c r="B28" s="38"/>
      <c r="C28" s="38"/>
      <c r="D28" s="38"/>
      <c r="E28" s="38"/>
      <c r="F28" s="38"/>
      <c r="G28" s="38"/>
      <c r="H28" s="38"/>
      <c r="I28" s="38"/>
    </row>
    <row r="29" spans="2:9" x14ac:dyDescent="0.3">
      <c r="B29" s="81" t="s">
        <v>845</v>
      </c>
      <c r="C29" s="81"/>
      <c r="D29" s="81"/>
      <c r="E29" s="81"/>
      <c r="F29" s="81"/>
      <c r="G29" s="81"/>
      <c r="H29" s="81"/>
      <c r="I29" s="81"/>
    </row>
    <row r="30" spans="2:9" x14ac:dyDescent="0.3">
      <c r="B30" s="38"/>
      <c r="C30" s="38"/>
      <c r="D30" s="38"/>
      <c r="E30" s="38"/>
      <c r="F30" s="38"/>
      <c r="G30" s="38"/>
      <c r="H30" s="38"/>
      <c r="I30" s="38"/>
    </row>
    <row r="31" spans="2:9" ht="21.95" customHeight="1" x14ac:dyDescent="0.3">
      <c r="B31" s="96" t="s">
        <v>846</v>
      </c>
      <c r="C31" s="96"/>
      <c r="D31" s="96"/>
      <c r="E31" s="96"/>
      <c r="F31" s="96"/>
      <c r="G31" s="96"/>
      <c r="H31" s="96"/>
      <c r="I31" s="96"/>
    </row>
    <row r="32" spans="2:9" ht="69.95" customHeight="1" x14ac:dyDescent="0.3">
      <c r="B32" s="109"/>
      <c r="C32" s="109"/>
      <c r="D32" s="109"/>
      <c r="E32" s="109"/>
      <c r="F32" s="109"/>
      <c r="G32" s="109"/>
      <c r="H32" s="109"/>
      <c r="I32" s="109"/>
    </row>
    <row r="33" spans="2:9" x14ac:dyDescent="0.3">
      <c r="B33" s="109"/>
      <c r="C33" s="109"/>
      <c r="D33" s="109"/>
      <c r="E33" s="109"/>
      <c r="F33" s="109"/>
      <c r="G33" s="109"/>
      <c r="H33" s="109"/>
      <c r="I33" s="109"/>
    </row>
    <row r="34" spans="2:9" x14ac:dyDescent="0.3">
      <c r="B34" s="109"/>
      <c r="C34" s="109"/>
      <c r="D34" s="109"/>
      <c r="E34" s="109"/>
      <c r="F34" s="109"/>
      <c r="G34" s="109"/>
      <c r="H34" s="109"/>
      <c r="I34" s="109"/>
    </row>
    <row r="35" spans="2:9" x14ac:dyDescent="0.3">
      <c r="B35" s="109"/>
      <c r="C35" s="109"/>
      <c r="D35" s="109"/>
      <c r="E35" s="109"/>
      <c r="F35" s="109"/>
      <c r="G35" s="109"/>
      <c r="H35" s="109"/>
      <c r="I35" s="109"/>
    </row>
  </sheetData>
  <sheetProtection sheet="1" objects="1" scenarios="1"/>
  <mergeCells count="13">
    <mergeCell ref="B24:D24"/>
    <mergeCell ref="B3:I4"/>
    <mergeCell ref="B6:I6"/>
    <mergeCell ref="B7:I7"/>
    <mergeCell ref="B9:I9"/>
    <mergeCell ref="B10:I10"/>
    <mergeCell ref="B32:I35"/>
    <mergeCell ref="B26:G26"/>
    <mergeCell ref="H26:I26"/>
    <mergeCell ref="B27:G27"/>
    <mergeCell ref="H27:I27"/>
    <mergeCell ref="B29:I29"/>
    <mergeCell ref="B31:I31"/>
  </mergeCells>
  <phoneticPr fontId="6" type="noConversion"/>
  <pageMargins left="0.23622083333333332" right="0.23622083333333332" top="0.27559097222222223" bottom="0.27559097222222223" header="0.11811041666666666" footer="0.11811041666666666"/>
  <pageSetup paperSize="9" fitToWidth="0"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45E5-B79D-4F99-806A-6875C3F6671B}">
  <sheetPr codeName="Sheet19"/>
  <dimension ref="A1:H25"/>
  <sheetViews>
    <sheetView workbookViewId="0"/>
  </sheetViews>
  <sheetFormatPr defaultRowHeight="16.5" x14ac:dyDescent="0.3"/>
  <cols>
    <col min="1" max="1" width="3.125" customWidth="1"/>
    <col min="2" max="2" width="10.625" customWidth="1"/>
    <col min="3" max="8" width="9.625" customWidth="1"/>
  </cols>
  <sheetData>
    <row r="1" spans="1:8" x14ac:dyDescent="0.3">
      <c r="A1" s="20" t="s">
        <v>812</v>
      </c>
    </row>
    <row r="2" spans="1:8" x14ac:dyDescent="0.3">
      <c r="G2" s="105" t="str">
        <f>IF(기초자료입력!C4&lt;&gt;"",기초자료입력!C4,"○ ○ 학 교")</f>
        <v>○ ○ 학 교</v>
      </c>
      <c r="H2" s="93"/>
    </row>
    <row r="3" spans="1:8" x14ac:dyDescent="0.3">
      <c r="B3" s="92" t="s">
        <v>813</v>
      </c>
      <c r="C3" s="93"/>
      <c r="D3" s="93"/>
      <c r="E3" s="93"/>
      <c r="F3" s="93"/>
      <c r="G3" s="93"/>
      <c r="H3" s="93"/>
    </row>
    <row r="4" spans="1:8" x14ac:dyDescent="0.3">
      <c r="B4" s="93"/>
      <c r="C4" s="93"/>
      <c r="D4" s="93"/>
      <c r="E4" s="93"/>
      <c r="F4" s="93"/>
      <c r="G4" s="93"/>
      <c r="H4" s="93"/>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4" t="s">
        <v>765</v>
      </c>
      <c r="D7" s="94"/>
      <c r="E7" s="94"/>
      <c r="F7" s="94"/>
      <c r="G7" s="94"/>
      <c r="H7" s="94"/>
    </row>
    <row r="8" spans="1:8" x14ac:dyDescent="0.3">
      <c r="B8" s="54" t="s">
        <v>297</v>
      </c>
      <c r="C8" s="94"/>
      <c r="D8" s="94"/>
      <c r="E8" s="94"/>
      <c r="F8" s="94"/>
      <c r="G8" s="94"/>
      <c r="H8" s="94"/>
    </row>
    <row r="9" spans="1:8" x14ac:dyDescent="0.3">
      <c r="B9" s="54" t="s">
        <v>291</v>
      </c>
      <c r="C9" s="96" t="str">
        <f>IF(기초자료입력!C22&lt;&gt;"",기초자료입력!C22,"교복 학교주관구매 만족도 설문조사 실시")</f>
        <v>교복 학교주관구매 만족도 설문조사 실시</v>
      </c>
      <c r="D9" s="94"/>
      <c r="E9" s="94"/>
      <c r="F9" s="94"/>
      <c r="G9" s="94"/>
      <c r="H9" s="94"/>
    </row>
    <row r="10" spans="1:8" x14ac:dyDescent="0.3">
      <c r="B10" s="38"/>
      <c r="C10" s="38"/>
      <c r="D10" s="38"/>
      <c r="E10" s="38"/>
      <c r="F10" s="38"/>
      <c r="G10" s="38"/>
      <c r="H10" s="38"/>
    </row>
    <row r="11" spans="1:8" x14ac:dyDescent="0.3">
      <c r="B11" s="86" t="s">
        <v>766</v>
      </c>
      <c r="C11" s="81"/>
      <c r="D11" s="81"/>
      <c r="E11" s="81"/>
      <c r="F11" s="81"/>
      <c r="G11" s="81"/>
      <c r="H11" s="81"/>
    </row>
    <row r="12" spans="1:8" x14ac:dyDescent="0.3">
      <c r="B12" s="38"/>
      <c r="C12" s="38"/>
      <c r="D12" s="38"/>
      <c r="E12" s="38"/>
      <c r="F12" s="38"/>
      <c r="G12" s="38"/>
      <c r="H12" s="38"/>
    </row>
    <row r="13" spans="1:8" ht="30" customHeight="1" x14ac:dyDescent="0.3">
      <c r="B13" s="91" t="s">
        <v>814</v>
      </c>
      <c r="C13" s="91"/>
      <c r="D13" s="91"/>
      <c r="E13" s="91"/>
      <c r="F13" s="91"/>
      <c r="G13" s="91"/>
      <c r="H13" s="91"/>
    </row>
    <row r="14" spans="1:8" x14ac:dyDescent="0.3">
      <c r="B14" s="38"/>
      <c r="C14" s="38"/>
      <c r="D14" s="38"/>
      <c r="E14" s="38"/>
      <c r="F14" s="38"/>
      <c r="G14" s="38"/>
      <c r="H14" s="38"/>
    </row>
    <row r="15" spans="1:8" x14ac:dyDescent="0.3">
      <c r="B15" s="53" t="s">
        <v>768</v>
      </c>
      <c r="C15" s="81" t="str">
        <f>IF(기초자료입력!C5&lt;&gt;"",기초자료입력!C5,"20○○")&amp;"학년도 교복 학교주관구매 참여 학생 및 학부모"</f>
        <v>20○○학년도 교복 학교주관구매 참여 학생 및 학부모</v>
      </c>
      <c r="D15" s="81"/>
      <c r="E15" s="81"/>
      <c r="F15" s="81"/>
      <c r="G15" s="81"/>
      <c r="H15" s="81"/>
    </row>
    <row r="16" spans="1:8" ht="27.95" customHeight="1" x14ac:dyDescent="0.3">
      <c r="B16" s="53" t="s">
        <v>769</v>
      </c>
      <c r="C16" s="91" t="str">
        <f>IF(기초자료입력!C12&lt;&gt;"",기초자료입력!C12&amp;" 관련 가격, 품질, 구매절차 및 사후관리 등 전반에 걸친 만족도 조사","가격, 품질, 구매절차 및 사후관리 등 전반에 걸친 만족도 조사")</f>
        <v>가격, 품질, 구매절차 및 사후관리 등 전반에 걸친 만족도 조사</v>
      </c>
      <c r="D16" s="91"/>
      <c r="E16" s="91"/>
      <c r="F16" s="91"/>
      <c r="G16" s="91"/>
      <c r="H16" s="91"/>
    </row>
    <row r="17" spans="2:8" x14ac:dyDescent="0.3">
      <c r="B17" s="38"/>
      <c r="C17" s="38"/>
      <c r="D17" s="38"/>
      <c r="E17" s="38"/>
      <c r="F17" s="38"/>
      <c r="G17" s="38"/>
      <c r="H17" s="38"/>
    </row>
    <row r="18" spans="2:8" x14ac:dyDescent="0.3">
      <c r="B18" s="86" t="s">
        <v>815</v>
      </c>
      <c r="C18" s="81"/>
      <c r="D18" s="81"/>
      <c r="E18" s="81"/>
      <c r="F18" s="81"/>
      <c r="G18" s="81"/>
      <c r="H18" s="81"/>
    </row>
    <row r="19" spans="2:8" x14ac:dyDescent="0.3">
      <c r="B19" s="38"/>
      <c r="C19" s="38"/>
      <c r="D19" s="38"/>
      <c r="E19" s="38"/>
      <c r="F19" s="38"/>
      <c r="G19" s="38"/>
      <c r="H19" s="38"/>
    </row>
    <row r="20" spans="2:8" x14ac:dyDescent="0.3">
      <c r="B20" s="38"/>
      <c r="C20" s="38"/>
      <c r="D20" s="38"/>
      <c r="E20" s="38"/>
      <c r="F20" s="38"/>
      <c r="G20" s="38"/>
      <c r="H20" s="38"/>
    </row>
    <row r="21" spans="2:8" x14ac:dyDescent="0.3">
      <c r="B21" s="38"/>
      <c r="C21" s="38"/>
      <c r="D21" s="38"/>
      <c r="E21" s="38"/>
      <c r="F21" s="38"/>
      <c r="G21" s="38"/>
      <c r="H21" s="38"/>
    </row>
    <row r="22" spans="2:8" x14ac:dyDescent="0.3">
      <c r="B22" s="38"/>
      <c r="C22" s="38"/>
      <c r="D22" s="38"/>
      <c r="E22" s="38"/>
      <c r="F22" s="54" t="s">
        <v>293</v>
      </c>
      <c r="G22" s="54" t="s">
        <v>304</v>
      </c>
      <c r="H22" s="54" t="s">
        <v>294</v>
      </c>
    </row>
    <row r="23" spans="2:8" x14ac:dyDescent="0.3">
      <c r="B23" s="53" t="s">
        <v>305</v>
      </c>
      <c r="C23" s="81" t="str">
        <f>IF(기초자료입력!C9&lt;&gt;"",기초자료입력!C9,"")</f>
        <v/>
      </c>
      <c r="D23" s="81"/>
      <c r="E23" s="81"/>
      <c r="F23" s="54" t="s">
        <v>306</v>
      </c>
      <c r="G23" s="94"/>
      <c r="H23" s="94"/>
    </row>
    <row r="24" spans="2:8" x14ac:dyDescent="0.3">
      <c r="B24" s="53" t="s">
        <v>307</v>
      </c>
      <c r="C24" s="38"/>
      <c r="D24" s="53" t="s">
        <v>308</v>
      </c>
      <c r="E24" s="81"/>
      <c r="F24" s="94"/>
      <c r="G24" s="94"/>
      <c r="H24" s="94"/>
    </row>
    <row r="25" spans="2:8" x14ac:dyDescent="0.3">
      <c r="B25" s="53" t="s">
        <v>309</v>
      </c>
      <c r="C25" s="38"/>
      <c r="D25" s="53" t="s">
        <v>310</v>
      </c>
      <c r="E25" s="38"/>
      <c r="F25" s="54" t="s">
        <v>311</v>
      </c>
      <c r="G25" s="94"/>
      <c r="H25" s="94"/>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56B48-2FE4-4AC9-AE04-E226668F5B60}">
  <sheetPr codeName="Sheet20"/>
  <dimension ref="A1:H41"/>
  <sheetViews>
    <sheetView workbookViewId="0"/>
  </sheetViews>
  <sheetFormatPr defaultRowHeight="16.5" x14ac:dyDescent="0.3"/>
  <cols>
    <col min="1" max="1" width="3.125" customWidth="1"/>
    <col min="2" max="8" width="10.625" customWidth="1"/>
  </cols>
  <sheetData>
    <row r="1" spans="1:8" x14ac:dyDescent="0.3">
      <c r="A1" s="20" t="s">
        <v>800</v>
      </c>
    </row>
    <row r="3" spans="1:8" x14ac:dyDescent="0.3">
      <c r="B3" s="79" t="str">
        <f>IF(기초자료입력!C22&lt;&gt;"",기초자료입력!C22,IF(기초자료입력!C4&lt;&gt;"",기초자료입력!C4,"○○학교")&amp;" 교복 구매 수요조사")</f>
        <v>○○학교 교복 구매 수요조사</v>
      </c>
      <c r="C3" s="78"/>
      <c r="D3" s="78"/>
      <c r="E3" s="78"/>
      <c r="F3" s="78"/>
      <c r="G3" s="78"/>
      <c r="H3" s="78"/>
    </row>
    <row r="4" spans="1:8" x14ac:dyDescent="0.3">
      <c r="B4" s="78"/>
      <c r="C4" s="78"/>
      <c r="D4" s="78"/>
      <c r="E4" s="78"/>
      <c r="F4" s="78"/>
      <c r="G4" s="78"/>
      <c r="H4" s="78"/>
    </row>
    <row r="5" spans="1:8" x14ac:dyDescent="0.3">
      <c r="B5" s="21"/>
      <c r="C5" s="21"/>
      <c r="D5" s="21"/>
      <c r="E5" s="21"/>
      <c r="F5" s="21"/>
      <c r="G5" s="21"/>
      <c r="H5" s="21"/>
    </row>
    <row r="6" spans="1:8" x14ac:dyDescent="0.3">
      <c r="B6" s="88" t="str">
        <f>"안녕하십니까? "&amp;IF(기초자료입력!C4&lt;&gt;"",기초자료입력!C4,"○○학교")&amp;" 입학을 진심으로 축하드립니다."</f>
        <v>안녕하십니까? ○○학교 입학을 진심으로 축하드립니다.</v>
      </c>
      <c r="C6" s="88"/>
      <c r="D6" s="88"/>
      <c r="E6" s="88"/>
      <c r="F6" s="88"/>
      <c r="G6" s="88"/>
      <c r="H6" s="88"/>
    </row>
    <row r="7" spans="1:8" x14ac:dyDescent="0.3">
      <c r="B7" s="21"/>
      <c r="C7" s="21"/>
      <c r="D7" s="21"/>
      <c r="E7" s="21"/>
      <c r="F7" s="21"/>
      <c r="G7" s="21"/>
      <c r="H7" s="21"/>
    </row>
    <row r="8" spans="1:8" ht="30" customHeight="1" x14ac:dyDescent="0.3">
      <c r="B8" s="77" t="s">
        <v>801</v>
      </c>
      <c r="C8" s="77"/>
      <c r="D8" s="77"/>
      <c r="E8" s="77"/>
      <c r="F8" s="77"/>
      <c r="G8" s="77"/>
      <c r="H8" s="77"/>
    </row>
    <row r="9" spans="1:8" x14ac:dyDescent="0.3">
      <c r="B9" s="77"/>
      <c r="C9" s="77"/>
      <c r="D9" s="77"/>
      <c r="E9" s="77"/>
      <c r="F9" s="77"/>
      <c r="G9" s="77"/>
      <c r="H9" s="77"/>
    </row>
    <row r="10" spans="1:8" x14ac:dyDescent="0.3">
      <c r="B10" s="21"/>
      <c r="C10" s="21"/>
      <c r="D10" s="21"/>
      <c r="E10" s="21"/>
      <c r="F10" s="21"/>
      <c r="G10" s="21"/>
      <c r="H10" s="21"/>
    </row>
    <row r="11" spans="1:8" ht="30" customHeight="1" x14ac:dyDescent="0.3">
      <c r="B11" s="77" t="s">
        <v>802</v>
      </c>
      <c r="C11" s="77"/>
      <c r="D11" s="77"/>
      <c r="E11" s="77"/>
      <c r="F11" s="77"/>
      <c r="G11" s="77"/>
      <c r="H11" s="77"/>
    </row>
    <row r="12" spans="1:8" x14ac:dyDescent="0.3">
      <c r="B12" s="77"/>
      <c r="C12" s="77"/>
      <c r="D12" s="77"/>
      <c r="E12" s="77"/>
      <c r="F12" s="77"/>
      <c r="G12" s="77"/>
      <c r="H12" s="77"/>
    </row>
    <row r="13" spans="1:8" x14ac:dyDescent="0.3">
      <c r="B13" s="21"/>
      <c r="C13" s="21"/>
      <c r="D13" s="21"/>
      <c r="E13" s="21"/>
      <c r="F13" s="21"/>
      <c r="G13" s="21"/>
      <c r="H13" s="21"/>
    </row>
    <row r="14" spans="1:8" ht="30" customHeight="1" x14ac:dyDescent="0.3">
      <c r="B14" s="77" t="str">
        <f>"※ 참고: "&amp;IF(기초자료입력!C5&lt;&gt;"",기초자료입력!C5,"20○○")&amp;"학년도 신입생 교복 「학교주관구매」 가격 상한선"&amp;CHAR(10)&amp;"동복(4pcs 기준) 000,000원, 하복(2pcs 기준) 00,000원"</f>
        <v>※ 참고: 20○○학년도 신입생 교복 「학교주관구매」 가격 상한선
동복(4pcs 기준) 000,000원, 하복(2pcs 기준) 00,000원</v>
      </c>
      <c r="C14" s="77"/>
      <c r="D14" s="77"/>
      <c r="E14" s="77"/>
      <c r="F14" s="77"/>
      <c r="G14" s="77"/>
      <c r="H14" s="77"/>
    </row>
    <row r="15" spans="1:8" x14ac:dyDescent="0.3">
      <c r="B15" s="77"/>
      <c r="C15" s="77"/>
      <c r="D15" s="77"/>
      <c r="E15" s="77"/>
      <c r="F15" s="77"/>
      <c r="G15" s="77"/>
      <c r="H15" s="77"/>
    </row>
    <row r="16" spans="1:8" x14ac:dyDescent="0.3">
      <c r="B16" s="21"/>
      <c r="C16" s="21"/>
      <c r="D16" s="21"/>
      <c r="E16" s="21"/>
      <c r="F16" s="21"/>
      <c r="G16" s="21"/>
      <c r="H16" s="21"/>
    </row>
    <row r="17" spans="2:8" ht="30" customHeight="1" x14ac:dyDescent="0.3">
      <c r="B17" s="77"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○○년 ○월 ○일까지 학교로 반드시 제출하여 주시기 바랍니다.</v>
      </c>
      <c r="C17" s="77"/>
      <c r="D17" s="77"/>
      <c r="E17" s="77"/>
      <c r="F17" s="77"/>
      <c r="G17" s="77"/>
      <c r="H17" s="77"/>
    </row>
    <row r="18" spans="2:8" x14ac:dyDescent="0.3">
      <c r="B18" s="77"/>
      <c r="C18" s="77"/>
      <c r="D18" s="77"/>
      <c r="E18" s="77"/>
      <c r="F18" s="77"/>
      <c r="G18" s="77"/>
      <c r="H18" s="77"/>
    </row>
    <row r="19" spans="2:8" x14ac:dyDescent="0.3">
      <c r="B19" s="21"/>
      <c r="C19" s="21"/>
      <c r="D19" s="21"/>
      <c r="E19" s="21"/>
      <c r="F19" s="21"/>
      <c r="G19" s="21"/>
      <c r="H19" s="21"/>
    </row>
    <row r="20" spans="2:8" ht="39.950000000000003" customHeight="1" x14ac:dyDescent="0.3">
      <c r="B20" s="77" t="s">
        <v>803</v>
      </c>
      <c r="C20" s="77"/>
      <c r="D20" s="77"/>
      <c r="E20" s="77"/>
      <c r="F20" s="77"/>
      <c r="G20" s="77"/>
      <c r="H20" s="77"/>
    </row>
    <row r="21" spans="2:8" x14ac:dyDescent="0.3">
      <c r="B21" s="77"/>
      <c r="C21" s="77"/>
      <c r="D21" s="77"/>
      <c r="E21" s="77"/>
      <c r="F21" s="77"/>
      <c r="G21" s="77"/>
      <c r="H21" s="77"/>
    </row>
    <row r="22" spans="2:8" x14ac:dyDescent="0.3">
      <c r="B22" s="21"/>
      <c r="C22" s="21"/>
      <c r="D22" s="21"/>
      <c r="E22" s="21"/>
      <c r="F22" s="21"/>
      <c r="G22" s="21"/>
      <c r="H22" s="21"/>
    </row>
    <row r="23" spans="2:8" x14ac:dyDescent="0.3">
      <c r="B23" s="88" t="s">
        <v>776</v>
      </c>
      <c r="C23" s="88"/>
      <c r="D23" s="88"/>
      <c r="E23" s="88"/>
      <c r="F23" s="88"/>
      <c r="G23" s="88"/>
      <c r="H23" s="88"/>
    </row>
    <row r="24" spans="2:8" x14ac:dyDescent="0.3">
      <c r="B24" s="113" t="s">
        <v>804</v>
      </c>
      <c r="C24" s="88"/>
      <c r="D24" s="88"/>
      <c r="E24" s="88"/>
      <c r="F24" s="88"/>
      <c r="G24" s="88"/>
      <c r="H24" s="88"/>
    </row>
    <row r="25" spans="2:8" x14ac:dyDescent="0.3">
      <c r="B25" s="21"/>
      <c r="C25" s="21"/>
      <c r="D25" s="21"/>
      <c r="E25" s="21"/>
      <c r="F25" s="21"/>
      <c r="G25" s="21"/>
      <c r="H25" s="21"/>
    </row>
    <row r="26" spans="2:8" x14ac:dyDescent="0.3">
      <c r="B26" s="78" t="str">
        <f>IF(기초자료입력!C8&lt;&gt;"",TEXT(기초자료입력!C8,"yyyy. m. d."),"년  월  일")</f>
        <v>년  월  일</v>
      </c>
      <c r="C26" s="78"/>
      <c r="D26" s="78"/>
      <c r="E26" s="78"/>
      <c r="F26" s="78"/>
      <c r="G26" s="78"/>
      <c r="H26" s="78"/>
    </row>
    <row r="27" spans="2:8" x14ac:dyDescent="0.3">
      <c r="B27" s="79" t="str">
        <f>IF(기초자료입력!C4&lt;&gt;"",기초자료입력!C4&amp;"장","○○○ 학교장")</f>
        <v>○○○ 학교장</v>
      </c>
      <c r="C27" s="78"/>
      <c r="D27" s="78"/>
      <c r="E27" s="78"/>
      <c r="F27" s="78"/>
      <c r="G27" s="78"/>
      <c r="H27" s="78"/>
    </row>
    <row r="28" spans="2:8" x14ac:dyDescent="0.3">
      <c r="B28" s="21"/>
      <c r="C28" s="21"/>
      <c r="D28" s="21"/>
      <c r="E28" s="21"/>
      <c r="F28" s="21"/>
      <c r="G28" s="21"/>
      <c r="H28" s="21"/>
    </row>
    <row r="29" spans="2:8" x14ac:dyDescent="0.3">
      <c r="B29" s="78" t="s">
        <v>805</v>
      </c>
      <c r="C29" s="78"/>
      <c r="D29" s="78"/>
      <c r="E29" s="78"/>
      <c r="F29" s="78"/>
      <c r="G29" s="78"/>
      <c r="H29" s="78"/>
    </row>
    <row r="30" spans="2:8" x14ac:dyDescent="0.3">
      <c r="B30" s="21"/>
      <c r="C30" s="21"/>
      <c r="D30" s="21"/>
      <c r="E30" s="21"/>
      <c r="F30" s="21"/>
      <c r="G30" s="21"/>
      <c r="H30" s="21"/>
    </row>
    <row r="31" spans="2:8" x14ac:dyDescent="0.3">
      <c r="B31" s="79" t="s">
        <v>806</v>
      </c>
      <c r="C31" s="78"/>
      <c r="D31" s="78"/>
      <c r="E31" s="78"/>
      <c r="F31" s="78"/>
      <c r="G31" s="78"/>
      <c r="H31" s="78"/>
    </row>
    <row r="32" spans="2:8" x14ac:dyDescent="0.3">
      <c r="B32" s="88" t="s">
        <v>807</v>
      </c>
      <c r="C32" s="88"/>
      <c r="D32" s="88"/>
      <c r="E32" s="88"/>
      <c r="F32" s="88"/>
      <c r="G32" s="88"/>
      <c r="H32" s="88"/>
    </row>
    <row r="33" spans="2:8" x14ac:dyDescent="0.3">
      <c r="B33" s="21"/>
      <c r="C33" s="21"/>
      <c r="D33" s="21"/>
      <c r="E33" s="21"/>
      <c r="F33" s="21"/>
      <c r="G33" s="21"/>
      <c r="H33" s="21"/>
    </row>
    <row r="34" spans="2:8" ht="32.1" customHeight="1" x14ac:dyDescent="0.3">
      <c r="B34" s="111" t="s">
        <v>808</v>
      </c>
      <c r="C34" s="111"/>
      <c r="D34" s="111" t="s">
        <v>809</v>
      </c>
      <c r="E34" s="111"/>
      <c r="F34" s="111"/>
      <c r="G34" s="111"/>
      <c r="H34" s="21"/>
    </row>
    <row r="35" spans="2:8" ht="32.1" customHeight="1" x14ac:dyDescent="0.3">
      <c r="B35" s="112"/>
      <c r="C35" s="112"/>
      <c r="D35" s="112" t="s">
        <v>810</v>
      </c>
      <c r="E35" s="112"/>
      <c r="F35" s="112" t="s">
        <v>811</v>
      </c>
      <c r="G35" s="112"/>
      <c r="H35" s="21"/>
    </row>
    <row r="36" spans="2:8" ht="20.100000000000001" customHeight="1" x14ac:dyDescent="0.3">
      <c r="B36" s="110"/>
      <c r="C36" s="110"/>
      <c r="D36" s="110"/>
      <c r="E36" s="110"/>
      <c r="F36" s="110"/>
      <c r="G36" s="110"/>
      <c r="H36" s="21"/>
    </row>
    <row r="37" spans="2:8" x14ac:dyDescent="0.3">
      <c r="B37" s="21"/>
      <c r="C37" s="21"/>
      <c r="D37" s="21"/>
      <c r="E37" s="21"/>
      <c r="F37" s="21"/>
      <c r="G37" s="21"/>
      <c r="H37" s="21"/>
    </row>
    <row r="38" spans="2:8" x14ac:dyDescent="0.3">
      <c r="B38" s="21"/>
      <c r="C38" s="21"/>
      <c r="D38" s="21"/>
      <c r="E38" s="21"/>
      <c r="F38" s="21"/>
      <c r="G38" s="21"/>
      <c r="H38" s="21"/>
    </row>
    <row r="39" spans="2:8" x14ac:dyDescent="0.3">
      <c r="B39" s="78" t="s">
        <v>786</v>
      </c>
      <c r="C39" s="78"/>
      <c r="D39" s="78"/>
      <c r="E39" s="78"/>
      <c r="F39" s="78"/>
      <c r="G39" s="78"/>
      <c r="H39" s="78"/>
    </row>
    <row r="40" spans="2:8" x14ac:dyDescent="0.3">
      <c r="B40" s="88" t="s">
        <v>787</v>
      </c>
      <c r="C40" s="88"/>
      <c r="D40" s="88"/>
      <c r="E40" s="88"/>
      <c r="F40" s="88"/>
      <c r="G40" s="88"/>
      <c r="H40" s="88"/>
    </row>
    <row r="41" spans="2:8" x14ac:dyDescent="0.3">
      <c r="B41" s="88" t="s">
        <v>788</v>
      </c>
      <c r="C41" s="88"/>
      <c r="D41" s="88"/>
      <c r="E41" s="88"/>
      <c r="F41" s="88"/>
      <c r="G41" s="88"/>
      <c r="H41" s="88"/>
    </row>
  </sheetData>
  <mergeCells count="24">
    <mergeCell ref="B29:H29"/>
    <mergeCell ref="B3:H4"/>
    <mergeCell ref="B6:H6"/>
    <mergeCell ref="B8:H9"/>
    <mergeCell ref="B11:H12"/>
    <mergeCell ref="B14:H15"/>
    <mergeCell ref="B17:H18"/>
    <mergeCell ref="B20:H21"/>
    <mergeCell ref="B23:H23"/>
    <mergeCell ref="B24:H24"/>
    <mergeCell ref="B26:H26"/>
    <mergeCell ref="B27:H27"/>
    <mergeCell ref="B41:H41"/>
    <mergeCell ref="B31:H31"/>
    <mergeCell ref="B32:H32"/>
    <mergeCell ref="B34:C35"/>
    <mergeCell ref="D34:G34"/>
    <mergeCell ref="D35:E35"/>
    <mergeCell ref="F35:G35"/>
    <mergeCell ref="B36:C36"/>
    <mergeCell ref="D36:E36"/>
    <mergeCell ref="F36:G36"/>
    <mergeCell ref="B39:H39"/>
    <mergeCell ref="B40:H40"/>
  </mergeCells>
  <phoneticPr fontId="6" type="noConversion"/>
  <pageMargins left="0.39370138888888889" right="0.39370138888888889" top="0.27559097222222223" bottom="0.27559097222222223" header="0.15748055555555554" footer="0.15748055555555554"/>
  <pageSetup paperSize="9" fitToWidth="0"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39C71-2A34-49BF-8760-B1AB9007EF03}">
  <sheetPr codeName="Sheet21"/>
  <dimension ref="A1:I45"/>
  <sheetViews>
    <sheetView workbookViewId="0"/>
  </sheetViews>
  <sheetFormatPr defaultRowHeight="16.5" x14ac:dyDescent="0.3"/>
  <cols>
    <col min="1" max="1" width="3.125" customWidth="1"/>
    <col min="2" max="2" width="10.625" customWidth="1"/>
    <col min="3" max="9" width="9.625" customWidth="1"/>
  </cols>
  <sheetData>
    <row r="1" spans="1:9" x14ac:dyDescent="0.3">
      <c r="A1" s="20" t="s">
        <v>781</v>
      </c>
    </row>
    <row r="3" spans="1:9" x14ac:dyDescent="0.3">
      <c r="B3" s="79" t="str">
        <f>IF(기초자료입력!C4&lt;&gt;"",기초자료입력!C4,"○○학교")&amp;" 교복 구매 안내문"</f>
        <v>○○학교 교복 구매 안내문</v>
      </c>
      <c r="C3" s="78"/>
      <c r="D3" s="78"/>
      <c r="E3" s="78"/>
      <c r="F3" s="78"/>
      <c r="G3" s="78"/>
      <c r="H3" s="78"/>
      <c r="I3" s="21"/>
    </row>
    <row r="4" spans="1:9" x14ac:dyDescent="0.3">
      <c r="B4" s="78"/>
      <c r="C4" s="78"/>
      <c r="D4" s="78"/>
      <c r="E4" s="78"/>
      <c r="F4" s="78"/>
      <c r="G4" s="78"/>
      <c r="H4" s="78"/>
      <c r="I4" s="21"/>
    </row>
    <row r="5" spans="1:9" x14ac:dyDescent="0.3">
      <c r="B5" s="21"/>
      <c r="C5" s="21"/>
      <c r="D5" s="21"/>
      <c r="E5" s="21"/>
      <c r="F5" s="21"/>
      <c r="G5" s="21"/>
      <c r="H5" s="21"/>
      <c r="I5" s="21"/>
    </row>
    <row r="6" spans="1:9" x14ac:dyDescent="0.3">
      <c r="B6" s="88" t="str">
        <f>"안녕하십니까? "&amp;IF(기초자료입력!C4&lt;&gt;"",기초자료입력!C4,"○○학교")&amp;" 입학을 진심으로 축하드립니다."</f>
        <v>안녕하십니까? ○○학교 입학을 진심으로 축하드립니다.</v>
      </c>
      <c r="C6" s="88"/>
      <c r="D6" s="88"/>
      <c r="E6" s="88"/>
      <c r="F6" s="88"/>
      <c r="G6" s="88"/>
      <c r="H6" s="88"/>
      <c r="I6" s="21"/>
    </row>
    <row r="7" spans="1:9" x14ac:dyDescent="0.3">
      <c r="B7" s="21"/>
      <c r="C7" s="21"/>
      <c r="D7" s="21"/>
      <c r="E7" s="21"/>
      <c r="F7" s="21"/>
      <c r="G7" s="21"/>
      <c r="H7" s="21"/>
      <c r="I7" s="21"/>
    </row>
    <row r="8" spans="1:9" ht="30" customHeight="1" x14ac:dyDescent="0.3">
      <c r="B8" s="77" t="s">
        <v>782</v>
      </c>
      <c r="C8" s="77"/>
      <c r="D8" s="77"/>
      <c r="E8" s="77"/>
      <c r="F8" s="77"/>
      <c r="G8" s="77"/>
      <c r="H8" s="77"/>
      <c r="I8" s="21"/>
    </row>
    <row r="9" spans="1:9" x14ac:dyDescent="0.3">
      <c r="B9" s="77"/>
      <c r="C9" s="77"/>
      <c r="D9" s="77"/>
      <c r="E9" s="77"/>
      <c r="F9" s="77"/>
      <c r="G9" s="77"/>
      <c r="H9" s="77"/>
      <c r="I9" s="21"/>
    </row>
    <row r="10" spans="1:9" x14ac:dyDescent="0.3">
      <c r="B10" s="21"/>
      <c r="C10" s="21"/>
      <c r="D10" s="21"/>
      <c r="E10" s="21"/>
      <c r="F10" s="21"/>
      <c r="G10" s="21"/>
      <c r="H10" s="21"/>
      <c r="I10" s="21"/>
    </row>
    <row r="11" spans="1:9" ht="60" customHeight="1" x14ac:dyDescent="0.3">
      <c r="B11" s="77"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20○○년 ○월 ○일부터 교복을 착용하며, ○○○(연락처: ○○○-○○○-○○○)을 20○○학년도 신입생 교복 사업자로 선정하였고 치수측정기간은 ○월 ○일 ~ ○월 ○일이며 「교복 학교주관구매」로 구입하는 교복의 단가는 000,000원(동복 000원, 하복 000원)입니다.</v>
      </c>
      <c r="C11" s="77"/>
      <c r="D11" s="77"/>
      <c r="E11" s="77"/>
      <c r="F11" s="77"/>
      <c r="G11" s="77"/>
      <c r="H11" s="77"/>
      <c r="I11" s="21"/>
    </row>
    <row r="12" spans="1:9" x14ac:dyDescent="0.3">
      <c r="B12" s="77"/>
      <c r="C12" s="77"/>
      <c r="D12" s="77"/>
      <c r="E12" s="77"/>
      <c r="F12" s="77"/>
      <c r="G12" s="77"/>
      <c r="H12" s="77"/>
      <c r="I12" s="21"/>
    </row>
    <row r="13" spans="1:9" x14ac:dyDescent="0.3">
      <c r="B13" s="21"/>
      <c r="C13" s="21"/>
      <c r="D13" s="21"/>
      <c r="E13" s="21"/>
      <c r="F13" s="21"/>
      <c r="G13" s="21"/>
      <c r="H13" s="21"/>
      <c r="I13" s="21"/>
    </row>
    <row r="14" spans="1:9" ht="30" customHeight="1" x14ac:dyDescent="0.3">
      <c r="B14" s="77" t="s">
        <v>783</v>
      </c>
      <c r="C14" s="77"/>
      <c r="D14" s="77"/>
      <c r="E14" s="77"/>
      <c r="F14" s="77"/>
      <c r="G14" s="77"/>
      <c r="H14" s="77"/>
      <c r="I14" s="21"/>
    </row>
    <row r="15" spans="1:9" x14ac:dyDescent="0.3">
      <c r="B15" s="77"/>
      <c r="C15" s="77"/>
      <c r="D15" s="77"/>
      <c r="E15" s="77"/>
      <c r="F15" s="77"/>
      <c r="G15" s="77"/>
      <c r="H15" s="77"/>
      <c r="I15" s="21"/>
    </row>
    <row r="16" spans="1:9" x14ac:dyDescent="0.3">
      <c r="B16" s="21"/>
      <c r="C16" s="21"/>
      <c r="D16" s="21"/>
      <c r="E16" s="21"/>
      <c r="F16" s="21"/>
      <c r="G16" s="21"/>
      <c r="H16" s="21"/>
      <c r="I16" s="21"/>
    </row>
    <row r="17" spans="2:9" ht="30" customHeight="1" x14ac:dyDescent="0.3">
      <c r="B17" s="77"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○○년 ○월 ○일까지 학교로 반드시 제출하여 주시기 바랍니다.</v>
      </c>
      <c r="C17" s="77"/>
      <c r="D17" s="77"/>
      <c r="E17" s="77"/>
      <c r="F17" s="77"/>
      <c r="G17" s="77"/>
      <c r="H17" s="77"/>
      <c r="I17" s="21"/>
    </row>
    <row r="18" spans="2:9" x14ac:dyDescent="0.3">
      <c r="B18" s="77"/>
      <c r="C18" s="77"/>
      <c r="D18" s="77"/>
      <c r="E18" s="77"/>
      <c r="F18" s="77"/>
      <c r="G18" s="77"/>
      <c r="H18" s="77"/>
      <c r="I18" s="21"/>
    </row>
    <row r="19" spans="2:9" x14ac:dyDescent="0.3">
      <c r="B19" s="21"/>
      <c r="C19" s="21"/>
      <c r="D19" s="21"/>
      <c r="E19" s="21"/>
      <c r="F19" s="21"/>
      <c r="G19" s="21"/>
      <c r="H19" s="21"/>
      <c r="I19" s="21"/>
    </row>
    <row r="20" spans="2:9" ht="30" customHeight="1" x14ac:dyDescent="0.3">
      <c r="B20" s="77" t="s">
        <v>784</v>
      </c>
      <c r="C20" s="77"/>
      <c r="D20" s="77"/>
      <c r="E20" s="77"/>
      <c r="F20" s="77"/>
      <c r="G20" s="77"/>
      <c r="H20" s="77"/>
      <c r="I20" s="21"/>
    </row>
    <row r="21" spans="2:9" x14ac:dyDescent="0.3">
      <c r="B21" s="77"/>
      <c r="C21" s="77"/>
      <c r="D21" s="77"/>
      <c r="E21" s="77"/>
      <c r="F21" s="77"/>
      <c r="G21" s="77"/>
      <c r="H21" s="77"/>
      <c r="I21" s="21"/>
    </row>
    <row r="22" spans="2:9" x14ac:dyDescent="0.3">
      <c r="B22" s="21"/>
      <c r="C22" s="21"/>
      <c r="D22" s="21"/>
      <c r="E22" s="21"/>
      <c r="F22" s="21"/>
      <c r="G22" s="21"/>
      <c r="H22" s="21"/>
      <c r="I22" s="21"/>
    </row>
    <row r="23" spans="2:9" x14ac:dyDescent="0.3">
      <c r="B23" s="78" t="str">
        <f>IF(기초자료입력!C8&lt;&gt;"",TEXT(기초자료입력!C8,"yyyy. m. d."),"년  월  일")</f>
        <v>년  월  일</v>
      </c>
      <c r="C23" s="78"/>
      <c r="D23" s="78"/>
      <c r="E23" s="78"/>
      <c r="F23" s="78"/>
      <c r="G23" s="78"/>
      <c r="H23" s="78"/>
      <c r="I23" s="21"/>
    </row>
    <row r="24" spans="2:9" x14ac:dyDescent="0.3">
      <c r="B24" s="79" t="str">
        <f>IF(기초자료입력!C4&lt;&gt;"",기초자료입력!C4&amp;"장","○○학교장")</f>
        <v>○○학교장</v>
      </c>
      <c r="C24" s="78"/>
      <c r="D24" s="78"/>
      <c r="E24" s="78"/>
      <c r="F24" s="78"/>
      <c r="G24" s="78"/>
      <c r="H24" s="78"/>
      <c r="I24" s="21"/>
    </row>
    <row r="25" spans="2:9" x14ac:dyDescent="0.3">
      <c r="B25" s="21"/>
      <c r="C25" s="21"/>
      <c r="D25" s="21"/>
      <c r="E25" s="21"/>
      <c r="F25" s="21"/>
      <c r="G25" s="21"/>
      <c r="H25" s="21"/>
      <c r="I25" s="21"/>
    </row>
    <row r="26" spans="2:9" x14ac:dyDescent="0.3">
      <c r="B26" s="78" t="s">
        <v>785</v>
      </c>
      <c r="C26" s="78"/>
      <c r="D26" s="78"/>
      <c r="E26" s="78"/>
      <c r="F26" s="78"/>
      <c r="G26" s="78"/>
      <c r="H26" s="78"/>
      <c r="I26" s="21"/>
    </row>
    <row r="27" spans="2:9" x14ac:dyDescent="0.3">
      <c r="B27" s="21"/>
      <c r="C27" s="21"/>
      <c r="D27" s="21"/>
      <c r="E27" s="21"/>
      <c r="F27" s="21"/>
      <c r="G27" s="21"/>
      <c r="H27" s="21"/>
      <c r="I27" s="21"/>
    </row>
    <row r="28" spans="2:9" x14ac:dyDescent="0.3">
      <c r="B28" s="79" t="str">
        <f>"&lt; "&amp;IF(기초자료입력!C5&lt;&gt;"",기초자료입력!C5,"20○○")&amp;"학년도 신입생 교복 구매 신청서 &gt;"</f>
        <v>&lt; 20○○학년도 신입생 교복 구매 신청서 &gt;</v>
      </c>
      <c r="C28" s="78"/>
      <c r="D28" s="78"/>
      <c r="E28" s="78"/>
      <c r="F28" s="78"/>
      <c r="G28" s="78"/>
      <c r="H28" s="78"/>
      <c r="I28" s="21"/>
    </row>
    <row r="29" spans="2:9" x14ac:dyDescent="0.3">
      <c r="B29" s="78" t="s">
        <v>786</v>
      </c>
      <c r="C29" s="78"/>
      <c r="D29" s="78"/>
      <c r="E29" s="78"/>
      <c r="F29" s="78"/>
      <c r="G29" s="78"/>
      <c r="H29" s="78"/>
      <c r="I29" s="21"/>
    </row>
    <row r="30" spans="2:9" x14ac:dyDescent="0.3">
      <c r="B30" s="88" t="s">
        <v>787</v>
      </c>
      <c r="C30" s="88"/>
      <c r="D30" s="88"/>
      <c r="E30" s="88"/>
      <c r="F30" s="88"/>
      <c r="G30" s="88"/>
      <c r="H30" s="88"/>
      <c r="I30" s="21"/>
    </row>
    <row r="31" spans="2:9" x14ac:dyDescent="0.3">
      <c r="B31" s="88" t="s">
        <v>788</v>
      </c>
      <c r="C31" s="88"/>
      <c r="D31" s="88"/>
      <c r="E31" s="88"/>
      <c r="F31" s="88"/>
      <c r="G31" s="88"/>
      <c r="H31" s="88"/>
      <c r="I31" s="21"/>
    </row>
    <row r="32" spans="2:9" x14ac:dyDescent="0.3">
      <c r="B32" s="21"/>
      <c r="C32" s="21"/>
      <c r="D32" s="21"/>
      <c r="E32" s="21"/>
      <c r="F32" s="21"/>
      <c r="G32" s="21"/>
      <c r="H32" s="21"/>
      <c r="I32" s="21"/>
    </row>
    <row r="33" spans="2:9" x14ac:dyDescent="0.3">
      <c r="B33" s="86" t="s">
        <v>789</v>
      </c>
      <c r="C33" s="88"/>
      <c r="D33" s="88"/>
      <c r="E33" s="88"/>
      <c r="F33" s="88"/>
      <c r="G33" s="88"/>
      <c r="H33" s="88"/>
      <c r="I33" s="21"/>
    </row>
    <row r="34" spans="2:9" x14ac:dyDescent="0.3">
      <c r="B34" s="88" t="s">
        <v>790</v>
      </c>
      <c r="C34" s="88"/>
      <c r="D34" s="88"/>
      <c r="E34" s="88"/>
      <c r="F34" s="88"/>
      <c r="G34" s="88"/>
      <c r="H34" s="88"/>
      <c r="I34" s="21"/>
    </row>
    <row r="35" spans="2:9" x14ac:dyDescent="0.3">
      <c r="B35" s="61" t="s">
        <v>791</v>
      </c>
      <c r="C35" s="61" t="s">
        <v>56</v>
      </c>
      <c r="D35" s="61" t="s">
        <v>792</v>
      </c>
      <c r="E35" s="61" t="s">
        <v>793</v>
      </c>
      <c r="F35" s="61" t="s">
        <v>794</v>
      </c>
      <c r="G35" s="61" t="s">
        <v>56</v>
      </c>
      <c r="H35" s="61" t="s">
        <v>792</v>
      </c>
      <c r="I35" s="61" t="s">
        <v>793</v>
      </c>
    </row>
    <row r="36" spans="2:9" x14ac:dyDescent="0.3">
      <c r="B36" s="29" t="s">
        <v>795</v>
      </c>
      <c r="C36" s="29"/>
      <c r="D36" s="29"/>
      <c r="E36" s="29"/>
      <c r="F36" s="29" t="s">
        <v>795</v>
      </c>
      <c r="G36" s="29"/>
      <c r="H36" s="29"/>
      <c r="I36" s="29"/>
    </row>
    <row r="37" spans="2:9" x14ac:dyDescent="0.3">
      <c r="B37" s="29" t="s">
        <v>796</v>
      </c>
      <c r="C37" s="29"/>
      <c r="D37" s="29"/>
      <c r="E37" s="29"/>
      <c r="F37" s="29" t="s">
        <v>797</v>
      </c>
      <c r="G37" s="29"/>
      <c r="H37" s="29"/>
      <c r="I37" s="29"/>
    </row>
    <row r="38" spans="2:9" x14ac:dyDescent="0.3">
      <c r="B38" s="29" t="s">
        <v>798</v>
      </c>
      <c r="C38" s="29"/>
      <c r="D38" s="29"/>
      <c r="E38" s="29"/>
      <c r="F38" s="29" t="s">
        <v>798</v>
      </c>
      <c r="G38" s="29"/>
      <c r="H38" s="29"/>
      <c r="I38" s="29"/>
    </row>
    <row r="39" spans="2:9" x14ac:dyDescent="0.3">
      <c r="B39" s="29" t="s">
        <v>798</v>
      </c>
      <c r="C39" s="29"/>
      <c r="D39" s="29"/>
      <c r="E39" s="29"/>
      <c r="F39" s="29" t="s">
        <v>798</v>
      </c>
      <c r="G39" s="29"/>
      <c r="H39" s="29"/>
      <c r="I39" s="29"/>
    </row>
    <row r="40" spans="2:9" x14ac:dyDescent="0.3">
      <c r="B40" s="29" t="s">
        <v>798</v>
      </c>
      <c r="C40" s="29"/>
      <c r="D40" s="29"/>
      <c r="E40" s="29"/>
      <c r="F40" s="29" t="s">
        <v>798</v>
      </c>
      <c r="G40" s="29"/>
      <c r="H40" s="29"/>
      <c r="I40" s="29"/>
    </row>
    <row r="41" spans="2:9" x14ac:dyDescent="0.3">
      <c r="B41" s="29" t="s">
        <v>798</v>
      </c>
      <c r="C41" s="29"/>
      <c r="D41" s="29"/>
      <c r="E41" s="29"/>
      <c r="F41" s="29" t="s">
        <v>798</v>
      </c>
      <c r="G41" s="29"/>
      <c r="H41" s="29"/>
      <c r="I41" s="29"/>
    </row>
    <row r="42" spans="2:9" x14ac:dyDescent="0.3">
      <c r="B42" s="29" t="s">
        <v>295</v>
      </c>
      <c r="C42" s="29"/>
      <c r="D42" s="29"/>
      <c r="E42" s="29"/>
      <c r="F42" s="29" t="s">
        <v>295</v>
      </c>
      <c r="G42" s="29"/>
      <c r="H42" s="29"/>
      <c r="I42" s="29"/>
    </row>
    <row r="43" spans="2:9" x14ac:dyDescent="0.3">
      <c r="B43" s="21"/>
      <c r="C43" s="21"/>
      <c r="D43" s="21"/>
      <c r="E43" s="21"/>
      <c r="F43" s="21"/>
      <c r="G43" s="21"/>
      <c r="H43" s="21"/>
      <c r="I43" s="21"/>
    </row>
    <row r="44" spans="2:9" x14ac:dyDescent="0.3">
      <c r="B44" s="81" t="s">
        <v>799</v>
      </c>
      <c r="C44" s="88"/>
      <c r="D44" s="88"/>
      <c r="E44" s="88"/>
      <c r="F44" s="88"/>
      <c r="G44" s="88"/>
      <c r="H44" s="88"/>
      <c r="I44" s="21"/>
    </row>
    <row r="45" spans="2:9" x14ac:dyDescent="0.3">
      <c r="B45" s="79" t="str">
        <f>IF(기초자료입력!C4&lt;&gt;"",기초자료입력!C4&amp;"장 귀하","○○학교장 귀하")</f>
        <v>○○학교장 귀하</v>
      </c>
      <c r="C45" s="78"/>
      <c r="D45" s="78"/>
      <c r="E45" s="78"/>
      <c r="F45" s="78"/>
      <c r="G45" s="78"/>
      <c r="H45" s="78"/>
      <c r="I45" s="21"/>
    </row>
  </sheetData>
  <mergeCells count="18">
    <mergeCell ref="B17:H18"/>
    <mergeCell ref="B3:H4"/>
    <mergeCell ref="B6:H6"/>
    <mergeCell ref="B8:H9"/>
    <mergeCell ref="B11:H12"/>
    <mergeCell ref="B14:H15"/>
    <mergeCell ref="B45:H45"/>
    <mergeCell ref="B20:H21"/>
    <mergeCell ref="B23:H23"/>
    <mergeCell ref="B24:H24"/>
    <mergeCell ref="B26:H26"/>
    <mergeCell ref="B28:H28"/>
    <mergeCell ref="B29:H29"/>
    <mergeCell ref="B30:H30"/>
    <mergeCell ref="B31:H31"/>
    <mergeCell ref="B33:H33"/>
    <mergeCell ref="B34:H34"/>
    <mergeCell ref="B44:H44"/>
  </mergeCells>
  <phoneticPr fontId="6" type="noConversion"/>
  <pageMargins left="0.39370138888888889" right="0.39370138888888889" top="0.23622083333333332" bottom="0.23622083333333332" header="0.11811041666666666" footer="0.11811041666666666"/>
  <pageSetup paperSize="9" fitToWidth="0"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854E4-840C-4CE5-8895-BE45D5CD99FE}">
  <sheetPr codeName="Sheet22"/>
  <dimension ref="A1:H25"/>
  <sheetViews>
    <sheetView workbookViewId="0"/>
  </sheetViews>
  <sheetFormatPr defaultRowHeight="16.5" x14ac:dyDescent="0.3"/>
  <cols>
    <col min="1" max="1" width="3.125" customWidth="1"/>
    <col min="2" max="2" width="10.625" customWidth="1"/>
    <col min="3" max="8" width="9.625" customWidth="1"/>
  </cols>
  <sheetData>
    <row r="1" spans="1:8" x14ac:dyDescent="0.3">
      <c r="A1" s="20" t="s">
        <v>777</v>
      </c>
    </row>
    <row r="2" spans="1:8" x14ac:dyDescent="0.3">
      <c r="G2" s="105" t="str">
        <f>IF(기초자료입력!C4&lt;&gt;"",기초자료입력!C4,"○ ○ 학 교")</f>
        <v>○ ○ 학 교</v>
      </c>
      <c r="H2" s="93"/>
    </row>
    <row r="3" spans="1:8" x14ac:dyDescent="0.3">
      <c r="B3" s="92" t="s">
        <v>778</v>
      </c>
      <c r="C3" s="93"/>
      <c r="D3" s="93"/>
      <c r="E3" s="93"/>
      <c r="F3" s="93"/>
      <c r="G3" s="93"/>
      <c r="H3" s="93"/>
    </row>
    <row r="4" spans="1:8" x14ac:dyDescent="0.3">
      <c r="B4" s="93"/>
      <c r="C4" s="93"/>
      <c r="D4" s="93"/>
      <c r="E4" s="93"/>
      <c r="F4" s="93"/>
      <c r="G4" s="93"/>
      <c r="H4" s="93"/>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4" t="s">
        <v>765</v>
      </c>
      <c r="D7" s="94"/>
      <c r="E7" s="94"/>
      <c r="F7" s="94"/>
      <c r="G7" s="94"/>
      <c r="H7" s="94"/>
    </row>
    <row r="8" spans="1:8" x14ac:dyDescent="0.3">
      <c r="B8" s="54" t="s">
        <v>297</v>
      </c>
      <c r="C8" s="94"/>
      <c r="D8" s="94"/>
      <c r="E8" s="94"/>
      <c r="F8" s="94"/>
      <c r="G8" s="94"/>
      <c r="H8" s="94"/>
    </row>
    <row r="9" spans="1:8" x14ac:dyDescent="0.3">
      <c r="B9" s="54" t="s">
        <v>291</v>
      </c>
      <c r="C9" s="96" t="str">
        <f>IF(기초자료입력!C22&lt;&gt;"",기초자료입력!C22,"신입생 예비소집일 교복구매 수요조사 가정통신문 발송")</f>
        <v>신입생 예비소집일 교복구매 수요조사 가정통신문 발송</v>
      </c>
      <c r="D9" s="94"/>
      <c r="E9" s="94"/>
      <c r="F9" s="94"/>
      <c r="G9" s="94"/>
      <c r="H9" s="94"/>
    </row>
    <row r="10" spans="1:8" x14ac:dyDescent="0.3">
      <c r="B10" s="38"/>
      <c r="C10" s="38"/>
      <c r="D10" s="38"/>
      <c r="E10" s="38"/>
      <c r="F10" s="38"/>
      <c r="G10" s="38"/>
      <c r="H10" s="38"/>
    </row>
    <row r="11" spans="1:8" x14ac:dyDescent="0.3">
      <c r="B11" s="86" t="s">
        <v>766</v>
      </c>
      <c r="C11" s="81"/>
      <c r="D11" s="81"/>
      <c r="E11" s="81"/>
      <c r="F11" s="81"/>
      <c r="G11" s="81"/>
      <c r="H11" s="81"/>
    </row>
    <row r="12" spans="1:8" x14ac:dyDescent="0.3">
      <c r="B12" s="38"/>
      <c r="C12" s="38"/>
      <c r="D12" s="38"/>
      <c r="E12" s="38"/>
      <c r="F12" s="38"/>
      <c r="G12" s="38"/>
      <c r="H12" s="38"/>
    </row>
    <row r="13" spans="1:8" ht="30" customHeight="1" x14ac:dyDescent="0.3">
      <c r="B13" s="91" t="s">
        <v>779</v>
      </c>
      <c r="C13" s="91"/>
      <c r="D13" s="91"/>
      <c r="E13" s="91"/>
      <c r="F13" s="91"/>
      <c r="G13" s="91"/>
      <c r="H13" s="91"/>
    </row>
    <row r="14" spans="1:8" x14ac:dyDescent="0.3">
      <c r="B14" s="38"/>
      <c r="C14" s="38"/>
      <c r="D14" s="38"/>
      <c r="E14" s="38"/>
      <c r="F14" s="38"/>
      <c r="G14" s="38"/>
      <c r="H14" s="38"/>
    </row>
    <row r="15" spans="1:8" x14ac:dyDescent="0.3">
      <c r="B15" s="53" t="s">
        <v>768</v>
      </c>
      <c r="C15" s="81" t="str">
        <f>IF(기초자료입력!C5&lt;&gt;"",기초자료입력!C5,"20○○")&amp;"학년도 신입생 및 학부모"</f>
        <v>20○○학년도 신입생 및 학부모</v>
      </c>
      <c r="D15" s="81"/>
      <c r="E15" s="81"/>
      <c r="F15" s="81"/>
      <c r="G15" s="81"/>
      <c r="H15" s="81"/>
    </row>
    <row r="16" spans="1:8" x14ac:dyDescent="0.3">
      <c r="B16" s="53" t="s">
        <v>769</v>
      </c>
      <c r="C16" s="81" t="str">
        <f>IF(기초자료입력!C12&lt;&gt;"",기초자료입력!C12&amp;" 관련 교복 학교주관구매 참여 여부 조사","교복 학교주관구매 참여 여부 조사")</f>
        <v>교복 학교주관구매 참여 여부 조사</v>
      </c>
      <c r="D16" s="81"/>
      <c r="E16" s="81"/>
      <c r="F16" s="81"/>
      <c r="G16" s="81"/>
      <c r="H16" s="81"/>
    </row>
    <row r="17" spans="2:8" x14ac:dyDescent="0.3">
      <c r="B17" s="38"/>
      <c r="C17" s="38"/>
      <c r="D17" s="38"/>
      <c r="E17" s="38"/>
      <c r="F17" s="38"/>
      <c r="G17" s="38"/>
      <c r="H17" s="38"/>
    </row>
    <row r="18" spans="2:8" x14ac:dyDescent="0.3">
      <c r="B18" s="86" t="s">
        <v>780</v>
      </c>
      <c r="C18" s="81"/>
      <c r="D18" s="81"/>
      <c r="E18" s="81"/>
      <c r="F18" s="81"/>
      <c r="G18" s="81"/>
      <c r="H18" s="81"/>
    </row>
    <row r="19" spans="2:8" x14ac:dyDescent="0.3">
      <c r="B19" s="38"/>
      <c r="C19" s="38"/>
      <c r="D19" s="38"/>
      <c r="E19" s="38"/>
      <c r="F19" s="38"/>
      <c r="G19" s="38"/>
      <c r="H19" s="38"/>
    </row>
    <row r="20" spans="2:8" x14ac:dyDescent="0.3">
      <c r="B20" s="38"/>
      <c r="C20" s="38"/>
      <c r="D20" s="38"/>
      <c r="E20" s="38"/>
      <c r="F20" s="38"/>
      <c r="G20" s="38"/>
      <c r="H20" s="38"/>
    </row>
    <row r="21" spans="2:8" x14ac:dyDescent="0.3">
      <c r="B21" s="38"/>
      <c r="C21" s="38"/>
      <c r="D21" s="38"/>
      <c r="E21" s="38"/>
      <c r="F21" s="38"/>
      <c r="G21" s="38"/>
      <c r="H21" s="38"/>
    </row>
    <row r="22" spans="2:8" x14ac:dyDescent="0.3">
      <c r="B22" s="38"/>
      <c r="C22" s="38"/>
      <c r="D22" s="38"/>
      <c r="E22" s="38"/>
      <c r="F22" s="54" t="s">
        <v>293</v>
      </c>
      <c r="G22" s="54" t="s">
        <v>304</v>
      </c>
      <c r="H22" s="54" t="s">
        <v>294</v>
      </c>
    </row>
    <row r="23" spans="2:8" x14ac:dyDescent="0.3">
      <c r="B23" s="53" t="s">
        <v>305</v>
      </c>
      <c r="C23" s="81" t="str">
        <f>IF(기초자료입력!C9&lt;&gt;"",기초자료입력!C9,"")</f>
        <v/>
      </c>
      <c r="D23" s="81"/>
      <c r="E23" s="81"/>
      <c r="F23" s="54" t="s">
        <v>306</v>
      </c>
      <c r="G23" s="94"/>
      <c r="H23" s="94"/>
    </row>
    <row r="24" spans="2:8" x14ac:dyDescent="0.3">
      <c r="B24" s="53" t="s">
        <v>307</v>
      </c>
      <c r="C24" s="38"/>
      <c r="D24" s="53" t="s">
        <v>308</v>
      </c>
      <c r="E24" s="81"/>
      <c r="F24" s="94"/>
      <c r="G24" s="94"/>
      <c r="H24" s="94"/>
    </row>
    <row r="25" spans="2:8" x14ac:dyDescent="0.3">
      <c r="B25" s="53" t="s">
        <v>309</v>
      </c>
      <c r="C25" s="38"/>
      <c r="D25" s="53" t="s">
        <v>310</v>
      </c>
      <c r="E25" s="38"/>
      <c r="F25" s="54" t="s">
        <v>311</v>
      </c>
      <c r="G25" s="94"/>
      <c r="H25" s="94"/>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7E28C-02AE-42BF-A27A-215A31298716}">
  <sheetPr codeName="Sheet23"/>
  <dimension ref="A1:H22"/>
  <sheetViews>
    <sheetView workbookViewId="0"/>
  </sheetViews>
  <sheetFormatPr defaultRowHeight="16.5" x14ac:dyDescent="0.3"/>
  <cols>
    <col min="1" max="1" width="3.125" customWidth="1"/>
    <col min="2" max="8" width="10.625" customWidth="1"/>
  </cols>
  <sheetData>
    <row r="1" spans="1:8" x14ac:dyDescent="0.3">
      <c r="A1" s="20" t="s">
        <v>771</v>
      </c>
    </row>
    <row r="3" spans="1:8" x14ac:dyDescent="0.3">
      <c r="B3" s="79" t="str">
        <f>IF(기초자료입력!C22&lt;&gt;"",기초자료입력!C22,"초 6(예비 중1), 중 3(예비 고1) 교복 구매 사전 안내")</f>
        <v>초 6(예비 중1), 중 3(예비 고1) 교복 구매 사전 안내</v>
      </c>
      <c r="C3" s="78"/>
      <c r="D3" s="78"/>
      <c r="E3" s="78"/>
      <c r="F3" s="78"/>
      <c r="G3" s="78"/>
      <c r="H3" s="78"/>
    </row>
    <row r="4" spans="1:8" x14ac:dyDescent="0.3">
      <c r="B4" s="78"/>
      <c r="C4" s="78"/>
      <c r="D4" s="78"/>
      <c r="E4" s="78"/>
      <c r="F4" s="78"/>
      <c r="G4" s="78"/>
      <c r="H4" s="78"/>
    </row>
    <row r="5" spans="1:8" x14ac:dyDescent="0.3">
      <c r="B5" s="21"/>
      <c r="C5" s="21"/>
      <c r="D5" s="21"/>
      <c r="E5" s="21"/>
      <c r="F5" s="21"/>
      <c r="G5" s="21"/>
      <c r="H5" s="21"/>
    </row>
    <row r="6" spans="1:8" x14ac:dyDescent="0.3">
      <c r="B6" s="88" t="s">
        <v>772</v>
      </c>
      <c r="C6" s="88"/>
      <c r="D6" s="88"/>
      <c r="E6" s="88"/>
      <c r="F6" s="88"/>
      <c r="G6" s="88"/>
      <c r="H6" s="88"/>
    </row>
    <row r="7" spans="1:8" x14ac:dyDescent="0.3">
      <c r="B7" s="21"/>
      <c r="C7" s="21"/>
      <c r="D7" s="21"/>
      <c r="E7" s="21"/>
      <c r="F7" s="21"/>
      <c r="G7" s="21"/>
      <c r="H7" s="21"/>
    </row>
    <row r="8" spans="1:8" ht="30" customHeight="1" x14ac:dyDescent="0.3">
      <c r="B8" s="77" t="str">
        <f>IF(기초자료입력!C5&lt;&gt;"",기초자료입력!C5,"20○○")&amp;"학년도 중학교, 고등학교 신입생 배정을 앞두고 "&amp;IF(기초자료입력!C12&lt;&gt;"",기초자료입력!C12,"교복 구매")&amp;"에 대한 사항을 다음과 같이 안내해 드립니다."</f>
        <v>20○○학년도 중학교, 고등학교 신입생 배정을 앞두고 교복 구매에 대한 사항을 다음과 같이 안내해 드립니다.</v>
      </c>
      <c r="C8" s="77"/>
      <c r="D8" s="77"/>
      <c r="E8" s="77"/>
      <c r="F8" s="77"/>
      <c r="G8" s="77"/>
      <c r="H8" s="77"/>
    </row>
    <row r="9" spans="1:8" x14ac:dyDescent="0.3">
      <c r="B9" s="21"/>
      <c r="C9" s="21"/>
      <c r="D9" s="21"/>
      <c r="E9" s="21"/>
      <c r="F9" s="21"/>
      <c r="G9" s="21"/>
      <c r="H9" s="21"/>
    </row>
    <row r="10" spans="1:8" ht="42" customHeight="1" x14ac:dyDescent="0.3">
      <c r="B10" s="77" t="s">
        <v>773</v>
      </c>
      <c r="C10" s="77"/>
      <c r="D10" s="77"/>
      <c r="E10" s="77"/>
      <c r="F10" s="77"/>
      <c r="G10" s="77"/>
      <c r="H10" s="77"/>
    </row>
    <row r="11" spans="1:8" x14ac:dyDescent="0.3">
      <c r="B11" s="77"/>
      <c r="C11" s="77"/>
      <c r="D11" s="77"/>
      <c r="E11" s="77"/>
      <c r="F11" s="77"/>
      <c r="G11" s="77"/>
      <c r="H11" s="77"/>
    </row>
    <row r="12" spans="1:8" x14ac:dyDescent="0.3">
      <c r="B12" s="21"/>
      <c r="C12" s="21"/>
      <c r="D12" s="21"/>
      <c r="E12" s="21"/>
      <c r="F12" s="21"/>
      <c r="G12" s="21"/>
      <c r="H12" s="21"/>
    </row>
    <row r="13" spans="1:8" ht="42" customHeight="1" x14ac:dyDescent="0.3">
      <c r="B13" s="77" t="s">
        <v>774</v>
      </c>
      <c r="C13" s="77"/>
      <c r="D13" s="77"/>
      <c r="E13" s="77"/>
      <c r="F13" s="77"/>
      <c r="G13" s="77"/>
      <c r="H13" s="77"/>
    </row>
    <row r="14" spans="1:8" x14ac:dyDescent="0.3">
      <c r="B14" s="77"/>
      <c r="C14" s="77"/>
      <c r="D14" s="77"/>
      <c r="E14" s="77"/>
      <c r="F14" s="77"/>
      <c r="G14" s="77"/>
      <c r="H14" s="77"/>
    </row>
    <row r="15" spans="1:8" x14ac:dyDescent="0.3">
      <c r="B15" s="21"/>
      <c r="C15" s="21"/>
      <c r="D15" s="21"/>
      <c r="E15" s="21"/>
      <c r="F15" s="21"/>
      <c r="G15" s="21"/>
      <c r="H15" s="21"/>
    </row>
    <row r="16" spans="1:8" ht="42" customHeight="1" x14ac:dyDescent="0.3">
      <c r="B16" s="77" t="s">
        <v>775</v>
      </c>
      <c r="C16" s="77"/>
      <c r="D16" s="77"/>
      <c r="E16" s="77"/>
      <c r="F16" s="77"/>
      <c r="G16" s="77"/>
      <c r="H16" s="77"/>
    </row>
    <row r="17" spans="2:8" x14ac:dyDescent="0.3">
      <c r="B17" s="77"/>
      <c r="C17" s="77"/>
      <c r="D17" s="77"/>
      <c r="E17" s="77"/>
      <c r="F17" s="77"/>
      <c r="G17" s="77"/>
      <c r="H17" s="77"/>
    </row>
    <row r="18" spans="2:8" x14ac:dyDescent="0.3">
      <c r="B18" s="21"/>
      <c r="C18" s="21"/>
      <c r="D18" s="21"/>
      <c r="E18" s="21"/>
      <c r="F18" s="21"/>
      <c r="G18" s="21"/>
      <c r="H18" s="21"/>
    </row>
    <row r="19" spans="2:8" x14ac:dyDescent="0.3">
      <c r="B19" s="88" t="s">
        <v>776</v>
      </c>
      <c r="C19" s="88"/>
      <c r="D19" s="88"/>
      <c r="E19" s="88"/>
      <c r="F19" s="88"/>
      <c r="G19" s="88"/>
      <c r="H19" s="88"/>
    </row>
    <row r="20" spans="2:8" x14ac:dyDescent="0.3">
      <c r="B20" s="21"/>
      <c r="C20" s="21"/>
      <c r="D20" s="21"/>
      <c r="E20" s="21"/>
      <c r="F20" s="21"/>
      <c r="G20" s="21"/>
      <c r="H20" s="21"/>
    </row>
    <row r="21" spans="2:8" x14ac:dyDescent="0.3">
      <c r="B21" s="78" t="str">
        <f>IF(기초자료입력!C8&lt;&gt;"",TEXT(기초자료입력!C8,"yyyy. m. d."),"년  월  일")</f>
        <v>년  월  일</v>
      </c>
      <c r="C21" s="78"/>
      <c r="D21" s="78"/>
      <c r="E21" s="78"/>
      <c r="F21" s="78"/>
      <c r="G21" s="78"/>
      <c r="H21" s="78"/>
    </row>
    <row r="22" spans="2:8" x14ac:dyDescent="0.3">
      <c r="B22" s="79" t="str">
        <f>IF(기초자료입력!C4&lt;&gt;"",기초자료입력!C4&amp;"장","○○학교장")</f>
        <v>○○학교장</v>
      </c>
      <c r="C22" s="78"/>
      <c r="D22" s="78"/>
      <c r="E22" s="78"/>
      <c r="F22" s="78"/>
      <c r="G22" s="78"/>
      <c r="H22" s="78"/>
    </row>
  </sheetData>
  <mergeCells count="9">
    <mergeCell ref="B19:H19"/>
    <mergeCell ref="B21:H21"/>
    <mergeCell ref="B22:H22"/>
    <mergeCell ref="B3:H4"/>
    <mergeCell ref="B6:H6"/>
    <mergeCell ref="B8:H8"/>
    <mergeCell ref="B10:H11"/>
    <mergeCell ref="B13:H14"/>
    <mergeCell ref="B16:H17"/>
  </mergeCells>
  <phoneticPr fontId="6" type="noConversion"/>
  <pageMargins left="0.59055208333333331" right="0.59055208333333331" top="0.47244166666666665" bottom="0.47244166666666665" header="0.3" footer="0.3"/>
  <pageSetup paperSize="9" fitToWidth="0"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0411-6542-4FCC-A612-47ACE6033138}">
  <sheetPr codeName="Sheet24"/>
  <dimension ref="A1:H25"/>
  <sheetViews>
    <sheetView workbookViewId="0"/>
  </sheetViews>
  <sheetFormatPr defaultRowHeight="16.5" x14ac:dyDescent="0.3"/>
  <cols>
    <col min="1" max="1" width="3.125" customWidth="1"/>
    <col min="2" max="2" width="10.625" customWidth="1"/>
    <col min="3" max="8" width="9.625" customWidth="1"/>
  </cols>
  <sheetData>
    <row r="1" spans="1:8" x14ac:dyDescent="0.3">
      <c r="A1" s="20" t="s">
        <v>763</v>
      </c>
    </row>
    <row r="2" spans="1:8" x14ac:dyDescent="0.3">
      <c r="G2" s="105" t="str">
        <f>IF(기초자료입력!C4&lt;&gt;"",기초자료입력!C4,"○ ○ 학 교")</f>
        <v>○ ○ 학 교</v>
      </c>
      <c r="H2" s="93"/>
    </row>
    <row r="3" spans="1:8" x14ac:dyDescent="0.3">
      <c r="B3" s="92" t="s">
        <v>764</v>
      </c>
      <c r="C3" s="93"/>
      <c r="D3" s="93"/>
      <c r="E3" s="93"/>
      <c r="F3" s="93"/>
      <c r="G3" s="93"/>
      <c r="H3" s="93"/>
    </row>
    <row r="4" spans="1:8" x14ac:dyDescent="0.3">
      <c r="B4" s="93"/>
      <c r="C4" s="93"/>
      <c r="D4" s="93"/>
      <c r="E4" s="93"/>
      <c r="F4" s="93"/>
      <c r="G4" s="93"/>
      <c r="H4" s="93"/>
    </row>
    <row r="5" spans="1:8" x14ac:dyDescent="0.3">
      <c r="B5" s="54" t="s">
        <v>25</v>
      </c>
      <c r="C5" s="37" t="str">
        <f>IF(기초자료입력!C9&lt;&gt;"",기초자료입력!C9,"")</f>
        <v/>
      </c>
      <c r="D5" s="37"/>
      <c r="E5" s="54" t="s">
        <v>289</v>
      </c>
      <c r="F5" s="37" t="str">
        <f>IF(기초자료입력!C8&lt;&gt;"",TEXT(기초자료입력!C8,"yyyy-mm-dd"),"")</f>
        <v/>
      </c>
      <c r="G5" s="37"/>
      <c r="H5" s="37"/>
    </row>
    <row r="6" spans="1:8" x14ac:dyDescent="0.3">
      <c r="B6" s="37"/>
      <c r="C6" s="37"/>
      <c r="D6" s="37"/>
      <c r="E6" s="37"/>
      <c r="F6" s="37"/>
      <c r="G6" s="37"/>
      <c r="H6" s="37"/>
    </row>
    <row r="7" spans="1:8" x14ac:dyDescent="0.3">
      <c r="B7" s="54" t="s">
        <v>290</v>
      </c>
      <c r="C7" s="94" t="s">
        <v>765</v>
      </c>
      <c r="D7" s="94"/>
      <c r="E7" s="94"/>
      <c r="F7" s="94"/>
      <c r="G7" s="94"/>
      <c r="H7" s="94"/>
    </row>
    <row r="8" spans="1:8" x14ac:dyDescent="0.3">
      <c r="B8" s="54" t="s">
        <v>297</v>
      </c>
      <c r="C8" s="94"/>
      <c r="D8" s="94"/>
      <c r="E8" s="94"/>
      <c r="F8" s="94"/>
      <c r="G8" s="94"/>
      <c r="H8" s="94"/>
    </row>
    <row r="9" spans="1:8" x14ac:dyDescent="0.3">
      <c r="B9" s="54" t="s">
        <v>291</v>
      </c>
      <c r="C9" s="96" t="str">
        <f>IF(기초자료입력!C22&lt;&gt;"",기초자료입력!C22,"신입생 교복구매 사전 안내 가정통신문 발송")</f>
        <v>신입생 교복구매 사전 안내 가정통신문 발송</v>
      </c>
      <c r="D9" s="94"/>
      <c r="E9" s="94"/>
      <c r="F9" s="94"/>
      <c r="G9" s="94"/>
      <c r="H9" s="94"/>
    </row>
    <row r="10" spans="1:8" x14ac:dyDescent="0.3">
      <c r="B10" s="38"/>
      <c r="C10" s="38"/>
      <c r="D10" s="38"/>
      <c r="E10" s="38"/>
      <c r="F10" s="38"/>
      <c r="G10" s="38"/>
      <c r="H10" s="38"/>
    </row>
    <row r="11" spans="1:8" x14ac:dyDescent="0.3">
      <c r="B11" s="86" t="s">
        <v>766</v>
      </c>
      <c r="C11" s="81"/>
      <c r="D11" s="81"/>
      <c r="E11" s="81"/>
      <c r="F11" s="81"/>
      <c r="G11" s="81"/>
      <c r="H11" s="81"/>
    </row>
    <row r="12" spans="1:8" x14ac:dyDescent="0.3">
      <c r="B12" s="38"/>
      <c r="C12" s="38"/>
      <c r="D12" s="38"/>
      <c r="E12" s="38"/>
      <c r="F12" s="38"/>
      <c r="G12" s="38"/>
      <c r="H12" s="38"/>
    </row>
    <row r="13" spans="1:8" ht="30" customHeight="1" x14ac:dyDescent="0.3">
      <c r="B13" s="91" t="s">
        <v>767</v>
      </c>
      <c r="C13" s="91"/>
      <c r="D13" s="91"/>
      <c r="E13" s="91"/>
      <c r="F13" s="91"/>
      <c r="G13" s="91"/>
      <c r="H13" s="91"/>
    </row>
    <row r="14" spans="1:8" x14ac:dyDescent="0.3">
      <c r="B14" s="38"/>
      <c r="C14" s="38"/>
      <c r="D14" s="38"/>
      <c r="E14" s="38"/>
      <c r="F14" s="38"/>
      <c r="G14" s="38"/>
      <c r="H14" s="38"/>
    </row>
    <row r="15" spans="1:8" x14ac:dyDescent="0.3">
      <c r="B15" s="53" t="s">
        <v>768</v>
      </c>
      <c r="C15" s="81" t="str">
        <f>IF(기초자료입력!C5&lt;&gt;"",기초자료입력!C5,"20○○")&amp;"학년도 예비 중1(예비 고1) 학생 및 학부모"</f>
        <v>20○○학년도 예비 중1(예비 고1) 학생 및 학부모</v>
      </c>
      <c r="D15" s="81"/>
      <c r="E15" s="81"/>
      <c r="F15" s="81"/>
      <c r="G15" s="81"/>
      <c r="H15" s="81"/>
    </row>
    <row r="16" spans="1:8" x14ac:dyDescent="0.3">
      <c r="B16" s="53" t="s">
        <v>769</v>
      </c>
      <c r="C16" s="81" t="str">
        <f>IF(기초자료입력!C12&lt;&gt;"",기초자료입력!C12&amp;" 관련 교복 학교주관구매 참여 및 지원 방법, 기타 교복관련 사항","교복 학교주관구매 참여 및 지원 방법, 기타 교복관련 사항")</f>
        <v>교복 학교주관구매 참여 및 지원 방법, 기타 교복관련 사항</v>
      </c>
      <c r="D16" s="81"/>
      <c r="E16" s="81"/>
      <c r="F16" s="81"/>
      <c r="G16" s="81"/>
      <c r="H16" s="81"/>
    </row>
    <row r="17" spans="2:8" x14ac:dyDescent="0.3">
      <c r="B17" s="38"/>
      <c r="C17" s="38"/>
      <c r="D17" s="38"/>
      <c r="E17" s="38"/>
      <c r="F17" s="38"/>
      <c r="G17" s="38"/>
      <c r="H17" s="38"/>
    </row>
    <row r="18" spans="2:8" x14ac:dyDescent="0.3">
      <c r="B18" s="86" t="s">
        <v>770</v>
      </c>
      <c r="C18" s="81"/>
      <c r="D18" s="81"/>
      <c r="E18" s="81"/>
      <c r="F18" s="81"/>
      <c r="G18" s="81"/>
      <c r="H18" s="81"/>
    </row>
    <row r="19" spans="2:8" x14ac:dyDescent="0.3">
      <c r="B19" s="38"/>
      <c r="C19" s="38"/>
      <c r="D19" s="38"/>
      <c r="E19" s="38"/>
      <c r="F19" s="38"/>
      <c r="G19" s="38"/>
      <c r="H19" s="38"/>
    </row>
    <row r="20" spans="2:8" x14ac:dyDescent="0.3">
      <c r="B20" s="38"/>
      <c r="C20" s="38"/>
      <c r="D20" s="38"/>
      <c r="E20" s="38"/>
      <c r="F20" s="38"/>
      <c r="G20" s="38"/>
      <c r="H20" s="38"/>
    </row>
    <row r="21" spans="2:8" x14ac:dyDescent="0.3">
      <c r="B21" s="38"/>
      <c r="C21" s="38"/>
      <c r="D21" s="38"/>
      <c r="E21" s="38"/>
      <c r="F21" s="38"/>
      <c r="G21" s="38"/>
      <c r="H21" s="38"/>
    </row>
    <row r="22" spans="2:8" x14ac:dyDescent="0.3">
      <c r="B22" s="38"/>
      <c r="C22" s="38"/>
      <c r="D22" s="38"/>
      <c r="E22" s="38"/>
      <c r="F22" s="54" t="s">
        <v>293</v>
      </c>
      <c r="G22" s="54" t="s">
        <v>304</v>
      </c>
      <c r="H22" s="54" t="s">
        <v>294</v>
      </c>
    </row>
    <row r="23" spans="2:8" x14ac:dyDescent="0.3">
      <c r="B23" s="53" t="s">
        <v>305</v>
      </c>
      <c r="C23" s="81" t="str">
        <f>IF(기초자료입력!C9&lt;&gt;"",기초자료입력!C9,"")</f>
        <v/>
      </c>
      <c r="D23" s="81"/>
      <c r="E23" s="81"/>
      <c r="F23" s="54" t="s">
        <v>306</v>
      </c>
      <c r="G23" s="94"/>
      <c r="H23" s="94"/>
    </row>
    <row r="24" spans="2:8" x14ac:dyDescent="0.3">
      <c r="B24" s="53" t="s">
        <v>307</v>
      </c>
      <c r="C24" s="38"/>
      <c r="D24" s="53" t="s">
        <v>308</v>
      </c>
      <c r="E24" s="81"/>
      <c r="F24" s="94"/>
      <c r="G24" s="94"/>
      <c r="H24" s="94"/>
    </row>
    <row r="25" spans="2:8" x14ac:dyDescent="0.3">
      <c r="B25" s="53" t="s">
        <v>309</v>
      </c>
      <c r="C25" s="38"/>
      <c r="D25" s="53" t="s">
        <v>310</v>
      </c>
      <c r="E25" s="38"/>
      <c r="F25" s="54" t="s">
        <v>311</v>
      </c>
      <c r="G25" s="94"/>
      <c r="H25" s="94"/>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32EC2-0F14-40B4-8D09-F19FE0EEDD67}">
  <sheetPr codeName="Sheet25"/>
  <dimension ref="A1:I37"/>
  <sheetViews>
    <sheetView workbookViewId="0"/>
  </sheetViews>
  <sheetFormatPr defaultRowHeight="16.5" x14ac:dyDescent="0.3"/>
  <cols>
    <col min="1" max="1" width="3.125" customWidth="1"/>
    <col min="2" max="2" width="12.625" customWidth="1"/>
    <col min="3" max="8" width="9.625" customWidth="1"/>
  </cols>
  <sheetData>
    <row r="1" spans="1:9" x14ac:dyDescent="0.3">
      <c r="A1" s="20" t="s">
        <v>746</v>
      </c>
    </row>
    <row r="2" spans="1:9" x14ac:dyDescent="0.3">
      <c r="I2" s="36" t="s">
        <v>747</v>
      </c>
    </row>
    <row r="3" spans="1:9" x14ac:dyDescent="0.3">
      <c r="B3" s="92" t="s">
        <v>748</v>
      </c>
      <c r="C3" s="93"/>
      <c r="D3" s="93"/>
      <c r="E3" s="93"/>
      <c r="F3" s="93"/>
      <c r="G3" s="93"/>
      <c r="H3" s="93"/>
      <c r="I3">
        <v>1</v>
      </c>
    </row>
    <row r="4" spans="1:9" x14ac:dyDescent="0.3">
      <c r="B4" s="93"/>
      <c r="C4" s="93"/>
      <c r="D4" s="93"/>
      <c r="E4" s="93"/>
      <c r="F4" s="93"/>
      <c r="G4" s="93"/>
      <c r="H4" s="93"/>
    </row>
    <row r="5" spans="1:9" x14ac:dyDescent="0.3">
      <c r="B5" s="54" t="s">
        <v>25</v>
      </c>
      <c r="C5" s="37" t="str">
        <f>IF(기초자료입력!C9&lt;&gt;"",기초자료입력!C9,"")</f>
        <v/>
      </c>
      <c r="D5" s="37"/>
      <c r="E5" s="54" t="s">
        <v>289</v>
      </c>
      <c r="F5" s="37" t="str">
        <f>IF(기초자료입력!C8&lt;&gt;"",TEXT(기초자료입력!C8,"yyyy-mm-dd"),"")</f>
        <v/>
      </c>
      <c r="G5" s="37"/>
      <c r="H5" s="37"/>
    </row>
    <row r="6" spans="1:9" x14ac:dyDescent="0.3">
      <c r="B6" s="37"/>
      <c r="C6" s="37"/>
      <c r="D6" s="37"/>
      <c r="E6" s="37"/>
      <c r="F6" s="37"/>
      <c r="G6" s="37"/>
      <c r="H6" s="37"/>
    </row>
    <row r="7" spans="1:9" x14ac:dyDescent="0.3">
      <c r="B7" s="54" t="s">
        <v>290</v>
      </c>
      <c r="C7" s="94" t="s">
        <v>510</v>
      </c>
      <c r="D7" s="94"/>
      <c r="E7" s="94"/>
      <c r="F7" s="94"/>
      <c r="G7" s="94"/>
      <c r="H7" s="94"/>
    </row>
    <row r="8" spans="1:9" x14ac:dyDescent="0.3">
      <c r="B8" s="54" t="s">
        <v>297</v>
      </c>
      <c r="C8" s="94"/>
      <c r="D8" s="94"/>
      <c r="E8" s="94"/>
      <c r="F8" s="94"/>
      <c r="G8" s="94"/>
      <c r="H8" s="94"/>
    </row>
    <row r="9" spans="1:9" x14ac:dyDescent="0.3">
      <c r="B9" s="54" t="s">
        <v>291</v>
      </c>
      <c r="C9" s="96" t="str">
        <f>IF(기초자료입력!C22&lt;&gt;"",기초자료입력!C22,IF(기초자료입력!C5&lt;&gt;"",기초자료입력!C5,"20○○")&amp;"학년도 교복 학교주관구매 계약 체결")</f>
        <v>20○○학년도 교복 학교주관구매 계약 체결</v>
      </c>
      <c r="D9" s="94"/>
      <c r="E9" s="94"/>
      <c r="F9" s="94"/>
      <c r="G9" s="94"/>
      <c r="H9" s="94"/>
    </row>
    <row r="10" spans="1:9" x14ac:dyDescent="0.3">
      <c r="B10" s="38"/>
      <c r="C10" s="38"/>
      <c r="D10" s="38"/>
      <c r="E10" s="38"/>
      <c r="F10" s="38"/>
      <c r="G10" s="38"/>
      <c r="H10" s="38"/>
    </row>
    <row r="11" spans="1:9" x14ac:dyDescent="0.3">
      <c r="B11" s="53" t="s">
        <v>298</v>
      </c>
      <c r="C11" s="81" t="str">
        <f>IF(기초자료입력!C23&lt;&gt;"",기초자료입력!C23,"")</f>
        <v/>
      </c>
      <c r="D11" s="81"/>
      <c r="E11" s="81"/>
      <c r="F11" s="81"/>
      <c r="G11" s="81"/>
      <c r="H11" s="81"/>
    </row>
    <row r="12" spans="1:9" x14ac:dyDescent="0.3">
      <c r="B12" s="38"/>
      <c r="C12" s="38"/>
      <c r="D12" s="38"/>
      <c r="E12" s="38"/>
      <c r="F12" s="38"/>
      <c r="G12" s="38"/>
      <c r="H12" s="38"/>
    </row>
    <row r="13" spans="1:9" x14ac:dyDescent="0.3">
      <c r="B13" s="91" t="str">
        <f>"2. "&amp;IF(기초자료입력!C5&lt;&gt;"",기초자료입력!C5,"20○○")&amp;"학년도 교복 학교주관구매를 위한 계약을 아래와 같이 체결하고자 합니다."</f>
        <v>2. 20○○학년도 교복 학교주관구매를 위한 계약을 아래와 같이 체결하고자 합니다.</v>
      </c>
      <c r="C13" s="91"/>
      <c r="D13" s="91"/>
      <c r="E13" s="91"/>
      <c r="F13" s="91"/>
      <c r="G13" s="91"/>
      <c r="H13" s="91"/>
    </row>
    <row r="14" spans="1:9" x14ac:dyDescent="0.3">
      <c r="B14" s="38"/>
      <c r="C14" s="38"/>
      <c r="D14" s="38"/>
      <c r="E14" s="38"/>
      <c r="F14" s="38"/>
      <c r="G14" s="38"/>
      <c r="H14" s="38"/>
    </row>
    <row r="15" spans="1:9" x14ac:dyDescent="0.3">
      <c r="B15" s="53" t="s">
        <v>749</v>
      </c>
      <c r="C15" s="81" t="str">
        <f>IF(기초자료입력!C12&lt;&gt;"",IF(기초자료입력!C5&lt;&gt;"",기초자료입력!C5&amp;"학년도 ","")&amp;기초자료입력!C12,"")</f>
        <v/>
      </c>
      <c r="D15" s="81"/>
      <c r="E15" s="81"/>
      <c r="F15" s="81"/>
      <c r="G15" s="81"/>
      <c r="H15" s="81"/>
    </row>
    <row r="16" spans="1:9" x14ac:dyDescent="0.3">
      <c r="B16" s="53" t="s">
        <v>750</v>
      </c>
      <c r="C16" s="115"/>
      <c r="D16" s="81"/>
      <c r="E16" s="81" t="s">
        <v>751</v>
      </c>
      <c r="F16" s="81"/>
      <c r="G16" s="81"/>
      <c r="H16" s="81"/>
    </row>
    <row r="17" spans="2:8" x14ac:dyDescent="0.3">
      <c r="B17" s="53" t="s">
        <v>752</v>
      </c>
      <c r="C17" s="81" t="str">
        <f>IF(AND(C16&lt;&gt;"",기초자료입력!C16&lt;&gt;""),"금"&amp;TEXT(C16*기초자료입력!C16,"#,##0")&amp;"원["&amp;TEXT(C16,"#,##0")&amp;"원(단가)×"&amp;기초자료입력!C16&amp;"벌(예정수량)]","")</f>
        <v/>
      </c>
      <c r="D17" s="81"/>
      <c r="E17" s="81"/>
      <c r="F17" s="81"/>
      <c r="G17" s="81"/>
      <c r="H17" s="81"/>
    </row>
    <row r="18" spans="2:8" x14ac:dyDescent="0.3">
      <c r="B18" s="81" t="s">
        <v>753</v>
      </c>
      <c r="C18" s="81"/>
      <c r="D18" s="81"/>
      <c r="E18" s="81"/>
      <c r="F18" s="81"/>
      <c r="G18" s="81"/>
      <c r="H18" s="81"/>
    </row>
    <row r="19" spans="2:8" x14ac:dyDescent="0.3">
      <c r="B19" s="38"/>
      <c r="C19" s="38"/>
      <c r="D19" s="38"/>
      <c r="E19" s="38"/>
      <c r="F19" s="38"/>
      <c r="G19" s="38"/>
      <c r="H19" s="38"/>
    </row>
    <row r="20" spans="2:8" x14ac:dyDescent="0.3">
      <c r="B20" s="86" t="s">
        <v>754</v>
      </c>
      <c r="C20" s="81"/>
      <c r="D20" s="81"/>
      <c r="E20" s="81"/>
      <c r="F20" s="81"/>
      <c r="G20" s="81"/>
      <c r="H20" s="81"/>
    </row>
    <row r="21" spans="2:8" x14ac:dyDescent="0.3">
      <c r="B21" s="32" t="s">
        <v>60</v>
      </c>
      <c r="C21" s="32" t="s">
        <v>755</v>
      </c>
      <c r="D21" s="32" t="s">
        <v>382</v>
      </c>
      <c r="E21" s="32" t="s">
        <v>434</v>
      </c>
      <c r="F21" s="81"/>
      <c r="G21" s="81"/>
      <c r="H21" s="81"/>
    </row>
    <row r="22" spans="2:8" x14ac:dyDescent="0.3">
      <c r="B22" s="37">
        <f>IFERROR(INDEX(기초자료입력!$B$44:$B$53,I3),"")</f>
        <v>0</v>
      </c>
      <c r="C22" s="37"/>
      <c r="D22" s="37"/>
      <c r="E22" s="37"/>
      <c r="F22" s="81"/>
      <c r="G22" s="81"/>
      <c r="H22" s="81"/>
    </row>
    <row r="23" spans="2:8" x14ac:dyDescent="0.3">
      <c r="B23" s="38"/>
      <c r="C23" s="38"/>
      <c r="D23" s="38"/>
      <c r="E23" s="38"/>
      <c r="F23" s="38"/>
      <c r="G23" s="38"/>
      <c r="H23" s="38"/>
    </row>
    <row r="24" spans="2:8" x14ac:dyDescent="0.3">
      <c r="B24" s="114" t="s">
        <v>756</v>
      </c>
      <c r="C24" s="91"/>
      <c r="D24" s="91"/>
      <c r="E24" s="91"/>
      <c r="F24" s="91"/>
      <c r="G24" s="91"/>
      <c r="H24" s="91"/>
    </row>
    <row r="25" spans="2:8" x14ac:dyDescent="0.3">
      <c r="B25" s="81" t="str">
        <f>"5. 납품기한："&amp;IF(기초자료입력!C17&lt;&gt;"",TEXT(기초자료입력!C17,"yyyy.mm.dd."),"")</f>
        <v>5. 납품기한：</v>
      </c>
      <c r="C25" s="81"/>
      <c r="D25" s="81"/>
      <c r="E25" s="81"/>
      <c r="F25" s="81"/>
      <c r="G25" s="81"/>
      <c r="H25" s="81"/>
    </row>
    <row r="26" spans="2:8" x14ac:dyDescent="0.3">
      <c r="B26" s="86" t="s">
        <v>757</v>
      </c>
      <c r="C26" s="81"/>
      <c r="D26" s="81"/>
      <c r="E26" s="81"/>
      <c r="F26" s="81"/>
      <c r="G26" s="81"/>
      <c r="H26" s="81"/>
    </row>
    <row r="27" spans="2:8" x14ac:dyDescent="0.3">
      <c r="B27" s="38"/>
      <c r="C27" s="38"/>
      <c r="D27" s="38"/>
      <c r="E27" s="38"/>
      <c r="F27" s="38"/>
      <c r="G27" s="38"/>
      <c r="H27" s="38"/>
    </row>
    <row r="28" spans="2:8" x14ac:dyDescent="0.3">
      <c r="B28" s="81" t="s">
        <v>758</v>
      </c>
      <c r="C28" s="81"/>
      <c r="D28" s="81"/>
      <c r="E28" s="81"/>
      <c r="F28" s="81"/>
      <c r="G28" s="81"/>
      <c r="H28" s="81"/>
    </row>
    <row r="29" spans="2:8" x14ac:dyDescent="0.3">
      <c r="B29" s="81" t="s">
        <v>759</v>
      </c>
      <c r="C29" s="81"/>
      <c r="D29" s="81"/>
      <c r="E29" s="81"/>
      <c r="F29" s="81"/>
      <c r="G29" s="81"/>
      <c r="H29" s="81"/>
    </row>
    <row r="30" spans="2:8" x14ac:dyDescent="0.3">
      <c r="B30" s="81" t="s">
        <v>760</v>
      </c>
      <c r="C30" s="81"/>
      <c r="D30" s="81"/>
      <c r="E30" s="81"/>
      <c r="F30" s="81"/>
      <c r="G30" s="81"/>
      <c r="H30" s="81"/>
    </row>
    <row r="31" spans="2:8" x14ac:dyDescent="0.3">
      <c r="B31" s="81" t="s">
        <v>761</v>
      </c>
      <c r="C31" s="81"/>
      <c r="D31" s="81"/>
      <c r="E31" s="81"/>
      <c r="F31" s="81"/>
      <c r="G31" s="81"/>
      <c r="H31" s="81"/>
    </row>
    <row r="32" spans="2:8" x14ac:dyDescent="0.3">
      <c r="B32" s="81" t="s">
        <v>762</v>
      </c>
      <c r="C32" s="81"/>
      <c r="D32" s="81"/>
      <c r="E32" s="81"/>
      <c r="F32" s="81"/>
      <c r="G32" s="81"/>
      <c r="H32" s="81"/>
    </row>
    <row r="33" spans="2:8" x14ac:dyDescent="0.3">
      <c r="B33" s="38"/>
      <c r="C33" s="38"/>
      <c r="D33" s="38"/>
      <c r="E33" s="38"/>
      <c r="F33" s="38"/>
      <c r="G33" s="38"/>
      <c r="H33" s="38"/>
    </row>
    <row r="34" spans="2:8" x14ac:dyDescent="0.3">
      <c r="B34" s="38"/>
      <c r="C34" s="38"/>
      <c r="D34" s="38"/>
      <c r="E34" s="38"/>
      <c r="F34" s="54" t="s">
        <v>293</v>
      </c>
      <c r="G34" s="54" t="s">
        <v>304</v>
      </c>
      <c r="H34" s="54" t="s">
        <v>294</v>
      </c>
    </row>
    <row r="35" spans="2:8" x14ac:dyDescent="0.3">
      <c r="B35" s="53" t="s">
        <v>305</v>
      </c>
      <c r="C35" s="81" t="str">
        <f>IF(기초자료입력!C9&lt;&gt;"",기초자료입력!C9,"")</f>
        <v/>
      </c>
      <c r="D35" s="81"/>
      <c r="E35" s="81"/>
      <c r="F35" s="54" t="s">
        <v>306</v>
      </c>
      <c r="G35" s="94"/>
      <c r="H35" s="94"/>
    </row>
    <row r="36" spans="2:8" x14ac:dyDescent="0.3">
      <c r="B36" s="53" t="s">
        <v>307</v>
      </c>
      <c r="C36" s="38"/>
      <c r="D36" s="53" t="s">
        <v>308</v>
      </c>
      <c r="E36" s="81"/>
      <c r="F36" s="94"/>
      <c r="G36" s="94"/>
      <c r="H36" s="94"/>
    </row>
    <row r="37" spans="2:8" x14ac:dyDescent="0.3">
      <c r="B37" s="53" t="s">
        <v>309</v>
      </c>
      <c r="C37" s="38"/>
      <c r="D37" s="53" t="s">
        <v>310</v>
      </c>
      <c r="E37" s="38"/>
      <c r="F37" s="54" t="s">
        <v>311</v>
      </c>
      <c r="G37" s="94"/>
      <c r="H37" s="94"/>
    </row>
  </sheetData>
  <mergeCells count="26">
    <mergeCell ref="B13:H13"/>
    <mergeCell ref="B3:H4"/>
    <mergeCell ref="C7:H7"/>
    <mergeCell ref="C8:H8"/>
    <mergeCell ref="C9:H9"/>
    <mergeCell ref="C11:H11"/>
    <mergeCell ref="B28:H28"/>
    <mergeCell ref="C15:H15"/>
    <mergeCell ref="C16:D16"/>
    <mergeCell ref="E16:H16"/>
    <mergeCell ref="C17:H17"/>
    <mergeCell ref="B18:H18"/>
    <mergeCell ref="B20:H20"/>
    <mergeCell ref="F21:H21"/>
    <mergeCell ref="F22:H22"/>
    <mergeCell ref="B24:H24"/>
    <mergeCell ref="B25:H25"/>
    <mergeCell ref="B26:H26"/>
    <mergeCell ref="E36:H36"/>
    <mergeCell ref="G37:H37"/>
    <mergeCell ref="B29:H29"/>
    <mergeCell ref="B30:H30"/>
    <mergeCell ref="B31:H31"/>
    <mergeCell ref="B32:H32"/>
    <mergeCell ref="C35:E35"/>
    <mergeCell ref="G35:H35"/>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2325C-D41E-4828-8477-1E389FFACCB5}">
  <sheetPr codeName="Sheet26"/>
  <dimension ref="A1:I29"/>
  <sheetViews>
    <sheetView workbookViewId="0"/>
  </sheetViews>
  <sheetFormatPr defaultRowHeight="16.5" x14ac:dyDescent="0.3"/>
  <cols>
    <col min="1" max="1" width="3.125" customWidth="1"/>
    <col min="2" max="2" width="12.625" customWidth="1"/>
    <col min="3" max="3" width="7.625" customWidth="1"/>
    <col min="4" max="5" width="9.625" customWidth="1"/>
    <col min="6" max="6" width="13.625" customWidth="1"/>
    <col min="7" max="8" width="9.625" customWidth="1"/>
  </cols>
  <sheetData>
    <row r="1" spans="1:9" x14ac:dyDescent="0.3">
      <c r="A1" s="20" t="s">
        <v>736</v>
      </c>
    </row>
    <row r="2" spans="1:9" x14ac:dyDescent="0.3">
      <c r="I2" s="36" t="s">
        <v>726</v>
      </c>
    </row>
    <row r="3" spans="1:9" x14ac:dyDescent="0.3">
      <c r="B3" s="92" t="s">
        <v>737</v>
      </c>
      <c r="C3" s="93"/>
      <c r="D3" s="93"/>
      <c r="E3" s="93"/>
      <c r="F3" s="93"/>
      <c r="G3" s="93"/>
      <c r="H3" s="93"/>
      <c r="I3">
        <v>1</v>
      </c>
    </row>
    <row r="4" spans="1:9" x14ac:dyDescent="0.3">
      <c r="B4" s="93"/>
      <c r="C4" s="93"/>
      <c r="D4" s="93"/>
      <c r="E4" s="93"/>
      <c r="F4" s="93"/>
      <c r="G4" s="93"/>
      <c r="H4" s="93"/>
    </row>
    <row r="5" spans="1:9" x14ac:dyDescent="0.3">
      <c r="B5" s="54" t="s">
        <v>25</v>
      </c>
      <c r="C5" s="37" t="str">
        <f>IF(기초자료입력!C9&lt;&gt;"",기초자료입력!C9,"")</f>
        <v/>
      </c>
      <c r="D5" s="37"/>
      <c r="E5" s="54" t="s">
        <v>289</v>
      </c>
      <c r="F5" s="37" t="str">
        <f>IF(기초자료입력!C8&lt;&gt;"",TEXT(기초자료입력!C8,"yyyy-mm-dd"),"")</f>
        <v/>
      </c>
      <c r="G5" s="37"/>
      <c r="H5" s="37"/>
    </row>
    <row r="6" spans="1:9" x14ac:dyDescent="0.3">
      <c r="B6" s="37"/>
      <c r="C6" s="37"/>
      <c r="D6" s="37"/>
      <c r="E6" s="37"/>
      <c r="F6" s="37"/>
      <c r="G6" s="37"/>
      <c r="H6" s="37"/>
    </row>
    <row r="7" spans="1:9" x14ac:dyDescent="0.3">
      <c r="B7" s="54" t="s">
        <v>290</v>
      </c>
      <c r="C7" s="94">
        <f>IFERROR(INDEX(기초자료입력!$B$44:$B$53,I3),"")</f>
        <v>0</v>
      </c>
      <c r="D7" s="94"/>
      <c r="E7" s="94"/>
      <c r="F7" s="94"/>
      <c r="G7" s="94"/>
      <c r="H7" s="94"/>
    </row>
    <row r="8" spans="1:9" x14ac:dyDescent="0.3">
      <c r="B8" s="54" t="s">
        <v>297</v>
      </c>
      <c r="C8" s="94"/>
      <c r="D8" s="94"/>
      <c r="E8" s="94"/>
      <c r="F8" s="94"/>
      <c r="G8" s="94"/>
      <c r="H8" s="94"/>
    </row>
    <row r="9" spans="1:9" x14ac:dyDescent="0.3">
      <c r="B9" s="54" t="s">
        <v>291</v>
      </c>
      <c r="C9" s="96" t="str">
        <f>IF(기초자료입력!C22&lt;&gt;"",기초자료입력!C22,IF(기초자료입력!C5&lt;&gt;"",기초자료입력!C5,"20○○")&amp;"년도 교복 학교주관 구매 낙찰자 결정 통보")</f>
        <v>20○○년도 교복 학교주관 구매 낙찰자 결정 통보</v>
      </c>
      <c r="D9" s="94"/>
      <c r="E9" s="94"/>
      <c r="F9" s="94"/>
      <c r="G9" s="94"/>
      <c r="H9" s="94"/>
    </row>
    <row r="10" spans="1:9" x14ac:dyDescent="0.3">
      <c r="B10" s="38"/>
      <c r="C10" s="38"/>
      <c r="D10" s="38"/>
      <c r="E10" s="38"/>
      <c r="F10" s="38"/>
      <c r="G10" s="38"/>
      <c r="H10" s="38"/>
    </row>
    <row r="11" spans="1:9" x14ac:dyDescent="0.3">
      <c r="B11" s="86" t="s">
        <v>738</v>
      </c>
      <c r="C11" s="81"/>
      <c r="D11" s="81"/>
      <c r="E11" s="81"/>
      <c r="F11" s="81"/>
      <c r="G11" s="81"/>
      <c r="H11" s="81"/>
    </row>
    <row r="12" spans="1:9" x14ac:dyDescent="0.3">
      <c r="B12" s="38"/>
      <c r="C12" s="38"/>
      <c r="D12" s="38"/>
      <c r="E12" s="38"/>
      <c r="F12" s="38"/>
      <c r="G12" s="38"/>
      <c r="H12" s="38"/>
    </row>
    <row r="13" spans="1:9" ht="39.950000000000003" customHeight="1" x14ac:dyDescent="0.3">
      <c r="B13" s="91"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20○○학년도 교복 학교주관구매 건에 대하여 귀사를 낙찰자로 결정하여 통보하오니 전자계약[나라장터(G2B)] 체결을 위해 아래 서류를 20○○.○○.○○까지 제출하여 주시기 바랍니다.</v>
      </c>
      <c r="C13" s="91"/>
      <c r="D13" s="91"/>
      <c r="E13" s="91"/>
      <c r="F13" s="91"/>
      <c r="G13" s="91"/>
      <c r="H13" s="91"/>
    </row>
    <row r="14" spans="1:9" x14ac:dyDescent="0.3">
      <c r="B14" s="38"/>
      <c r="C14" s="38"/>
      <c r="D14" s="38"/>
      <c r="E14" s="38"/>
      <c r="F14" s="38"/>
      <c r="G14" s="38"/>
      <c r="H14" s="38"/>
    </row>
    <row r="15" spans="1:9" x14ac:dyDescent="0.3">
      <c r="B15" s="86" t="s">
        <v>739</v>
      </c>
      <c r="C15" s="81"/>
      <c r="D15" s="81"/>
      <c r="E15" s="81"/>
      <c r="F15" s="81"/>
      <c r="G15" s="81"/>
      <c r="H15" s="81"/>
    </row>
    <row r="16" spans="1:9" x14ac:dyDescent="0.3">
      <c r="B16" s="32" t="s">
        <v>60</v>
      </c>
      <c r="C16" s="32" t="s">
        <v>382</v>
      </c>
      <c r="D16" s="32" t="s">
        <v>56</v>
      </c>
      <c r="E16" s="32" t="s">
        <v>36</v>
      </c>
      <c r="F16" s="64" t="s">
        <v>740</v>
      </c>
      <c r="G16" s="32" t="s">
        <v>316</v>
      </c>
      <c r="H16" s="38"/>
    </row>
    <row r="17" spans="2:8" x14ac:dyDescent="0.3">
      <c r="B17" s="37">
        <f>IFERROR(INDEX(기초자료입력!$B$44:$B$53,I3),"")</f>
        <v>0</v>
      </c>
      <c r="C17" s="37"/>
      <c r="D17" s="62"/>
      <c r="E17" s="37" t="str">
        <f>IF(기초자료입력!C16&lt;&gt;"",기초자료입력!C16,"")</f>
        <v/>
      </c>
      <c r="F17" s="62"/>
      <c r="G17" s="37"/>
      <c r="H17" s="38"/>
    </row>
    <row r="18" spans="2:8" x14ac:dyDescent="0.3">
      <c r="B18" s="38"/>
      <c r="C18" s="38"/>
      <c r="D18" s="38"/>
      <c r="E18" s="38"/>
      <c r="F18" s="38"/>
      <c r="G18" s="38"/>
      <c r="H18" s="38"/>
    </row>
    <row r="19" spans="2:8" x14ac:dyDescent="0.3">
      <c r="B19" s="86" t="s">
        <v>741</v>
      </c>
      <c r="C19" s="81"/>
      <c r="D19" s="81"/>
      <c r="E19" s="81"/>
      <c r="F19" s="81"/>
      <c r="G19" s="81"/>
      <c r="H19" s="81"/>
    </row>
    <row r="20" spans="2:8" x14ac:dyDescent="0.3">
      <c r="B20" s="81" t="s">
        <v>742</v>
      </c>
      <c r="C20" s="81"/>
      <c r="D20" s="81"/>
      <c r="E20" s="81"/>
      <c r="F20" s="81"/>
      <c r="G20" s="81"/>
      <c r="H20" s="81"/>
    </row>
    <row r="21" spans="2:8" x14ac:dyDescent="0.3">
      <c r="B21" s="81" t="s">
        <v>743</v>
      </c>
      <c r="C21" s="81"/>
      <c r="D21" s="81"/>
      <c r="E21" s="81"/>
      <c r="F21" s="81"/>
      <c r="G21" s="81"/>
      <c r="H21" s="81"/>
    </row>
    <row r="22" spans="2:8" x14ac:dyDescent="0.3">
      <c r="B22" s="81" t="s">
        <v>744</v>
      </c>
      <c r="C22" s="81"/>
      <c r="D22" s="81"/>
      <c r="E22" s="81"/>
      <c r="F22" s="81"/>
      <c r="G22" s="81"/>
      <c r="H22" s="81"/>
    </row>
    <row r="23" spans="2:8" x14ac:dyDescent="0.3">
      <c r="B23" s="81" t="s">
        <v>745</v>
      </c>
      <c r="C23" s="81"/>
      <c r="D23" s="81"/>
      <c r="E23" s="81"/>
      <c r="F23" s="81"/>
      <c r="G23" s="81"/>
      <c r="H23" s="81"/>
    </row>
    <row r="24" spans="2:8" x14ac:dyDescent="0.3">
      <c r="B24" s="38"/>
      <c r="C24" s="38"/>
      <c r="D24" s="38"/>
      <c r="E24" s="38"/>
      <c r="F24" s="38"/>
      <c r="G24" s="38"/>
      <c r="H24" s="38"/>
    </row>
    <row r="25" spans="2:8" x14ac:dyDescent="0.3">
      <c r="B25" s="38"/>
      <c r="C25" s="38"/>
      <c r="D25" s="38"/>
      <c r="E25" s="38"/>
      <c r="F25" s="38"/>
      <c r="G25" s="38"/>
      <c r="H25" s="38"/>
    </row>
    <row r="26" spans="2:8" x14ac:dyDescent="0.3">
      <c r="B26" s="38"/>
      <c r="C26" s="38"/>
      <c r="D26" s="38"/>
      <c r="E26" s="38"/>
      <c r="F26" s="54" t="s">
        <v>293</v>
      </c>
      <c r="G26" s="54" t="s">
        <v>304</v>
      </c>
      <c r="H26" s="54" t="s">
        <v>294</v>
      </c>
    </row>
    <row r="27" spans="2:8" x14ac:dyDescent="0.3">
      <c r="B27" s="53" t="s">
        <v>305</v>
      </c>
      <c r="C27" s="81" t="str">
        <f>IF(기초자료입력!C9&lt;&gt;"",기초자료입력!C9,"")</f>
        <v/>
      </c>
      <c r="D27" s="81"/>
      <c r="E27" s="81"/>
      <c r="F27" s="54" t="s">
        <v>306</v>
      </c>
      <c r="G27" s="94"/>
      <c r="H27" s="94"/>
    </row>
    <row r="28" spans="2:8" x14ac:dyDescent="0.3">
      <c r="B28" s="53" t="s">
        <v>307</v>
      </c>
      <c r="C28" s="38"/>
      <c r="D28" s="53" t="s">
        <v>308</v>
      </c>
      <c r="E28" s="81"/>
      <c r="F28" s="94"/>
      <c r="G28" s="94"/>
      <c r="H28" s="94"/>
    </row>
    <row r="29" spans="2:8" x14ac:dyDescent="0.3">
      <c r="B29" s="53" t="s">
        <v>309</v>
      </c>
      <c r="C29" s="38"/>
      <c r="D29" s="53" t="s">
        <v>310</v>
      </c>
      <c r="E29" s="38"/>
      <c r="F29" s="54" t="s">
        <v>311</v>
      </c>
      <c r="G29" s="94"/>
      <c r="H29" s="94"/>
    </row>
  </sheetData>
  <mergeCells count="16">
    <mergeCell ref="B13:H13"/>
    <mergeCell ref="B3:H4"/>
    <mergeCell ref="C7:H7"/>
    <mergeCell ref="C8:H8"/>
    <mergeCell ref="C9:H9"/>
    <mergeCell ref="B11:H11"/>
    <mergeCell ref="C27:E27"/>
    <mergeCell ref="G27:H27"/>
    <mergeCell ref="E28:H28"/>
    <mergeCell ref="G29:H29"/>
    <mergeCell ref="B15:H15"/>
    <mergeCell ref="B19:H19"/>
    <mergeCell ref="B20:H20"/>
    <mergeCell ref="B21:H21"/>
    <mergeCell ref="B22:H22"/>
    <mergeCell ref="B23:H23"/>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5F180-2E16-4385-9488-41B3854801E5}">
  <sheetPr codeName="Sheet27"/>
  <dimension ref="A1:I29"/>
  <sheetViews>
    <sheetView workbookViewId="0"/>
  </sheetViews>
  <sheetFormatPr defaultRowHeight="16.5" x14ac:dyDescent="0.3"/>
  <cols>
    <col min="1" max="1" width="3.125" customWidth="1"/>
    <col min="2" max="8" width="9.625" customWidth="1"/>
  </cols>
  <sheetData>
    <row r="1" spans="1:9" x14ac:dyDescent="0.3">
      <c r="A1" s="20" t="s">
        <v>725</v>
      </c>
    </row>
    <row r="2" spans="1:9" x14ac:dyDescent="0.3">
      <c r="I2" s="36" t="s">
        <v>726</v>
      </c>
    </row>
    <row r="3" spans="1:9" x14ac:dyDescent="0.3">
      <c r="B3" s="92" t="s">
        <v>727</v>
      </c>
      <c r="C3" s="93"/>
      <c r="D3" s="93"/>
      <c r="E3" s="93"/>
      <c r="F3" s="93"/>
      <c r="G3" s="93"/>
      <c r="H3" s="93"/>
      <c r="I3">
        <v>1</v>
      </c>
    </row>
    <row r="4" spans="1:9" x14ac:dyDescent="0.3">
      <c r="B4" s="93"/>
      <c r="C4" s="93"/>
      <c r="D4" s="93"/>
      <c r="E4" s="93"/>
      <c r="F4" s="93"/>
      <c r="G4" s="93"/>
      <c r="H4" s="93"/>
    </row>
    <row r="5" spans="1:9" x14ac:dyDescent="0.3">
      <c r="B5" s="54" t="s">
        <v>25</v>
      </c>
      <c r="C5" s="37" t="str">
        <f>IF(기초자료입력!C9&lt;&gt;"",기초자료입력!C9,"")</f>
        <v/>
      </c>
      <c r="D5" s="37"/>
      <c r="E5" s="54" t="s">
        <v>289</v>
      </c>
      <c r="F5" s="37" t="str">
        <f>IF(기초자료입력!C8&lt;&gt;"",TEXT(기초자료입력!C8,"yyyy-mm-dd"),"")</f>
        <v/>
      </c>
      <c r="G5" s="37"/>
      <c r="H5" s="37"/>
    </row>
    <row r="6" spans="1:9" x14ac:dyDescent="0.3">
      <c r="B6" s="37"/>
      <c r="C6" s="37"/>
      <c r="D6" s="37"/>
      <c r="E6" s="37"/>
      <c r="F6" s="37"/>
      <c r="G6" s="37"/>
      <c r="H6" s="37"/>
    </row>
    <row r="7" spans="1:9" x14ac:dyDescent="0.3">
      <c r="B7" s="54" t="s">
        <v>290</v>
      </c>
      <c r="C7" s="94" t="s">
        <v>510</v>
      </c>
      <c r="D7" s="94"/>
      <c r="E7" s="94"/>
      <c r="F7" s="94"/>
      <c r="G7" s="94"/>
      <c r="H7" s="94"/>
    </row>
    <row r="8" spans="1:9" x14ac:dyDescent="0.3">
      <c r="B8" s="54" t="s">
        <v>297</v>
      </c>
      <c r="C8" s="94"/>
      <c r="D8" s="94"/>
      <c r="E8" s="94"/>
      <c r="F8" s="94"/>
      <c r="G8" s="94"/>
      <c r="H8" s="94"/>
    </row>
    <row r="9" spans="1:9" x14ac:dyDescent="0.3">
      <c r="B9" s="54" t="s">
        <v>291</v>
      </c>
      <c r="C9" s="96" t="str">
        <f>IF(기초자료입력!C22&lt;&gt;"",기초자료입력!C22,IF(기초자료입력!C5&lt;&gt;"",기초자료입력!C5,"20○○")&amp;"년도 교복 학교주관구매 낙찰자 결정")</f>
        <v>20○○년도 교복 학교주관구매 낙찰자 결정</v>
      </c>
      <c r="D9" s="94"/>
      <c r="E9" s="94"/>
      <c r="F9" s="94"/>
      <c r="G9" s="94"/>
      <c r="H9" s="94"/>
    </row>
    <row r="10" spans="1:9" x14ac:dyDescent="0.3">
      <c r="B10" s="38"/>
      <c r="C10" s="38"/>
      <c r="D10" s="38"/>
      <c r="E10" s="38"/>
      <c r="F10" s="38"/>
      <c r="G10" s="38"/>
      <c r="H10" s="38"/>
    </row>
    <row r="11" spans="1:9" x14ac:dyDescent="0.3">
      <c r="B11" s="53" t="s">
        <v>298</v>
      </c>
      <c r="C11" s="81" t="str">
        <f>IF(기초자료입력!C23&lt;&gt;"",기초자료입력!C23,"")</f>
        <v/>
      </c>
      <c r="D11" s="81"/>
      <c r="E11" s="81"/>
      <c r="F11" s="81"/>
      <c r="G11" s="81"/>
      <c r="H11" s="81"/>
    </row>
    <row r="12" spans="1:9" x14ac:dyDescent="0.3">
      <c r="B12" s="38"/>
      <c r="C12" s="38"/>
      <c r="D12" s="38"/>
      <c r="E12" s="38"/>
      <c r="F12" s="38"/>
      <c r="G12" s="38"/>
      <c r="H12" s="38"/>
    </row>
    <row r="13" spans="1:9" ht="27.95" customHeight="1" x14ac:dyDescent="0.3">
      <c r="B13" s="91" t="str">
        <f>"2. "&amp;IF(기초자료입력!C5&lt;&gt;"",기초자료입력!C5,"20○○")&amp;"년도 교복 학교주관구매 건에 대해 개찰 결과 예정가격 대비 최저가격으로 투찰하여 1순위가 된 아래 업체를 낙찰자로 결정하고자 합니다."</f>
        <v>2. 20○○년도 교복 학교주관구매 건에 대해 개찰 결과 예정가격 대비 최저가격으로 투찰하여 1순위가 된 아래 업체를 낙찰자로 결정하고자 합니다.</v>
      </c>
      <c r="C13" s="91"/>
      <c r="D13" s="91"/>
      <c r="E13" s="91"/>
      <c r="F13" s="91"/>
      <c r="G13" s="91"/>
      <c r="H13" s="91"/>
    </row>
    <row r="14" spans="1:9" x14ac:dyDescent="0.3">
      <c r="B14" s="38"/>
      <c r="C14" s="38"/>
      <c r="D14" s="38"/>
      <c r="E14" s="38"/>
      <c r="F14" s="38"/>
      <c r="G14" s="38"/>
      <c r="H14" s="38"/>
    </row>
    <row r="15" spans="1:9" x14ac:dyDescent="0.3">
      <c r="B15" s="53" t="s">
        <v>728</v>
      </c>
      <c r="C15" s="81" t="str">
        <f>IF(기초자료입력!C12&lt;&gt;"",IF(기초자료입력!C5&lt;&gt;"",기초자료입력!C5&amp;"학년도 ","")&amp;기초자료입력!C12,"")</f>
        <v/>
      </c>
      <c r="D15" s="81"/>
      <c r="E15" s="81"/>
      <c r="F15" s="81"/>
      <c r="G15" s="81"/>
      <c r="H15" s="81"/>
    </row>
    <row r="16" spans="1:9" x14ac:dyDescent="0.3">
      <c r="B16" s="53" t="s">
        <v>636</v>
      </c>
      <c r="C16" s="81" t="str">
        <f>IF(기초자료입력!C15&lt;&gt;"","금"&amp;TEXT(기초자료입력!C15,"#,##0")&amp;"원","")</f>
        <v/>
      </c>
      <c r="D16" s="81"/>
      <c r="E16" s="81"/>
      <c r="F16" s="81"/>
      <c r="G16" s="81"/>
      <c r="H16" s="81"/>
    </row>
    <row r="17" spans="2:8" x14ac:dyDescent="0.3">
      <c r="B17" s="53" t="s">
        <v>729</v>
      </c>
      <c r="C17" s="97"/>
      <c r="D17" s="81"/>
      <c r="E17" s="81"/>
      <c r="F17" s="81"/>
      <c r="G17" s="81"/>
      <c r="H17" s="81"/>
    </row>
    <row r="18" spans="2:8" x14ac:dyDescent="0.3">
      <c r="B18" s="38"/>
      <c r="C18" s="38"/>
      <c r="D18" s="38"/>
      <c r="E18" s="38"/>
      <c r="F18" s="38"/>
      <c r="G18" s="38"/>
      <c r="H18" s="38"/>
    </row>
    <row r="19" spans="2:8" x14ac:dyDescent="0.3">
      <c r="B19" s="86" t="s">
        <v>730</v>
      </c>
      <c r="C19" s="81"/>
      <c r="D19" s="81"/>
      <c r="E19" s="81"/>
      <c r="F19" s="81"/>
      <c r="G19" s="81"/>
      <c r="H19" s="81"/>
    </row>
    <row r="20" spans="2:8" x14ac:dyDescent="0.3">
      <c r="B20" s="32" t="s">
        <v>731</v>
      </c>
      <c r="C20" s="32" t="s">
        <v>60</v>
      </c>
      <c r="D20" s="32" t="s">
        <v>382</v>
      </c>
      <c r="E20" s="32" t="s">
        <v>732</v>
      </c>
      <c r="F20" s="32" t="s">
        <v>733</v>
      </c>
      <c r="G20" s="32" t="s">
        <v>734</v>
      </c>
      <c r="H20" s="38"/>
    </row>
    <row r="21" spans="2:8" x14ac:dyDescent="0.3">
      <c r="B21" s="37">
        <v>1</v>
      </c>
      <c r="C21" s="37">
        <f>IFERROR(INDEX(기초자료입력!$B$44:$B$53,I3),"")</f>
        <v>0</v>
      </c>
      <c r="D21" s="37"/>
      <c r="E21" s="62"/>
      <c r="F21" s="63"/>
      <c r="G21" s="37"/>
      <c r="H21" s="38"/>
    </row>
    <row r="22" spans="2:8" x14ac:dyDescent="0.3">
      <c r="B22" s="38"/>
      <c r="C22" s="38"/>
      <c r="D22" s="38"/>
      <c r="E22" s="38"/>
      <c r="F22" s="38"/>
      <c r="G22" s="38"/>
      <c r="H22" s="38"/>
    </row>
    <row r="23" spans="2:8" x14ac:dyDescent="0.3">
      <c r="B23" s="114" t="s">
        <v>735</v>
      </c>
      <c r="C23" s="91"/>
      <c r="D23" s="91"/>
      <c r="E23" s="91"/>
      <c r="F23" s="91"/>
      <c r="G23" s="91"/>
      <c r="H23" s="91"/>
    </row>
    <row r="24" spans="2:8" x14ac:dyDescent="0.3">
      <c r="B24" s="38"/>
      <c r="C24" s="38"/>
      <c r="D24" s="38"/>
      <c r="E24" s="38"/>
      <c r="F24" s="38"/>
      <c r="G24" s="38"/>
      <c r="H24" s="38"/>
    </row>
    <row r="25" spans="2:8" x14ac:dyDescent="0.3">
      <c r="B25" s="38"/>
      <c r="C25" s="38"/>
      <c r="D25" s="38"/>
      <c r="E25" s="38"/>
      <c r="F25" s="38"/>
      <c r="G25" s="38"/>
      <c r="H25" s="38"/>
    </row>
    <row r="26" spans="2:8" x14ac:dyDescent="0.3">
      <c r="B26" s="38"/>
      <c r="C26" s="38"/>
      <c r="D26" s="38"/>
      <c r="E26" s="38"/>
      <c r="F26" s="54" t="s">
        <v>293</v>
      </c>
      <c r="G26" s="54" t="s">
        <v>304</v>
      </c>
      <c r="H26" s="54" t="s">
        <v>294</v>
      </c>
    </row>
    <row r="27" spans="2:8" x14ac:dyDescent="0.3">
      <c r="B27" s="53" t="s">
        <v>305</v>
      </c>
      <c r="C27" s="81" t="str">
        <f>IF(기초자료입력!C9&lt;&gt;"",기초자료입력!C9,"")</f>
        <v/>
      </c>
      <c r="D27" s="81"/>
      <c r="E27" s="81"/>
      <c r="F27" s="54" t="s">
        <v>306</v>
      </c>
      <c r="G27" s="94"/>
      <c r="H27" s="94"/>
    </row>
    <row r="28" spans="2:8" x14ac:dyDescent="0.3">
      <c r="B28" s="53" t="s">
        <v>307</v>
      </c>
      <c r="C28" s="38"/>
      <c r="D28" s="53" t="s">
        <v>308</v>
      </c>
      <c r="E28" s="81"/>
      <c r="F28" s="94"/>
      <c r="G28" s="94"/>
      <c r="H28" s="94"/>
    </row>
    <row r="29" spans="2:8" x14ac:dyDescent="0.3">
      <c r="B29" s="53" t="s">
        <v>309</v>
      </c>
      <c r="C29" s="38"/>
      <c r="D29" s="53" t="s">
        <v>310</v>
      </c>
      <c r="E29" s="38"/>
      <c r="F29" s="54" t="s">
        <v>311</v>
      </c>
      <c r="G29" s="94"/>
      <c r="H29" s="94"/>
    </row>
  </sheetData>
  <mergeCells count="15">
    <mergeCell ref="B13:H13"/>
    <mergeCell ref="B3:H4"/>
    <mergeCell ref="C7:H7"/>
    <mergeCell ref="C8:H8"/>
    <mergeCell ref="C9:H9"/>
    <mergeCell ref="C11:H11"/>
    <mergeCell ref="E28:H28"/>
    <mergeCell ref="G29:H29"/>
    <mergeCell ref="C15:H15"/>
    <mergeCell ref="C16:H16"/>
    <mergeCell ref="C17:H17"/>
    <mergeCell ref="B19:H19"/>
    <mergeCell ref="B23:H23"/>
    <mergeCell ref="C27:E27"/>
    <mergeCell ref="G27:H27"/>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5B0CE-D3E8-4488-B31C-0E2C11B30598}">
  <sheetPr codeName="Sheet28"/>
  <dimension ref="A1:H29"/>
  <sheetViews>
    <sheetView workbookViewId="0"/>
  </sheetViews>
  <sheetFormatPr defaultRowHeight="16.5" x14ac:dyDescent="0.3"/>
  <cols>
    <col min="1" max="1" width="3.125" customWidth="1"/>
    <col min="2" max="2" width="12.625" customWidth="1"/>
    <col min="3" max="8" width="9.625" customWidth="1"/>
  </cols>
  <sheetData>
    <row r="1" spans="1:8" x14ac:dyDescent="0.3">
      <c r="A1" s="20" t="s">
        <v>714</v>
      </c>
    </row>
    <row r="3" spans="1:8" x14ac:dyDescent="0.3">
      <c r="B3" s="92" t="str">
        <f>IF(기초자료입력!C4&lt;&gt;"",기초자료입력!C4,"○○○○학교")&amp;" 교복 사양서(규격서)"</f>
        <v>○○○○학교 교복 사양서(규격서)</v>
      </c>
      <c r="C3" s="83"/>
      <c r="D3" s="83"/>
      <c r="E3" s="83"/>
      <c r="F3" s="83"/>
      <c r="G3" s="83"/>
      <c r="H3" s="83"/>
    </row>
    <row r="4" spans="1:8" x14ac:dyDescent="0.3">
      <c r="B4" s="83"/>
      <c r="C4" s="83"/>
      <c r="D4" s="83"/>
      <c r="E4" s="83"/>
      <c r="F4" s="83"/>
      <c r="G4" s="83"/>
      <c r="H4" s="83"/>
    </row>
    <row r="5" spans="1:8" x14ac:dyDescent="0.3">
      <c r="B5" s="38"/>
      <c r="C5" s="38"/>
      <c r="D5" s="38"/>
      <c r="E5" s="38"/>
      <c r="F5" s="38"/>
      <c r="G5" s="38"/>
      <c r="H5" s="38"/>
    </row>
    <row r="6" spans="1:8" x14ac:dyDescent="0.3">
      <c r="B6" s="86" t="s">
        <v>715</v>
      </c>
      <c r="C6" s="81"/>
      <c r="D6" s="81"/>
      <c r="E6" s="81"/>
      <c r="F6" s="81"/>
      <c r="G6" s="81"/>
      <c r="H6" s="81"/>
    </row>
    <row r="7" spans="1:8" x14ac:dyDescent="0.3">
      <c r="B7" s="61" t="s">
        <v>327</v>
      </c>
      <c r="C7" s="90" t="s">
        <v>716</v>
      </c>
      <c r="D7" s="116"/>
      <c r="E7" s="116"/>
      <c r="F7" s="90" t="s">
        <v>316</v>
      </c>
      <c r="G7" s="116"/>
      <c r="H7" s="116"/>
    </row>
    <row r="8" spans="1:8" ht="20.100000000000001" customHeight="1" x14ac:dyDescent="0.3">
      <c r="B8" s="37" t="str">
        <f>IF(기초자료입력!B29&lt;&gt;"",기초자료입력!B29,"")</f>
        <v/>
      </c>
      <c r="C8" s="94"/>
      <c r="D8" s="94"/>
      <c r="E8" s="94"/>
      <c r="F8" s="94"/>
      <c r="G8" s="94"/>
      <c r="H8" s="94"/>
    </row>
    <row r="9" spans="1:8" ht="20.100000000000001" customHeight="1" x14ac:dyDescent="0.3">
      <c r="B9" s="37" t="str">
        <f>IF(기초자료입력!B30&lt;&gt;"",기초자료입력!B30,"")</f>
        <v/>
      </c>
      <c r="C9" s="94"/>
      <c r="D9" s="94"/>
      <c r="E9" s="94"/>
      <c r="F9" s="94"/>
      <c r="G9" s="94"/>
      <c r="H9" s="94"/>
    </row>
    <row r="10" spans="1:8" ht="20.100000000000001" customHeight="1" x14ac:dyDescent="0.3">
      <c r="B10" s="37" t="str">
        <f>IF(기초자료입력!B31&lt;&gt;"",기초자료입력!B31,"")</f>
        <v/>
      </c>
      <c r="C10" s="94"/>
      <c r="D10" s="94"/>
      <c r="E10" s="94"/>
      <c r="F10" s="94"/>
      <c r="G10" s="94"/>
      <c r="H10" s="94"/>
    </row>
    <row r="11" spans="1:8" ht="20.100000000000001" customHeight="1" x14ac:dyDescent="0.3">
      <c r="B11" s="37" t="str">
        <f>IF(기초자료입력!B32&lt;&gt;"",기초자료입력!B32,"")</f>
        <v/>
      </c>
      <c r="C11" s="94"/>
      <c r="D11" s="94"/>
      <c r="E11" s="94"/>
      <c r="F11" s="94"/>
      <c r="G11" s="94"/>
      <c r="H11" s="94"/>
    </row>
    <row r="12" spans="1:8" ht="20.100000000000001" customHeight="1" x14ac:dyDescent="0.3">
      <c r="B12" s="37" t="str">
        <f>IF(기초자료입력!B33&lt;&gt;"",기초자료입력!B33,"")</f>
        <v/>
      </c>
      <c r="C12" s="94"/>
      <c r="D12" s="94"/>
      <c r="E12" s="94"/>
      <c r="F12" s="94"/>
      <c r="G12" s="94"/>
      <c r="H12" s="94"/>
    </row>
    <row r="13" spans="1:8" ht="20.100000000000001" customHeight="1" x14ac:dyDescent="0.3">
      <c r="B13" s="37" t="str">
        <f>IF(기초자료입력!B34&lt;&gt;"",기초자료입력!B34,"")</f>
        <v/>
      </c>
      <c r="C13" s="94"/>
      <c r="D13" s="94"/>
      <c r="E13" s="94"/>
      <c r="F13" s="94"/>
      <c r="G13" s="94"/>
      <c r="H13" s="94"/>
    </row>
    <row r="14" spans="1:8" x14ac:dyDescent="0.3">
      <c r="B14" s="38"/>
      <c r="C14" s="38"/>
      <c r="D14" s="38"/>
      <c r="E14" s="38"/>
      <c r="F14" s="38"/>
      <c r="G14" s="38"/>
      <c r="H14" s="38"/>
    </row>
    <row r="15" spans="1:8" x14ac:dyDescent="0.3">
      <c r="B15" s="38"/>
      <c r="C15" s="38"/>
      <c r="D15" s="38"/>
      <c r="E15" s="38"/>
      <c r="F15" s="38"/>
      <c r="G15" s="38"/>
      <c r="H15" s="38"/>
    </row>
    <row r="16" spans="1:8" x14ac:dyDescent="0.3">
      <c r="B16" s="96" t="s">
        <v>717</v>
      </c>
      <c r="C16" s="94"/>
      <c r="D16" s="94"/>
      <c r="E16" s="94"/>
      <c r="F16" s="94"/>
      <c r="G16" s="94"/>
      <c r="H16" s="94"/>
    </row>
    <row r="17" spans="2:8" x14ac:dyDescent="0.3">
      <c r="B17" s="94" t="s">
        <v>718</v>
      </c>
      <c r="C17" s="94"/>
      <c r="D17" s="94"/>
      <c r="E17" s="94"/>
      <c r="F17" s="94"/>
      <c r="G17" s="94"/>
      <c r="H17" s="94"/>
    </row>
    <row r="18" spans="2:8" ht="39.950000000000003" customHeight="1" x14ac:dyDescent="0.3">
      <c r="B18" s="94"/>
      <c r="C18" s="94"/>
      <c r="D18" s="94"/>
      <c r="E18" s="94"/>
      <c r="F18" s="94"/>
      <c r="G18" s="94"/>
      <c r="H18" s="94"/>
    </row>
    <row r="19" spans="2:8" x14ac:dyDescent="0.3">
      <c r="B19" s="94" t="s">
        <v>719</v>
      </c>
      <c r="C19" s="94"/>
      <c r="D19" s="94"/>
      <c r="E19" s="94"/>
      <c r="F19" s="94"/>
      <c r="G19" s="94"/>
      <c r="H19" s="94"/>
    </row>
    <row r="20" spans="2:8" ht="69.95" customHeight="1" x14ac:dyDescent="0.3">
      <c r="B20" s="94"/>
      <c r="C20" s="94"/>
      <c r="D20" s="94"/>
      <c r="E20" s="94"/>
      <c r="F20" s="94"/>
      <c r="G20" s="94"/>
      <c r="H20" s="94"/>
    </row>
    <row r="21" spans="2:8" x14ac:dyDescent="0.3">
      <c r="B21" s="38"/>
      <c r="C21" s="38"/>
      <c r="D21" s="38"/>
      <c r="E21" s="38"/>
      <c r="F21" s="38"/>
      <c r="G21" s="38"/>
      <c r="H21" s="38"/>
    </row>
    <row r="22" spans="2:8" x14ac:dyDescent="0.3">
      <c r="B22" s="86" t="s">
        <v>720</v>
      </c>
      <c r="C22" s="81"/>
      <c r="D22" s="81"/>
      <c r="E22" s="81"/>
      <c r="F22" s="81"/>
      <c r="G22" s="81"/>
      <c r="H22" s="81"/>
    </row>
    <row r="23" spans="2:8" x14ac:dyDescent="0.3">
      <c r="B23" s="61" t="s">
        <v>314</v>
      </c>
      <c r="C23" s="90" t="s">
        <v>721</v>
      </c>
      <c r="D23" s="116"/>
      <c r="E23" s="90" t="s">
        <v>722</v>
      </c>
      <c r="F23" s="116"/>
      <c r="G23" s="90" t="s">
        <v>723</v>
      </c>
      <c r="H23" s="116"/>
    </row>
    <row r="24" spans="2:8" ht="110.1" customHeight="1" x14ac:dyDescent="0.3">
      <c r="B24" s="37" t="str">
        <f>IF(기초자료입력!B29&lt;&gt;"",기초자료입력!B29,"")</f>
        <v/>
      </c>
      <c r="C24" s="84" t="s">
        <v>724</v>
      </c>
      <c r="D24" s="84"/>
      <c r="E24" s="94"/>
      <c r="F24" s="94"/>
      <c r="G24" s="94"/>
      <c r="H24" s="94"/>
    </row>
    <row r="25" spans="2:8" ht="110.1" customHeight="1" x14ac:dyDescent="0.3">
      <c r="B25" s="37" t="str">
        <f>IF(기초자료입력!B30&lt;&gt;"",기초자료입력!B30,"")</f>
        <v/>
      </c>
      <c r="C25" s="84" t="s">
        <v>724</v>
      </c>
      <c r="D25" s="84"/>
      <c r="E25" s="94"/>
      <c r="F25" s="94"/>
      <c r="G25" s="94"/>
      <c r="H25" s="94"/>
    </row>
    <row r="26" spans="2:8" ht="110.1" customHeight="1" x14ac:dyDescent="0.3">
      <c r="B26" s="37" t="str">
        <f>IF(기초자료입력!B31&lt;&gt;"",기초자료입력!B31,"")</f>
        <v/>
      </c>
      <c r="C26" s="84" t="s">
        <v>724</v>
      </c>
      <c r="D26" s="84"/>
      <c r="E26" s="94"/>
      <c r="F26" s="94"/>
      <c r="G26" s="94"/>
      <c r="H26" s="94"/>
    </row>
    <row r="27" spans="2:8" ht="110.1" customHeight="1" x14ac:dyDescent="0.3">
      <c r="B27" s="37" t="str">
        <f>IF(기초자료입력!B32&lt;&gt;"",기초자료입력!B32,"")</f>
        <v/>
      </c>
      <c r="C27" s="84" t="s">
        <v>724</v>
      </c>
      <c r="D27" s="84"/>
      <c r="E27" s="94"/>
      <c r="F27" s="94"/>
      <c r="G27" s="94"/>
      <c r="H27" s="94"/>
    </row>
    <row r="28" spans="2:8" ht="110.1" customHeight="1" x14ac:dyDescent="0.3">
      <c r="B28" s="37" t="str">
        <f>IF(기초자료입력!B33&lt;&gt;"",기초자료입력!B33,"")</f>
        <v/>
      </c>
      <c r="C28" s="84" t="s">
        <v>724</v>
      </c>
      <c r="D28" s="84"/>
      <c r="E28" s="94"/>
      <c r="F28" s="94"/>
      <c r="G28" s="94"/>
      <c r="H28" s="94"/>
    </row>
    <row r="29" spans="2:8" ht="110.1" customHeight="1" x14ac:dyDescent="0.3">
      <c r="B29" s="37" t="str">
        <f>IF(기초자료입력!B34&lt;&gt;"",기초자료입력!B34,"")</f>
        <v/>
      </c>
      <c r="C29" s="84" t="s">
        <v>724</v>
      </c>
      <c r="D29" s="84"/>
      <c r="E29" s="94"/>
      <c r="F29" s="94"/>
      <c r="G29" s="94"/>
      <c r="H29" s="94"/>
    </row>
  </sheetData>
  <mergeCells count="43">
    <mergeCell ref="B3:H4"/>
    <mergeCell ref="B6:H6"/>
    <mergeCell ref="C7:E7"/>
    <mergeCell ref="F7:H7"/>
    <mergeCell ref="C8:E8"/>
    <mergeCell ref="F8:H8"/>
    <mergeCell ref="B17:H17"/>
    <mergeCell ref="C9:E9"/>
    <mergeCell ref="F9:H9"/>
    <mergeCell ref="C10:E10"/>
    <mergeCell ref="F10:H10"/>
    <mergeCell ref="C11:E11"/>
    <mergeCell ref="F11:H11"/>
    <mergeCell ref="C12:E12"/>
    <mergeCell ref="F12:H12"/>
    <mergeCell ref="C13:E13"/>
    <mergeCell ref="F13:H13"/>
    <mergeCell ref="B16:H16"/>
    <mergeCell ref="B18:H18"/>
    <mergeCell ref="B19:H19"/>
    <mergeCell ref="B20:H20"/>
    <mergeCell ref="B22:H22"/>
    <mergeCell ref="C23:D23"/>
    <mergeCell ref="E23:F23"/>
    <mergeCell ref="G23:H23"/>
    <mergeCell ref="C24:D24"/>
    <mergeCell ref="E24:F24"/>
    <mergeCell ref="G24:H24"/>
    <mergeCell ref="C25:D25"/>
    <mergeCell ref="E25:F25"/>
    <mergeCell ref="G25:H25"/>
    <mergeCell ref="C26:D26"/>
    <mergeCell ref="E26:F26"/>
    <mergeCell ref="G26:H26"/>
    <mergeCell ref="C27:D27"/>
    <mergeCell ref="E27:F27"/>
    <mergeCell ref="G27:H27"/>
    <mergeCell ref="C28:D28"/>
    <mergeCell ref="E28:F28"/>
    <mergeCell ref="G28:H28"/>
    <mergeCell ref="C29:D29"/>
    <mergeCell ref="E29:F29"/>
    <mergeCell ref="G29:H29"/>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F23BE-E02C-4B2C-8452-48DB2861C10B}">
  <sheetPr codeName="Sheet29"/>
  <dimension ref="A1:H86"/>
  <sheetViews>
    <sheetView workbookViewId="0"/>
  </sheetViews>
  <sheetFormatPr defaultRowHeight="16.5" x14ac:dyDescent="0.3"/>
  <cols>
    <col min="1" max="1" width="3.125" customWidth="1"/>
    <col min="2" max="2" width="14.625" customWidth="1"/>
    <col min="3" max="8" width="8.125" customWidth="1"/>
  </cols>
  <sheetData>
    <row r="1" spans="1:8" x14ac:dyDescent="0.3">
      <c r="A1" s="20" t="s">
        <v>675</v>
      </c>
    </row>
    <row r="3" spans="1:8" x14ac:dyDescent="0.3">
      <c r="B3" s="92" t="str">
        <f>IF(기초자료입력!C5&lt;&gt;"",기초자료입력!C5,"20○○")&amp;"학년도 "&amp;IF(기초자료입력!C4&lt;&gt;"",기초자료입력!C4,"○○○○학교")&amp;" 교복 학교주관구매 계약 특수조건(예시)"</f>
        <v>20○○학년도 ○○○○학교 교복 학교주관구매 계약 특수조건(예시)</v>
      </c>
      <c r="C3" s="83"/>
      <c r="D3" s="83"/>
      <c r="E3" s="83"/>
      <c r="F3" s="83"/>
      <c r="G3" s="83"/>
      <c r="H3" s="83"/>
    </row>
    <row r="4" spans="1:8" x14ac:dyDescent="0.3">
      <c r="B4" s="83"/>
      <c r="C4" s="83"/>
      <c r="D4" s="83"/>
      <c r="E4" s="83"/>
      <c r="F4" s="83"/>
      <c r="G4" s="83"/>
      <c r="H4" s="83"/>
    </row>
    <row r="5" spans="1:8" x14ac:dyDescent="0.3">
      <c r="B5" s="38"/>
      <c r="C5" s="38"/>
      <c r="D5" s="38"/>
      <c r="E5" s="38"/>
      <c r="F5" s="38"/>
      <c r="G5" s="38"/>
      <c r="H5" s="38"/>
    </row>
    <row r="6" spans="1:8" ht="60" customHeight="1" x14ac:dyDescent="0.3">
      <c r="B6" s="91"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20○○학년도 ○○○○학교 교복 학교주관구매 계약을 체결함에 있어 ○○○○학교장(이하 「학교」라 한다)과 계약상대자 ○○교복사 대표 ○○○(이하 「공급자」라 한다)간에 본 계약의 성실한 이행을 위하여 다음과 같이 계약특수조건을 정한다.</v>
      </c>
      <c r="C6" s="91"/>
      <c r="D6" s="91"/>
      <c r="E6" s="91"/>
      <c r="F6" s="91"/>
      <c r="G6" s="91"/>
      <c r="H6" s="91"/>
    </row>
    <row r="7" spans="1:8" x14ac:dyDescent="0.3">
      <c r="B7" s="91"/>
      <c r="C7" s="91"/>
      <c r="D7" s="91"/>
      <c r="E7" s="91"/>
      <c r="F7" s="91"/>
      <c r="G7" s="91"/>
      <c r="H7" s="91"/>
    </row>
    <row r="8" spans="1:8" x14ac:dyDescent="0.3">
      <c r="B8" s="91"/>
      <c r="C8" s="91"/>
      <c r="D8" s="91"/>
      <c r="E8" s="91"/>
      <c r="F8" s="91"/>
      <c r="G8" s="91"/>
      <c r="H8" s="91"/>
    </row>
    <row r="9" spans="1:8" x14ac:dyDescent="0.3">
      <c r="B9" s="38"/>
      <c r="C9" s="38"/>
      <c r="D9" s="38"/>
      <c r="E9" s="38"/>
      <c r="F9" s="38"/>
      <c r="G9" s="38"/>
      <c r="H9" s="38"/>
    </row>
    <row r="10" spans="1:8" x14ac:dyDescent="0.3">
      <c r="B10" s="86" t="s">
        <v>676</v>
      </c>
      <c r="C10" s="81"/>
      <c r="D10" s="81"/>
      <c r="E10" s="81"/>
      <c r="F10" s="81"/>
      <c r="G10" s="81"/>
      <c r="H10" s="81"/>
    </row>
    <row r="11" spans="1:8" ht="206.1" customHeight="1" x14ac:dyDescent="0.3">
      <c r="B11" s="117" t="s">
        <v>677</v>
      </c>
      <c r="C11" s="117"/>
      <c r="D11" s="117"/>
      <c r="E11" s="117"/>
      <c r="F11" s="117"/>
      <c r="G11" s="117"/>
      <c r="H11" s="117"/>
    </row>
    <row r="12" spans="1:8" hidden="1" x14ac:dyDescent="0.3">
      <c r="B12" s="117"/>
      <c r="C12" s="117"/>
      <c r="D12" s="117"/>
      <c r="E12" s="117"/>
      <c r="F12" s="117"/>
      <c r="G12" s="117"/>
      <c r="H12" s="117"/>
    </row>
    <row r="13" spans="1:8" x14ac:dyDescent="0.3">
      <c r="B13" s="38"/>
      <c r="C13" s="38"/>
      <c r="D13" s="38"/>
      <c r="E13" s="38"/>
      <c r="F13" s="38"/>
      <c r="G13" s="38"/>
      <c r="H13" s="38"/>
    </row>
    <row r="14" spans="1:8" x14ac:dyDescent="0.3">
      <c r="B14" s="86" t="s">
        <v>678</v>
      </c>
      <c r="C14" s="81"/>
      <c r="D14" s="81"/>
      <c r="E14" s="81"/>
      <c r="F14" s="81"/>
      <c r="G14" s="81"/>
      <c r="H14" s="81"/>
    </row>
    <row r="15" spans="1:8" ht="254.1" customHeight="1" x14ac:dyDescent="0.3">
      <c r="B15" s="117" t="s">
        <v>679</v>
      </c>
      <c r="C15" s="117"/>
      <c r="D15" s="117"/>
      <c r="E15" s="117"/>
      <c r="F15" s="117"/>
      <c r="G15" s="117"/>
      <c r="H15" s="117"/>
    </row>
    <row r="16" spans="1:8" hidden="1" x14ac:dyDescent="0.3">
      <c r="B16" s="117"/>
      <c r="C16" s="117"/>
      <c r="D16" s="117"/>
      <c r="E16" s="117"/>
      <c r="F16" s="117"/>
      <c r="G16" s="117"/>
      <c r="H16" s="117"/>
    </row>
    <row r="17" spans="2:8" x14ac:dyDescent="0.3">
      <c r="B17" s="38"/>
      <c r="C17" s="38"/>
      <c r="D17" s="38"/>
      <c r="E17" s="38"/>
      <c r="F17" s="38"/>
      <c r="G17" s="38"/>
      <c r="H17" s="38"/>
    </row>
    <row r="18" spans="2:8" x14ac:dyDescent="0.3">
      <c r="B18" s="86" t="s">
        <v>680</v>
      </c>
      <c r="C18" s="81"/>
      <c r="D18" s="81"/>
      <c r="E18" s="81"/>
      <c r="F18" s="81"/>
      <c r="G18" s="81"/>
      <c r="H18" s="81"/>
    </row>
    <row r="19" spans="2:8" ht="86.1" customHeight="1" x14ac:dyDescent="0.3">
      <c r="B19" s="117" t="s">
        <v>681</v>
      </c>
      <c r="C19" s="117"/>
      <c r="D19" s="117"/>
      <c r="E19" s="117"/>
      <c r="F19" s="117"/>
      <c r="G19" s="117"/>
      <c r="H19" s="117"/>
    </row>
    <row r="20" spans="2:8" hidden="1" x14ac:dyDescent="0.3">
      <c r="B20" s="117"/>
      <c r="C20" s="117"/>
      <c r="D20" s="117"/>
      <c r="E20" s="117"/>
      <c r="F20" s="117"/>
      <c r="G20" s="117"/>
      <c r="H20" s="117"/>
    </row>
    <row r="21" spans="2:8" x14ac:dyDescent="0.3">
      <c r="B21" s="38"/>
      <c r="C21" s="38"/>
      <c r="D21" s="38"/>
      <c r="E21" s="38"/>
      <c r="F21" s="38"/>
      <c r="G21" s="38"/>
      <c r="H21" s="38"/>
    </row>
    <row r="22" spans="2:8" x14ac:dyDescent="0.3">
      <c r="B22" s="86" t="s">
        <v>682</v>
      </c>
      <c r="C22" s="81"/>
      <c r="D22" s="81"/>
      <c r="E22" s="81"/>
      <c r="F22" s="81"/>
      <c r="G22" s="81"/>
      <c r="H22" s="81"/>
    </row>
    <row r="23" spans="2:8" ht="110.1" customHeight="1" x14ac:dyDescent="0.3">
      <c r="B23" s="117" t="s">
        <v>683</v>
      </c>
      <c r="C23" s="117"/>
      <c r="D23" s="117"/>
      <c r="E23" s="117"/>
      <c r="F23" s="117"/>
      <c r="G23" s="117"/>
      <c r="H23" s="117"/>
    </row>
    <row r="24" spans="2:8" hidden="1" x14ac:dyDescent="0.3">
      <c r="B24" s="117"/>
      <c r="C24" s="117"/>
      <c r="D24" s="117"/>
      <c r="E24" s="117"/>
      <c r="F24" s="117"/>
      <c r="G24" s="117"/>
      <c r="H24" s="117"/>
    </row>
    <row r="25" spans="2:8" x14ac:dyDescent="0.3">
      <c r="B25" s="38"/>
      <c r="C25" s="38"/>
      <c r="D25" s="38"/>
      <c r="E25" s="38"/>
      <c r="F25" s="38"/>
      <c r="G25" s="38"/>
      <c r="H25" s="38"/>
    </row>
    <row r="26" spans="2:8" x14ac:dyDescent="0.3">
      <c r="B26" s="86" t="s">
        <v>684</v>
      </c>
      <c r="C26" s="81"/>
      <c r="D26" s="81"/>
      <c r="E26" s="81"/>
      <c r="F26" s="81"/>
      <c r="G26" s="81"/>
      <c r="H26" s="81"/>
    </row>
    <row r="27" spans="2:8" ht="206.1" customHeight="1" x14ac:dyDescent="0.3">
      <c r="B27" s="117" t="s">
        <v>685</v>
      </c>
      <c r="C27" s="117"/>
      <c r="D27" s="117"/>
      <c r="E27" s="117"/>
      <c r="F27" s="117"/>
      <c r="G27" s="117"/>
      <c r="H27" s="117"/>
    </row>
    <row r="28" spans="2:8" hidden="1" x14ac:dyDescent="0.3">
      <c r="B28" s="117"/>
      <c r="C28" s="117"/>
      <c r="D28" s="117"/>
      <c r="E28" s="117"/>
      <c r="F28" s="117"/>
      <c r="G28" s="117"/>
      <c r="H28" s="117"/>
    </row>
    <row r="29" spans="2:8" x14ac:dyDescent="0.3">
      <c r="B29" s="38"/>
      <c r="C29" s="38"/>
      <c r="D29" s="38"/>
      <c r="E29" s="38"/>
      <c r="F29" s="38"/>
      <c r="G29" s="38"/>
      <c r="H29" s="38"/>
    </row>
    <row r="30" spans="2:8" x14ac:dyDescent="0.3">
      <c r="B30" s="86" t="s">
        <v>686</v>
      </c>
      <c r="C30" s="81"/>
      <c r="D30" s="81"/>
      <c r="E30" s="81"/>
      <c r="F30" s="81"/>
      <c r="G30" s="81"/>
      <c r="H30" s="81"/>
    </row>
    <row r="31" spans="2:8" ht="254.1" customHeight="1" x14ac:dyDescent="0.3">
      <c r="B31" s="117" t="s">
        <v>687</v>
      </c>
      <c r="C31" s="117"/>
      <c r="D31" s="117"/>
      <c r="E31" s="117"/>
      <c r="F31" s="117"/>
      <c r="G31" s="117"/>
      <c r="H31" s="117"/>
    </row>
    <row r="32" spans="2:8" hidden="1" x14ac:dyDescent="0.3">
      <c r="B32" s="117"/>
      <c r="C32" s="117"/>
      <c r="D32" s="117"/>
      <c r="E32" s="117"/>
      <c r="F32" s="117"/>
      <c r="G32" s="117"/>
      <c r="H32" s="117"/>
    </row>
    <row r="33" spans="2:8" x14ac:dyDescent="0.3">
      <c r="B33" s="38"/>
      <c r="C33" s="38"/>
      <c r="D33" s="38"/>
      <c r="E33" s="38"/>
      <c r="F33" s="38"/>
      <c r="G33" s="38"/>
      <c r="H33" s="38"/>
    </row>
    <row r="34" spans="2:8" x14ac:dyDescent="0.3">
      <c r="B34" s="86" t="s">
        <v>688</v>
      </c>
      <c r="C34" s="81"/>
      <c r="D34" s="81"/>
      <c r="E34" s="81"/>
      <c r="F34" s="81"/>
      <c r="G34" s="81"/>
      <c r="H34" s="81"/>
    </row>
    <row r="35" spans="2:8" ht="110.1" customHeight="1" x14ac:dyDescent="0.3">
      <c r="B35" s="117" t="s">
        <v>689</v>
      </c>
      <c r="C35" s="117"/>
      <c r="D35" s="117"/>
      <c r="E35" s="117"/>
      <c r="F35" s="117"/>
      <c r="G35" s="117"/>
      <c r="H35" s="117"/>
    </row>
    <row r="36" spans="2:8" hidden="1" x14ac:dyDescent="0.3">
      <c r="B36" s="117"/>
      <c r="C36" s="117"/>
      <c r="D36" s="117"/>
      <c r="E36" s="117"/>
      <c r="F36" s="117"/>
      <c r="G36" s="117"/>
      <c r="H36" s="117"/>
    </row>
    <row r="37" spans="2:8" x14ac:dyDescent="0.3">
      <c r="B37" s="38"/>
      <c r="C37" s="38"/>
      <c r="D37" s="38"/>
      <c r="E37" s="38"/>
      <c r="F37" s="38"/>
      <c r="G37" s="38"/>
      <c r="H37" s="38"/>
    </row>
    <row r="38" spans="2:8" x14ac:dyDescent="0.3">
      <c r="B38" s="86" t="s">
        <v>690</v>
      </c>
      <c r="C38" s="81"/>
      <c r="D38" s="81"/>
      <c r="E38" s="81"/>
      <c r="F38" s="81"/>
      <c r="G38" s="81"/>
      <c r="H38" s="81"/>
    </row>
    <row r="39" spans="2:8" ht="158.1" customHeight="1" x14ac:dyDescent="0.3">
      <c r="B39" s="117" t="s">
        <v>691</v>
      </c>
      <c r="C39" s="117"/>
      <c r="D39" s="117"/>
      <c r="E39" s="117"/>
      <c r="F39" s="117"/>
      <c r="G39" s="117"/>
      <c r="H39" s="117"/>
    </row>
    <row r="40" spans="2:8" hidden="1" x14ac:dyDescent="0.3">
      <c r="B40" s="117"/>
      <c r="C40" s="117"/>
      <c r="D40" s="117"/>
      <c r="E40" s="117"/>
      <c r="F40" s="117"/>
      <c r="G40" s="117"/>
      <c r="H40" s="117"/>
    </row>
    <row r="41" spans="2:8" x14ac:dyDescent="0.3">
      <c r="B41" s="38"/>
      <c r="C41" s="38"/>
      <c r="D41" s="38"/>
      <c r="E41" s="38"/>
      <c r="F41" s="38"/>
      <c r="G41" s="38"/>
      <c r="H41" s="38"/>
    </row>
    <row r="42" spans="2:8" x14ac:dyDescent="0.3">
      <c r="B42" s="86" t="s">
        <v>692</v>
      </c>
      <c r="C42" s="81"/>
      <c r="D42" s="81"/>
      <c r="E42" s="81"/>
      <c r="F42" s="81"/>
      <c r="G42" s="81"/>
      <c r="H42" s="81"/>
    </row>
    <row r="43" spans="2:8" ht="62.1" customHeight="1" x14ac:dyDescent="0.3">
      <c r="B43" s="117" t="s">
        <v>693</v>
      </c>
      <c r="C43" s="117"/>
      <c r="D43" s="117"/>
      <c r="E43" s="117"/>
      <c r="F43" s="117"/>
      <c r="G43" s="117"/>
      <c r="H43" s="117"/>
    </row>
    <row r="44" spans="2:8" hidden="1" x14ac:dyDescent="0.3">
      <c r="B44" s="117"/>
      <c r="C44" s="117"/>
      <c r="D44" s="117"/>
      <c r="E44" s="117"/>
      <c r="F44" s="117"/>
      <c r="G44" s="117"/>
      <c r="H44" s="117"/>
    </row>
    <row r="45" spans="2:8" x14ac:dyDescent="0.3">
      <c r="B45" s="38"/>
      <c r="C45" s="38"/>
      <c r="D45" s="38"/>
      <c r="E45" s="38"/>
      <c r="F45" s="38"/>
      <c r="G45" s="38"/>
      <c r="H45" s="38"/>
    </row>
    <row r="46" spans="2:8" x14ac:dyDescent="0.3">
      <c r="B46" s="86" t="s">
        <v>694</v>
      </c>
      <c r="C46" s="81"/>
      <c r="D46" s="81"/>
      <c r="E46" s="81"/>
      <c r="F46" s="81"/>
      <c r="G46" s="81"/>
      <c r="H46" s="81"/>
    </row>
    <row r="47" spans="2:8" ht="182.1" customHeight="1" x14ac:dyDescent="0.3">
      <c r="B47" s="117" t="s">
        <v>695</v>
      </c>
      <c r="C47" s="117"/>
      <c r="D47" s="117"/>
      <c r="E47" s="117"/>
      <c r="F47" s="117"/>
      <c r="G47" s="117"/>
      <c r="H47" s="117"/>
    </row>
    <row r="48" spans="2:8" hidden="1" x14ac:dyDescent="0.3">
      <c r="B48" s="117"/>
      <c r="C48" s="117"/>
      <c r="D48" s="117"/>
      <c r="E48" s="117"/>
      <c r="F48" s="117"/>
      <c r="G48" s="117"/>
      <c r="H48" s="117"/>
    </row>
    <row r="49" spans="2:8" x14ac:dyDescent="0.3">
      <c r="B49" s="38"/>
      <c r="C49" s="38"/>
      <c r="D49" s="38"/>
      <c r="E49" s="38"/>
      <c r="F49" s="38"/>
      <c r="G49" s="38"/>
      <c r="H49" s="38"/>
    </row>
    <row r="50" spans="2:8" x14ac:dyDescent="0.3">
      <c r="B50" s="86" t="s">
        <v>696</v>
      </c>
      <c r="C50" s="81"/>
      <c r="D50" s="81"/>
      <c r="E50" s="81"/>
      <c r="F50" s="81"/>
      <c r="G50" s="81"/>
      <c r="H50" s="81"/>
    </row>
    <row r="51" spans="2:8" ht="110.1" customHeight="1" x14ac:dyDescent="0.3">
      <c r="B51" s="117" t="s">
        <v>697</v>
      </c>
      <c r="C51" s="117"/>
      <c r="D51" s="117"/>
      <c r="E51" s="117"/>
      <c r="F51" s="117"/>
      <c r="G51" s="117"/>
      <c r="H51" s="117"/>
    </row>
    <row r="52" spans="2:8" hidden="1" x14ac:dyDescent="0.3">
      <c r="B52" s="117"/>
      <c r="C52" s="117"/>
      <c r="D52" s="117"/>
      <c r="E52" s="117"/>
      <c r="F52" s="117"/>
      <c r="G52" s="117"/>
      <c r="H52" s="117"/>
    </row>
    <row r="53" spans="2:8" x14ac:dyDescent="0.3">
      <c r="B53" s="38"/>
      <c r="C53" s="38"/>
      <c r="D53" s="38"/>
      <c r="E53" s="38"/>
      <c r="F53" s="38"/>
      <c r="G53" s="38"/>
      <c r="H53" s="38"/>
    </row>
    <row r="54" spans="2:8" x14ac:dyDescent="0.3">
      <c r="B54" s="86" t="s">
        <v>698</v>
      </c>
      <c r="C54" s="81"/>
      <c r="D54" s="81"/>
      <c r="E54" s="81"/>
      <c r="F54" s="81"/>
      <c r="G54" s="81"/>
      <c r="H54" s="81"/>
    </row>
    <row r="55" spans="2:8" ht="62.1" customHeight="1" x14ac:dyDescent="0.3">
      <c r="B55" s="117" t="s">
        <v>699</v>
      </c>
      <c r="C55" s="117"/>
      <c r="D55" s="117"/>
      <c r="E55" s="117"/>
      <c r="F55" s="117"/>
      <c r="G55" s="117"/>
      <c r="H55" s="117"/>
    </row>
    <row r="56" spans="2:8" hidden="1" x14ac:dyDescent="0.3">
      <c r="B56" s="117"/>
      <c r="C56" s="117"/>
      <c r="D56" s="117"/>
      <c r="E56" s="117"/>
      <c r="F56" s="117"/>
      <c r="G56" s="117"/>
      <c r="H56" s="117"/>
    </row>
    <row r="57" spans="2:8" x14ac:dyDescent="0.3">
      <c r="B57" s="38"/>
      <c r="C57" s="38"/>
      <c r="D57" s="38"/>
      <c r="E57" s="38"/>
      <c r="F57" s="38"/>
      <c r="G57" s="38"/>
      <c r="H57" s="38"/>
    </row>
    <row r="58" spans="2:8" x14ac:dyDescent="0.3">
      <c r="B58" s="86" t="s">
        <v>700</v>
      </c>
      <c r="C58" s="81"/>
      <c r="D58" s="81"/>
      <c r="E58" s="81"/>
      <c r="F58" s="81"/>
      <c r="G58" s="81"/>
      <c r="H58" s="81"/>
    </row>
    <row r="59" spans="2:8" ht="62.1" customHeight="1" x14ac:dyDescent="0.3">
      <c r="B59" s="117" t="s">
        <v>701</v>
      </c>
      <c r="C59" s="117"/>
      <c r="D59" s="117"/>
      <c r="E59" s="117"/>
      <c r="F59" s="117"/>
      <c r="G59" s="117"/>
      <c r="H59" s="117"/>
    </row>
    <row r="60" spans="2:8" hidden="1" x14ac:dyDescent="0.3">
      <c r="B60" s="117"/>
      <c r="C60" s="117"/>
      <c r="D60" s="117"/>
      <c r="E60" s="117"/>
      <c r="F60" s="117"/>
      <c r="G60" s="117"/>
      <c r="H60" s="117"/>
    </row>
    <row r="61" spans="2:8" x14ac:dyDescent="0.3">
      <c r="B61" s="38"/>
      <c r="C61" s="38"/>
      <c r="D61" s="38"/>
      <c r="E61" s="38"/>
      <c r="F61" s="38"/>
      <c r="G61" s="38"/>
      <c r="H61" s="38"/>
    </row>
    <row r="62" spans="2:8" x14ac:dyDescent="0.3">
      <c r="B62" s="86" t="s">
        <v>702</v>
      </c>
      <c r="C62" s="81"/>
      <c r="D62" s="81"/>
      <c r="E62" s="81"/>
      <c r="F62" s="81"/>
      <c r="G62" s="81"/>
      <c r="H62" s="81"/>
    </row>
    <row r="63" spans="2:8" ht="110.1" customHeight="1" x14ac:dyDescent="0.3">
      <c r="B63" s="117" t="s">
        <v>703</v>
      </c>
      <c r="C63" s="117"/>
      <c r="D63" s="117"/>
      <c r="E63" s="117"/>
      <c r="F63" s="117"/>
      <c r="G63" s="117"/>
      <c r="H63" s="117"/>
    </row>
    <row r="64" spans="2:8" hidden="1" x14ac:dyDescent="0.3">
      <c r="B64" s="117"/>
      <c r="C64" s="117"/>
      <c r="D64" s="117"/>
      <c r="E64" s="117"/>
      <c r="F64" s="117"/>
      <c r="G64" s="117"/>
      <c r="H64" s="117"/>
    </row>
    <row r="65" spans="2:8" x14ac:dyDescent="0.3">
      <c r="B65" s="38"/>
      <c r="C65" s="38"/>
      <c r="D65" s="38"/>
      <c r="E65" s="38"/>
      <c r="F65" s="38"/>
      <c r="G65" s="38"/>
      <c r="H65" s="38"/>
    </row>
    <row r="66" spans="2:8" x14ac:dyDescent="0.3">
      <c r="B66" s="86" t="s">
        <v>704</v>
      </c>
      <c r="C66" s="81"/>
      <c r="D66" s="81"/>
      <c r="E66" s="81"/>
      <c r="F66" s="81"/>
      <c r="G66" s="81"/>
      <c r="H66" s="81"/>
    </row>
    <row r="67" spans="2:8" ht="38.1" customHeight="1" x14ac:dyDescent="0.3">
      <c r="B67" s="117" t="s">
        <v>705</v>
      </c>
      <c r="C67" s="117"/>
      <c r="D67" s="117"/>
      <c r="E67" s="117"/>
      <c r="F67" s="117"/>
      <c r="G67" s="117"/>
      <c r="H67" s="117"/>
    </row>
    <row r="68" spans="2:8" hidden="1" x14ac:dyDescent="0.3">
      <c r="B68" s="117"/>
      <c r="C68" s="117"/>
      <c r="D68" s="117"/>
      <c r="E68" s="117"/>
      <c r="F68" s="117"/>
      <c r="G68" s="117"/>
      <c r="H68" s="117"/>
    </row>
    <row r="69" spans="2:8" x14ac:dyDescent="0.3">
      <c r="B69" s="38"/>
      <c r="C69" s="38"/>
      <c r="D69" s="38"/>
      <c r="E69" s="38"/>
      <c r="F69" s="38"/>
      <c r="G69" s="38"/>
      <c r="H69" s="38"/>
    </row>
    <row r="70" spans="2:8" x14ac:dyDescent="0.3">
      <c r="B70" s="86" t="s">
        <v>706</v>
      </c>
      <c r="C70" s="81"/>
      <c r="D70" s="81"/>
      <c r="E70" s="81"/>
      <c r="F70" s="81"/>
      <c r="G70" s="81"/>
      <c r="H70" s="81"/>
    </row>
    <row r="71" spans="2:8" ht="38.1" customHeight="1" x14ac:dyDescent="0.3">
      <c r="B71" s="117" t="s">
        <v>707</v>
      </c>
      <c r="C71" s="117"/>
      <c r="D71" s="117"/>
      <c r="E71" s="117"/>
      <c r="F71" s="117"/>
      <c r="G71" s="117"/>
      <c r="H71" s="117"/>
    </row>
    <row r="72" spans="2:8" hidden="1" x14ac:dyDescent="0.3">
      <c r="B72" s="117"/>
      <c r="C72" s="117"/>
      <c r="D72" s="117"/>
      <c r="E72" s="117"/>
      <c r="F72" s="117"/>
      <c r="G72" s="117"/>
      <c r="H72" s="117"/>
    </row>
    <row r="73" spans="2:8" x14ac:dyDescent="0.3">
      <c r="B73" s="38"/>
      <c r="C73" s="38"/>
      <c r="D73" s="38"/>
      <c r="E73" s="38"/>
      <c r="F73" s="38"/>
      <c r="G73" s="38"/>
      <c r="H73" s="38"/>
    </row>
    <row r="74" spans="2:8" x14ac:dyDescent="0.3">
      <c r="B74" s="86" t="s">
        <v>708</v>
      </c>
      <c r="C74" s="81"/>
      <c r="D74" s="81"/>
      <c r="E74" s="81"/>
      <c r="F74" s="81"/>
      <c r="G74" s="81"/>
      <c r="H74" s="81"/>
    </row>
    <row r="75" spans="2:8" ht="110.1" customHeight="1" x14ac:dyDescent="0.3">
      <c r="B75" s="117" t="s">
        <v>709</v>
      </c>
      <c r="C75" s="117"/>
      <c r="D75" s="117"/>
      <c r="E75" s="117"/>
      <c r="F75" s="117"/>
      <c r="G75" s="117"/>
      <c r="H75" s="117"/>
    </row>
    <row r="76" spans="2:8" hidden="1" x14ac:dyDescent="0.3">
      <c r="B76" s="117"/>
      <c r="C76" s="117"/>
      <c r="D76" s="117"/>
      <c r="E76" s="117"/>
      <c r="F76" s="117"/>
      <c r="G76" s="117"/>
      <c r="H76" s="117"/>
    </row>
    <row r="77" spans="2:8" x14ac:dyDescent="0.3">
      <c r="B77" s="38"/>
      <c r="C77" s="38"/>
      <c r="D77" s="38"/>
      <c r="E77" s="38"/>
      <c r="F77" s="38"/>
      <c r="G77" s="38"/>
      <c r="H77" s="38"/>
    </row>
    <row r="78" spans="2:8" x14ac:dyDescent="0.3">
      <c r="B78" s="86" t="s">
        <v>710</v>
      </c>
      <c r="C78" s="81"/>
      <c r="D78" s="81"/>
      <c r="E78" s="81"/>
      <c r="F78" s="81"/>
      <c r="G78" s="81"/>
      <c r="H78" s="81"/>
    </row>
    <row r="79" spans="2:8" ht="206.1" customHeight="1" x14ac:dyDescent="0.3">
      <c r="B79" s="117" t="s">
        <v>711</v>
      </c>
      <c r="C79" s="117"/>
      <c r="D79" s="117"/>
      <c r="E79" s="117"/>
      <c r="F79" s="117"/>
      <c r="G79" s="117"/>
      <c r="H79" s="117"/>
    </row>
    <row r="80" spans="2:8" hidden="1" x14ac:dyDescent="0.3">
      <c r="B80" s="117"/>
      <c r="C80" s="117"/>
      <c r="D80" s="117"/>
      <c r="E80" s="117"/>
      <c r="F80" s="117"/>
      <c r="G80" s="117"/>
      <c r="H80" s="117"/>
    </row>
    <row r="81" spans="2:8" x14ac:dyDescent="0.3">
      <c r="B81" s="38"/>
      <c r="C81" s="38"/>
      <c r="D81" s="38"/>
      <c r="E81" s="38"/>
      <c r="F81" s="38"/>
      <c r="G81" s="38"/>
      <c r="H81" s="38"/>
    </row>
    <row r="82" spans="2:8" x14ac:dyDescent="0.3">
      <c r="B82" s="86" t="s">
        <v>712</v>
      </c>
      <c r="C82" s="81"/>
      <c r="D82" s="81"/>
      <c r="E82" s="81"/>
      <c r="F82" s="81"/>
      <c r="G82" s="81"/>
      <c r="H82" s="81"/>
    </row>
    <row r="83" spans="2:8" ht="62.1" customHeight="1" x14ac:dyDescent="0.3">
      <c r="B83" s="117" t="s">
        <v>713</v>
      </c>
      <c r="C83" s="117"/>
      <c r="D83" s="117"/>
      <c r="E83" s="117"/>
      <c r="F83" s="117"/>
      <c r="G83" s="117"/>
      <c r="H83" s="117"/>
    </row>
    <row r="84" spans="2:8" hidden="1" x14ac:dyDescent="0.3">
      <c r="B84" s="117"/>
      <c r="C84" s="117"/>
      <c r="D84" s="117"/>
      <c r="E84" s="117"/>
      <c r="F84" s="117"/>
      <c r="G84" s="117"/>
      <c r="H84" s="117"/>
    </row>
    <row r="85" spans="2:8" x14ac:dyDescent="0.3">
      <c r="B85" s="38"/>
      <c r="C85" s="38"/>
      <c r="D85" s="38"/>
      <c r="E85" s="38"/>
      <c r="F85" s="38"/>
      <c r="G85" s="38"/>
      <c r="H85" s="38"/>
    </row>
    <row r="86" spans="2:8" x14ac:dyDescent="0.3">
      <c r="B86" s="38"/>
      <c r="C86" s="38"/>
      <c r="D86" s="38"/>
      <c r="E86" s="38"/>
      <c r="F86" s="38"/>
      <c r="G86" s="38"/>
      <c r="H86" s="38"/>
    </row>
  </sheetData>
  <mergeCells count="40">
    <mergeCell ref="B15:H16"/>
    <mergeCell ref="B3:H4"/>
    <mergeCell ref="B6:H8"/>
    <mergeCell ref="B10:H10"/>
    <mergeCell ref="B11:H12"/>
    <mergeCell ref="B14:H14"/>
    <mergeCell ref="B39:H40"/>
    <mergeCell ref="B18:H18"/>
    <mergeCell ref="B19:H20"/>
    <mergeCell ref="B22:H22"/>
    <mergeCell ref="B23:H24"/>
    <mergeCell ref="B26:H26"/>
    <mergeCell ref="B27:H28"/>
    <mergeCell ref="B30:H30"/>
    <mergeCell ref="B31:H32"/>
    <mergeCell ref="B34:H34"/>
    <mergeCell ref="B35:H36"/>
    <mergeCell ref="B38:H38"/>
    <mergeCell ref="B63:H64"/>
    <mergeCell ref="B42:H42"/>
    <mergeCell ref="B43:H44"/>
    <mergeCell ref="B46:H46"/>
    <mergeCell ref="B47:H48"/>
    <mergeCell ref="B50:H50"/>
    <mergeCell ref="B51:H52"/>
    <mergeCell ref="B54:H54"/>
    <mergeCell ref="B55:H56"/>
    <mergeCell ref="B58:H58"/>
    <mergeCell ref="B59:H60"/>
    <mergeCell ref="B62:H62"/>
    <mergeCell ref="B78:H78"/>
    <mergeCell ref="B79:H80"/>
    <mergeCell ref="B82:H82"/>
    <mergeCell ref="B83:H84"/>
    <mergeCell ref="B66:H66"/>
    <mergeCell ref="B67:H68"/>
    <mergeCell ref="B70:H70"/>
    <mergeCell ref="B71:H72"/>
    <mergeCell ref="B74:H74"/>
    <mergeCell ref="B75:H76"/>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85881-9CA9-4A13-BC2B-C75E596A34C4}">
  <sheetPr codeName="Sheet30"/>
  <dimension ref="A1:H71"/>
  <sheetViews>
    <sheetView workbookViewId="0"/>
  </sheetViews>
  <sheetFormatPr defaultRowHeight="16.5" x14ac:dyDescent="0.3"/>
  <cols>
    <col min="1" max="1" width="3.125" customWidth="1"/>
    <col min="2" max="2" width="14.625" customWidth="1"/>
    <col min="3" max="8" width="8.125" customWidth="1"/>
  </cols>
  <sheetData>
    <row r="1" spans="1:8" x14ac:dyDescent="0.3">
      <c r="A1" s="20" t="s">
        <v>643</v>
      </c>
    </row>
    <row r="3" spans="1:8" x14ac:dyDescent="0.3">
      <c r="B3" s="83" t="str">
        <f>IF(기초자료입력!C9&lt;&gt;"",기초자료입력!C9,"○○○○학교 공고 제20○○-00호")</f>
        <v>○○○○학교 공고 제20○○-00호</v>
      </c>
      <c r="C3" s="83"/>
      <c r="D3" s="83"/>
      <c r="E3" s="83"/>
      <c r="F3" s="83"/>
      <c r="G3" s="83"/>
      <c r="H3" s="83"/>
    </row>
    <row r="4" spans="1:8" x14ac:dyDescent="0.3">
      <c r="B4" s="38"/>
      <c r="C4" s="38"/>
      <c r="D4" s="38"/>
      <c r="E4" s="38"/>
      <c r="F4" s="38"/>
      <c r="G4" s="38"/>
      <c r="H4" s="38"/>
    </row>
    <row r="5" spans="1:8" x14ac:dyDescent="0.3">
      <c r="B5" s="92" t="str">
        <f>IF(기초자료입력!C5&lt;&gt;"",기초자료입력!C5,"20○○")&amp;"학년도 "&amp;IF(기초자료입력!C4&lt;&gt;"",기초자료입력!C4,"○○○○학교")&amp;" 교복 학교주관 구매 입찰 공고"</f>
        <v>20○○학년도 ○○○○학교 교복 학교주관 구매 입찰 공고</v>
      </c>
      <c r="C5" s="83"/>
      <c r="D5" s="83"/>
      <c r="E5" s="83"/>
      <c r="F5" s="83"/>
      <c r="G5" s="83"/>
      <c r="H5" s="83"/>
    </row>
    <row r="6" spans="1:8" x14ac:dyDescent="0.3">
      <c r="B6" s="83"/>
      <c r="C6" s="83"/>
      <c r="D6" s="83"/>
      <c r="E6" s="83"/>
      <c r="F6" s="83"/>
      <c r="G6" s="83"/>
      <c r="H6" s="83"/>
    </row>
    <row r="7" spans="1:8" x14ac:dyDescent="0.3">
      <c r="B7" s="83" t="s">
        <v>644</v>
      </c>
      <c r="C7" s="83"/>
      <c r="D7" s="83"/>
      <c r="E7" s="83"/>
      <c r="F7" s="83"/>
      <c r="G7" s="83"/>
      <c r="H7" s="83"/>
    </row>
    <row r="8" spans="1:8" x14ac:dyDescent="0.3">
      <c r="B8" s="38"/>
      <c r="C8" s="38"/>
      <c r="D8" s="38"/>
      <c r="E8" s="38"/>
      <c r="F8" s="38"/>
      <c r="G8" s="38"/>
      <c r="H8" s="38"/>
    </row>
    <row r="9" spans="1:8" x14ac:dyDescent="0.3">
      <c r="B9" s="91"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20○○학년도 교복 학교주관 구매를 위해 다음과 같이 공고합니다.</v>
      </c>
      <c r="C9" s="91"/>
      <c r="D9" s="91"/>
      <c r="E9" s="91"/>
      <c r="F9" s="91"/>
      <c r="G9" s="91"/>
      <c r="H9" s="91"/>
    </row>
    <row r="10" spans="1:8" x14ac:dyDescent="0.3">
      <c r="B10" s="91"/>
      <c r="C10" s="91"/>
      <c r="D10" s="91"/>
      <c r="E10" s="91"/>
      <c r="F10" s="91"/>
      <c r="G10" s="91"/>
      <c r="H10" s="91"/>
    </row>
    <row r="11" spans="1:8" x14ac:dyDescent="0.3">
      <c r="B11" s="38"/>
      <c r="C11" s="38"/>
      <c r="D11" s="38"/>
      <c r="E11" s="38"/>
      <c r="F11" s="38"/>
      <c r="G11" s="38"/>
      <c r="H11" s="38"/>
    </row>
    <row r="12" spans="1:8" x14ac:dyDescent="0.3">
      <c r="B12" s="86" t="s">
        <v>645</v>
      </c>
      <c r="C12" s="81"/>
      <c r="D12" s="81"/>
      <c r="E12" s="81"/>
      <c r="F12" s="81"/>
      <c r="G12" s="81"/>
      <c r="H12" s="81"/>
    </row>
    <row r="13" spans="1:8" ht="27.95" customHeight="1" x14ac:dyDescent="0.3">
      <c r="B13" s="60" t="s">
        <v>439</v>
      </c>
      <c r="C13" s="37" t="str">
        <f>IF(기초자료입력!C12&lt;&gt;"",기초자료입력!C12,"")</f>
        <v/>
      </c>
      <c r="D13" s="37"/>
      <c r="E13" s="37"/>
      <c r="F13" s="37"/>
      <c r="G13" s="37"/>
      <c r="H13" s="37"/>
    </row>
    <row r="14" spans="1:8" ht="27.95" customHeight="1" x14ac:dyDescent="0.3">
      <c r="B14" s="60" t="s">
        <v>94</v>
      </c>
      <c r="C14" s="37" t="str">
        <f>IF(기초자료입력!C15&lt;&gt;"","금"&amp;TEXT(기초자료입력!C15,"#,##0")&amp;"원 (부가세포함)","")</f>
        <v/>
      </c>
      <c r="D14" s="37"/>
      <c r="E14" s="37"/>
      <c r="F14" s="37"/>
      <c r="G14" s="37"/>
      <c r="H14" s="37"/>
    </row>
    <row r="15" spans="1:8" ht="27.95" customHeight="1" x14ac:dyDescent="0.3">
      <c r="B15" s="60" t="s">
        <v>646</v>
      </c>
      <c r="C15" s="37" t="str">
        <f>IF(기초자료입력!C16&lt;&gt;"",기초자료입력!C16&amp;"벌","")</f>
        <v/>
      </c>
      <c r="D15" s="37"/>
      <c r="E15" s="37"/>
      <c r="F15" s="37"/>
      <c r="G15" s="37"/>
      <c r="H15" s="37"/>
    </row>
    <row r="16" spans="1:8" ht="27.95" customHeight="1" x14ac:dyDescent="0.3">
      <c r="B16" s="60" t="s">
        <v>647</v>
      </c>
      <c r="C16" s="37" t="s">
        <v>648</v>
      </c>
      <c r="D16" s="37"/>
      <c r="E16" s="37"/>
      <c r="F16" s="37"/>
      <c r="G16" s="37"/>
      <c r="H16" s="37"/>
    </row>
    <row r="17" spans="2:8" ht="27.95" customHeight="1" x14ac:dyDescent="0.3">
      <c r="B17" s="60" t="s">
        <v>649</v>
      </c>
      <c r="C17" s="37" t="s">
        <v>650</v>
      </c>
      <c r="D17" s="37"/>
      <c r="E17" s="37"/>
      <c r="F17" s="37"/>
      <c r="G17" s="37"/>
      <c r="H17" s="37"/>
    </row>
    <row r="18" spans="2:8" ht="27.95" customHeight="1" x14ac:dyDescent="0.3">
      <c r="B18" s="60" t="s">
        <v>38</v>
      </c>
      <c r="C18" s="37" t="str">
        <f>IF(기초자료입력!C17&lt;&gt;"",TEXT(기초자료입력!C17,"yyyy. m. d."),"")</f>
        <v/>
      </c>
      <c r="D18" s="37"/>
      <c r="E18" s="37"/>
      <c r="F18" s="37"/>
      <c r="G18" s="37"/>
      <c r="H18" s="37"/>
    </row>
    <row r="19" spans="2:8" ht="27.95" customHeight="1" x14ac:dyDescent="0.3">
      <c r="B19" s="60" t="s">
        <v>651</v>
      </c>
      <c r="C19" s="37" t="str">
        <f>IF(기초자료입력!C4&lt;&gt;"",기초자료입력!C4&amp;" 지정 장소","")</f>
        <v/>
      </c>
      <c r="D19" s="37"/>
      <c r="E19" s="37"/>
      <c r="F19" s="37"/>
      <c r="G19" s="37"/>
      <c r="H19" s="37"/>
    </row>
    <row r="20" spans="2:8" ht="48" customHeight="1" x14ac:dyDescent="0.3">
      <c r="B20" s="60" t="s">
        <v>652</v>
      </c>
      <c r="C20" s="118" t="s">
        <v>653</v>
      </c>
      <c r="D20" s="118"/>
      <c r="E20" s="118"/>
      <c r="F20" s="118"/>
      <c r="G20" s="118"/>
      <c r="H20" s="118"/>
    </row>
    <row r="21" spans="2:8" x14ac:dyDescent="0.3">
      <c r="B21" s="38"/>
      <c r="C21" s="38"/>
      <c r="D21" s="38"/>
      <c r="E21" s="38"/>
      <c r="F21" s="38"/>
      <c r="G21" s="38"/>
      <c r="H21" s="38"/>
    </row>
    <row r="22" spans="2:8" x14ac:dyDescent="0.3">
      <c r="B22" s="86" t="s">
        <v>654</v>
      </c>
      <c r="C22" s="81"/>
      <c r="D22" s="81"/>
      <c r="E22" s="81"/>
      <c r="F22" s="81"/>
      <c r="G22" s="81"/>
      <c r="H22" s="81"/>
    </row>
    <row r="23" spans="2:8" ht="81.95" customHeight="1" x14ac:dyDescent="0.3">
      <c r="B23" s="117" t="s">
        <v>655</v>
      </c>
      <c r="C23" s="117"/>
      <c r="D23" s="117"/>
      <c r="E23" s="117"/>
      <c r="F23" s="117"/>
      <c r="G23" s="117"/>
      <c r="H23" s="117"/>
    </row>
    <row r="24" spans="2:8" hidden="1" x14ac:dyDescent="0.3">
      <c r="B24" s="117"/>
      <c r="C24" s="117"/>
      <c r="D24" s="117"/>
      <c r="E24" s="117"/>
      <c r="F24" s="117"/>
      <c r="G24" s="117"/>
      <c r="H24" s="117"/>
    </row>
    <row r="25" spans="2:8" x14ac:dyDescent="0.3">
      <c r="B25" s="38"/>
      <c r="C25" s="38"/>
      <c r="D25" s="38"/>
      <c r="E25" s="38"/>
      <c r="F25" s="38"/>
      <c r="G25" s="38"/>
      <c r="H25" s="38"/>
    </row>
    <row r="26" spans="2:8" x14ac:dyDescent="0.3">
      <c r="B26" s="86" t="s">
        <v>656</v>
      </c>
      <c r="C26" s="81"/>
      <c r="D26" s="81"/>
      <c r="E26" s="81"/>
      <c r="F26" s="81"/>
      <c r="G26" s="81"/>
      <c r="H26" s="81"/>
    </row>
    <row r="27" spans="2:8" ht="68.099999999999994" customHeight="1" x14ac:dyDescent="0.3">
      <c r="B27" s="117" t="s">
        <v>657</v>
      </c>
      <c r="C27" s="117"/>
      <c r="D27" s="117"/>
      <c r="E27" s="117"/>
      <c r="F27" s="117"/>
      <c r="G27" s="117"/>
      <c r="H27" s="117"/>
    </row>
    <row r="28" spans="2:8" hidden="1" x14ac:dyDescent="0.3">
      <c r="B28" s="117"/>
      <c r="C28" s="117"/>
      <c r="D28" s="117"/>
      <c r="E28" s="117"/>
      <c r="F28" s="117"/>
      <c r="G28" s="117"/>
      <c r="H28" s="117"/>
    </row>
    <row r="29" spans="2:8" x14ac:dyDescent="0.3">
      <c r="B29" s="38"/>
      <c r="C29" s="38"/>
      <c r="D29" s="38"/>
      <c r="E29" s="38"/>
      <c r="F29" s="38"/>
      <c r="G29" s="38"/>
      <c r="H29" s="38"/>
    </row>
    <row r="30" spans="2:8" x14ac:dyDescent="0.3">
      <c r="B30" s="86" t="s">
        <v>658</v>
      </c>
      <c r="C30" s="81"/>
      <c r="D30" s="81"/>
      <c r="E30" s="81"/>
      <c r="F30" s="81"/>
      <c r="G30" s="81"/>
      <c r="H30" s="81"/>
    </row>
    <row r="31" spans="2:8" ht="45" customHeight="1" x14ac:dyDescent="0.3">
      <c r="B31" s="117" t="s">
        <v>659</v>
      </c>
      <c r="C31" s="117"/>
      <c r="D31" s="117"/>
      <c r="E31" s="117"/>
      <c r="F31" s="117"/>
      <c r="G31" s="117"/>
      <c r="H31" s="117"/>
    </row>
    <row r="32" spans="2:8" hidden="1" x14ac:dyDescent="0.3">
      <c r="B32" s="117"/>
      <c r="C32" s="117"/>
      <c r="D32" s="117"/>
      <c r="E32" s="117"/>
      <c r="F32" s="117"/>
      <c r="G32" s="117"/>
      <c r="H32" s="117"/>
    </row>
    <row r="33" spans="2:8" x14ac:dyDescent="0.3">
      <c r="B33" s="38"/>
      <c r="C33" s="38"/>
      <c r="D33" s="38"/>
      <c r="E33" s="38"/>
      <c r="F33" s="38"/>
      <c r="G33" s="38"/>
      <c r="H33" s="38"/>
    </row>
    <row r="34" spans="2:8" x14ac:dyDescent="0.3">
      <c r="B34" s="86" t="s">
        <v>660</v>
      </c>
      <c r="C34" s="81"/>
      <c r="D34" s="81"/>
      <c r="E34" s="81"/>
      <c r="F34" s="81"/>
      <c r="G34" s="81"/>
      <c r="H34" s="81"/>
    </row>
    <row r="35" spans="2:8" ht="144.94999999999999" customHeight="1" x14ac:dyDescent="0.3">
      <c r="B35" s="117"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담당자 최종 확인까지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5" s="117"/>
      <c r="D35" s="117"/>
      <c r="E35" s="117"/>
      <c r="F35" s="117"/>
      <c r="G35" s="117"/>
      <c r="H35" s="117"/>
    </row>
    <row r="36" spans="2:8" hidden="1" x14ac:dyDescent="0.3">
      <c r="B36" s="117"/>
      <c r="C36" s="117"/>
      <c r="D36" s="117"/>
      <c r="E36" s="117"/>
      <c r="F36" s="117"/>
      <c r="G36" s="117"/>
      <c r="H36" s="117"/>
    </row>
    <row r="37" spans="2:8" x14ac:dyDescent="0.3">
      <c r="B37" s="38"/>
      <c r="C37" s="38"/>
      <c r="D37" s="38"/>
      <c r="E37" s="38"/>
      <c r="F37" s="38"/>
      <c r="G37" s="38"/>
      <c r="H37" s="38"/>
    </row>
    <row r="38" spans="2:8" x14ac:dyDescent="0.3">
      <c r="B38" s="86" t="s">
        <v>661</v>
      </c>
      <c r="C38" s="81"/>
      <c r="D38" s="81"/>
      <c r="E38" s="81"/>
      <c r="F38" s="81"/>
      <c r="G38" s="81"/>
      <c r="H38" s="81"/>
    </row>
    <row r="39" spans="2:8" ht="57.95" customHeight="1" x14ac:dyDescent="0.3">
      <c r="B39" s="117" t="s">
        <v>662</v>
      </c>
      <c r="C39" s="117"/>
      <c r="D39" s="117"/>
      <c r="E39" s="117"/>
      <c r="F39" s="117"/>
      <c r="G39" s="117"/>
      <c r="H39" s="117"/>
    </row>
    <row r="40" spans="2:8" hidden="1" x14ac:dyDescent="0.3">
      <c r="B40" s="117"/>
      <c r="C40" s="117"/>
      <c r="D40" s="117"/>
      <c r="E40" s="117"/>
      <c r="F40" s="117"/>
      <c r="G40" s="117"/>
      <c r="H40" s="117"/>
    </row>
    <row r="41" spans="2:8" x14ac:dyDescent="0.3">
      <c r="B41" s="38"/>
      <c r="C41" s="38"/>
      <c r="D41" s="38"/>
      <c r="E41" s="38"/>
      <c r="F41" s="38"/>
      <c r="G41" s="38"/>
      <c r="H41" s="38"/>
    </row>
    <row r="42" spans="2:8" x14ac:dyDescent="0.3">
      <c r="B42" s="86" t="s">
        <v>663</v>
      </c>
      <c r="C42" s="81"/>
      <c r="D42" s="81"/>
      <c r="E42" s="81"/>
      <c r="F42" s="81"/>
      <c r="G42" s="81"/>
      <c r="H42" s="81"/>
    </row>
    <row r="43" spans="2:8" ht="81.95" customHeight="1" x14ac:dyDescent="0.3">
      <c r="B43" s="117" t="s">
        <v>664</v>
      </c>
      <c r="C43" s="117"/>
      <c r="D43" s="117"/>
      <c r="E43" s="117"/>
      <c r="F43" s="117"/>
      <c r="G43" s="117"/>
      <c r="H43" s="117"/>
    </row>
    <row r="44" spans="2:8" hidden="1" x14ac:dyDescent="0.3">
      <c r="B44" s="117"/>
      <c r="C44" s="117"/>
      <c r="D44" s="117"/>
      <c r="E44" s="117"/>
      <c r="F44" s="117"/>
      <c r="G44" s="117"/>
      <c r="H44" s="117"/>
    </row>
    <row r="45" spans="2:8" x14ac:dyDescent="0.3">
      <c r="B45" s="38"/>
      <c r="C45" s="38"/>
      <c r="D45" s="38"/>
      <c r="E45" s="38"/>
      <c r="F45" s="38"/>
      <c r="G45" s="38"/>
      <c r="H45" s="38"/>
    </row>
    <row r="46" spans="2:8" x14ac:dyDescent="0.3">
      <c r="B46" s="86" t="s">
        <v>665</v>
      </c>
      <c r="C46" s="81"/>
      <c r="D46" s="81"/>
      <c r="E46" s="81"/>
      <c r="F46" s="81"/>
      <c r="G46" s="81"/>
      <c r="H46" s="81"/>
    </row>
    <row r="47" spans="2:8" ht="78" customHeight="1" x14ac:dyDescent="0.3">
      <c r="B47" s="117" t="s">
        <v>666</v>
      </c>
      <c r="C47" s="117"/>
      <c r="D47" s="117"/>
      <c r="E47" s="117"/>
      <c r="F47" s="117"/>
      <c r="G47" s="117"/>
      <c r="H47" s="117"/>
    </row>
    <row r="48" spans="2:8" hidden="1" x14ac:dyDescent="0.3">
      <c r="B48" s="117"/>
      <c r="C48" s="117"/>
      <c r="D48" s="117"/>
      <c r="E48" s="117"/>
      <c r="F48" s="117"/>
      <c r="G48" s="117"/>
      <c r="H48" s="117"/>
    </row>
    <row r="49" spans="2:8" x14ac:dyDescent="0.3">
      <c r="B49" s="38"/>
      <c r="C49" s="38"/>
      <c r="D49" s="38"/>
      <c r="E49" s="38"/>
      <c r="F49" s="38"/>
      <c r="G49" s="38"/>
      <c r="H49" s="38"/>
    </row>
    <row r="50" spans="2:8" x14ac:dyDescent="0.3">
      <c r="B50" s="86" t="s">
        <v>667</v>
      </c>
      <c r="C50" s="81"/>
      <c r="D50" s="81"/>
      <c r="E50" s="81"/>
      <c r="F50" s="81"/>
      <c r="G50" s="81"/>
      <c r="H50" s="81"/>
    </row>
    <row r="51" spans="2:8" ht="38.1" customHeight="1" x14ac:dyDescent="0.3">
      <c r="B51" s="117" t="s">
        <v>668</v>
      </c>
      <c r="C51" s="117"/>
      <c r="D51" s="117"/>
      <c r="E51" s="117"/>
      <c r="F51" s="117"/>
      <c r="G51" s="117"/>
      <c r="H51" s="117"/>
    </row>
    <row r="52" spans="2:8" hidden="1" x14ac:dyDescent="0.3">
      <c r="B52" s="117"/>
      <c r="C52" s="117"/>
      <c r="D52" s="117"/>
      <c r="E52" s="117"/>
      <c r="F52" s="117"/>
      <c r="G52" s="117"/>
      <c r="H52" s="117"/>
    </row>
    <row r="53" spans="2:8" x14ac:dyDescent="0.3">
      <c r="B53" s="38"/>
      <c r="C53" s="38"/>
      <c r="D53" s="38"/>
      <c r="E53" s="38"/>
      <c r="F53" s="38"/>
      <c r="G53" s="38"/>
      <c r="H53" s="38"/>
    </row>
    <row r="54" spans="2:8" x14ac:dyDescent="0.3">
      <c r="B54" s="86" t="s">
        <v>669</v>
      </c>
      <c r="C54" s="81"/>
      <c r="D54" s="81"/>
      <c r="E54" s="81"/>
      <c r="F54" s="81"/>
      <c r="G54" s="81"/>
      <c r="H54" s="81"/>
    </row>
    <row r="55" spans="2:8" ht="45" customHeight="1" x14ac:dyDescent="0.3">
      <c r="B55" s="117" t="s">
        <v>670</v>
      </c>
      <c r="C55" s="117"/>
      <c r="D55" s="117"/>
      <c r="E55" s="117"/>
      <c r="F55" s="117"/>
      <c r="G55" s="117"/>
      <c r="H55" s="117"/>
    </row>
    <row r="56" spans="2:8" hidden="1" x14ac:dyDescent="0.3">
      <c r="B56" s="117"/>
      <c r="C56" s="117"/>
      <c r="D56" s="117"/>
      <c r="E56" s="117"/>
      <c r="F56" s="117"/>
      <c r="G56" s="117"/>
      <c r="H56" s="117"/>
    </row>
    <row r="57" spans="2:8" x14ac:dyDescent="0.3">
      <c r="B57" s="38"/>
      <c r="C57" s="38"/>
      <c r="D57" s="38"/>
      <c r="E57" s="38"/>
      <c r="F57" s="38"/>
      <c r="G57" s="38"/>
      <c r="H57" s="38"/>
    </row>
    <row r="58" spans="2:8" x14ac:dyDescent="0.3">
      <c r="B58" s="86" t="s">
        <v>671</v>
      </c>
      <c r="C58" s="81"/>
      <c r="D58" s="81"/>
      <c r="E58" s="81"/>
      <c r="F58" s="81"/>
      <c r="G58" s="81"/>
      <c r="H58" s="81"/>
    </row>
    <row r="59" spans="2:8" ht="45" customHeight="1" x14ac:dyDescent="0.3">
      <c r="B59" s="117" t="s">
        <v>672</v>
      </c>
      <c r="C59" s="117"/>
      <c r="D59" s="117"/>
      <c r="E59" s="117"/>
      <c r="F59" s="117"/>
      <c r="G59" s="117"/>
      <c r="H59" s="117"/>
    </row>
    <row r="60" spans="2:8" hidden="1" x14ac:dyDescent="0.3">
      <c r="B60" s="117"/>
      <c r="C60" s="117"/>
      <c r="D60" s="117"/>
      <c r="E60" s="117"/>
      <c r="F60" s="117"/>
      <c r="G60" s="117"/>
      <c r="H60" s="117"/>
    </row>
    <row r="61" spans="2:8" x14ac:dyDescent="0.3">
      <c r="B61" s="38"/>
      <c r="C61" s="38"/>
      <c r="D61" s="38"/>
      <c r="E61" s="38"/>
      <c r="F61" s="38"/>
      <c r="G61" s="38"/>
      <c r="H61" s="38"/>
    </row>
    <row r="62" spans="2:8" x14ac:dyDescent="0.3">
      <c r="B62" s="86" t="s">
        <v>673</v>
      </c>
      <c r="C62" s="81"/>
      <c r="D62" s="81"/>
      <c r="E62" s="81"/>
      <c r="F62" s="81"/>
      <c r="G62" s="81"/>
      <c r="H62" s="81"/>
    </row>
    <row r="63" spans="2:8" ht="48" customHeight="1" x14ac:dyDescent="0.3">
      <c r="B63" s="117" t="s">
        <v>674</v>
      </c>
      <c r="C63" s="117"/>
      <c r="D63" s="117"/>
      <c r="E63" s="117"/>
      <c r="F63" s="117"/>
      <c r="G63" s="117"/>
      <c r="H63" s="117"/>
    </row>
    <row r="64" spans="2:8" hidden="1" x14ac:dyDescent="0.3">
      <c r="B64" s="117"/>
      <c r="C64" s="117"/>
      <c r="D64" s="117"/>
      <c r="E64" s="117"/>
      <c r="F64" s="117"/>
      <c r="G64" s="117"/>
      <c r="H64" s="117"/>
    </row>
    <row r="65" spans="2:8" x14ac:dyDescent="0.3">
      <c r="B65" s="38"/>
      <c r="C65" s="38"/>
      <c r="D65" s="38"/>
      <c r="E65" s="38"/>
      <c r="F65" s="38"/>
      <c r="G65" s="38"/>
      <c r="H65" s="38"/>
    </row>
    <row r="66" spans="2:8" x14ac:dyDescent="0.3">
      <c r="B66" s="83" t="str">
        <f>IF(기초자료입력!C8&lt;&gt;"",TEXT(기초자료입력!C8,"yyyy. m. d."),"20○○. ○○. ○○.")</f>
        <v>20○○. ○○. ○○.</v>
      </c>
      <c r="C66" s="83"/>
      <c r="D66" s="83"/>
      <c r="E66" s="83"/>
      <c r="F66" s="83"/>
      <c r="G66" s="83"/>
      <c r="H66" s="83"/>
    </row>
    <row r="67" spans="2:8" x14ac:dyDescent="0.3">
      <c r="B67" s="38"/>
      <c r="C67" s="38"/>
      <c r="D67" s="38"/>
      <c r="E67" s="38"/>
      <c r="F67" s="38"/>
      <c r="G67" s="38"/>
      <c r="H67" s="38"/>
    </row>
    <row r="68" spans="2:8" x14ac:dyDescent="0.3">
      <c r="B68" s="82" t="str">
        <f>IF(기초자료입력!C4&lt;&gt;"",기초자료입력!C4&amp;"장","○○○○학교장")</f>
        <v>○○○○학교장</v>
      </c>
      <c r="C68" s="83"/>
      <c r="D68" s="83"/>
      <c r="E68" s="83"/>
      <c r="F68" s="83"/>
      <c r="G68" s="83"/>
      <c r="H68" s="83"/>
    </row>
    <row r="69" spans="2:8" x14ac:dyDescent="0.3">
      <c r="B69" s="38"/>
      <c r="C69" s="38"/>
      <c r="D69" s="38"/>
      <c r="E69" s="38"/>
      <c r="F69" s="38"/>
      <c r="G69" s="38"/>
      <c r="H69" s="38"/>
    </row>
    <row r="70" spans="2:8" x14ac:dyDescent="0.3">
      <c r="B70" s="38"/>
      <c r="C70" s="38"/>
      <c r="D70" s="38"/>
      <c r="E70" s="38"/>
      <c r="F70" s="38"/>
      <c r="G70" s="38"/>
      <c r="H70" s="38"/>
    </row>
    <row r="71" spans="2:8" ht="32.1" customHeight="1" x14ac:dyDescent="0.3">
      <c r="B71" s="91" t="str">
        <f>"붙임  1. "&amp;IF(기초자료입력!C5&lt;&gt;"",기초자료입력!C5,"20○○")&amp;"학년도 교복 학교주관구매 계약 특수조건 1부.  2. 교복 디자인 및 규격서 1부.  3. 제안서 평가항목 및 배점기준 1부.  끝."</f>
        <v>붙임  1. 20○○학년도 교복 학교주관구매 계약 특수조건 1부.  2. 교복 디자인 및 규격서 1부.  3. 제안서 평가항목 및 배점기준 1부.  끝.</v>
      </c>
      <c r="C71" s="91"/>
      <c r="D71" s="91"/>
      <c r="E71" s="91"/>
      <c r="F71" s="91"/>
      <c r="G71" s="91"/>
      <c r="H71" s="91"/>
    </row>
  </sheetData>
  <mergeCells count="31">
    <mergeCell ref="B31:H32"/>
    <mergeCell ref="B3:H3"/>
    <mergeCell ref="B5:H6"/>
    <mergeCell ref="B7:H7"/>
    <mergeCell ref="B9:H10"/>
    <mergeCell ref="B12:H12"/>
    <mergeCell ref="C20:H20"/>
    <mergeCell ref="B22:H22"/>
    <mergeCell ref="B23:H24"/>
    <mergeCell ref="B26:H26"/>
    <mergeCell ref="B27:H28"/>
    <mergeCell ref="B30:H30"/>
    <mergeCell ref="B55:H56"/>
    <mergeCell ref="B34:H34"/>
    <mergeCell ref="B35:H36"/>
    <mergeCell ref="B38:H38"/>
    <mergeCell ref="B39:H40"/>
    <mergeCell ref="B42:H42"/>
    <mergeCell ref="B43:H44"/>
    <mergeCell ref="B46:H46"/>
    <mergeCell ref="B47:H48"/>
    <mergeCell ref="B50:H50"/>
    <mergeCell ref="B51:H52"/>
    <mergeCell ref="B54:H54"/>
    <mergeCell ref="B71:H71"/>
    <mergeCell ref="B58:H58"/>
    <mergeCell ref="B59:H60"/>
    <mergeCell ref="B62:H62"/>
    <mergeCell ref="B63:H64"/>
    <mergeCell ref="B66:H66"/>
    <mergeCell ref="B68:H68"/>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B4ED8-2E11-4A89-82FB-F6F0E2958913}">
  <sheetPr codeName="Sheet31"/>
  <dimension ref="A1:H29"/>
  <sheetViews>
    <sheetView workbookViewId="0"/>
  </sheetViews>
  <sheetFormatPr defaultRowHeight="16.5" x14ac:dyDescent="0.3"/>
  <cols>
    <col min="1" max="1" width="3.125" customWidth="1"/>
    <col min="2" max="2" width="12.625" customWidth="1"/>
    <col min="3" max="8" width="9.625" customWidth="1"/>
  </cols>
  <sheetData>
    <row r="1" spans="1:8" x14ac:dyDescent="0.3">
      <c r="A1" s="20" t="s">
        <v>633</v>
      </c>
    </row>
    <row r="3" spans="1:8" x14ac:dyDescent="0.3">
      <c r="B3" s="92" t="str">
        <f>IF(기초자료입력!C22&lt;&gt;"",기초자료입력!C22,IF(기초자료입력!C5&lt;&gt;"",기초자료입력!C5,"20○○")&amp;"학년도 학생 교복 입찰 사전규격 공개")</f>
        <v>20○○학년도 학생 교복 입찰 사전규격 공개</v>
      </c>
      <c r="C3" s="93"/>
      <c r="D3" s="93"/>
      <c r="E3" s="93"/>
      <c r="F3" s="93"/>
      <c r="G3" s="93"/>
      <c r="H3" s="93"/>
    </row>
    <row r="4" spans="1:8" x14ac:dyDescent="0.3">
      <c r="B4" s="93"/>
      <c r="C4" s="93"/>
      <c r="D4" s="93"/>
      <c r="E4" s="93"/>
      <c r="F4" s="93"/>
      <c r="G4" s="93"/>
      <c r="H4" s="93"/>
    </row>
    <row r="5" spans="1:8" x14ac:dyDescent="0.3">
      <c r="B5" s="54" t="s">
        <v>25</v>
      </c>
      <c r="C5" s="59" t="str">
        <f>IF(기초자료입력!C9&lt;&gt;"",기초자료입력!C9,"")</f>
        <v/>
      </c>
      <c r="D5" s="59"/>
      <c r="E5" s="54" t="s">
        <v>289</v>
      </c>
      <c r="F5" s="59" t="str">
        <f>IF(기초자료입력!C8&lt;&gt;"",TEXT(기초자료입력!C8,"yyyy-mm-dd"),"")</f>
        <v/>
      </c>
      <c r="G5" s="59"/>
      <c r="H5" s="59"/>
    </row>
    <row r="6" spans="1:8" x14ac:dyDescent="0.3">
      <c r="B6" s="59"/>
      <c r="C6" s="59"/>
      <c r="D6" s="59"/>
      <c r="E6" s="59"/>
      <c r="F6" s="59"/>
      <c r="G6" s="59"/>
      <c r="H6" s="59"/>
    </row>
    <row r="7" spans="1:8" x14ac:dyDescent="0.3">
      <c r="B7" s="54" t="s">
        <v>290</v>
      </c>
      <c r="C7" s="94" t="s">
        <v>510</v>
      </c>
      <c r="D7" s="94"/>
      <c r="E7" s="94"/>
      <c r="F7" s="94"/>
      <c r="G7" s="94"/>
      <c r="H7" s="94"/>
    </row>
    <row r="8" spans="1:8" x14ac:dyDescent="0.3">
      <c r="B8" s="54" t="s">
        <v>297</v>
      </c>
      <c r="C8" s="94"/>
      <c r="D8" s="94"/>
      <c r="E8" s="94"/>
      <c r="F8" s="94"/>
      <c r="G8" s="94"/>
      <c r="H8" s="94"/>
    </row>
    <row r="9" spans="1:8" x14ac:dyDescent="0.3">
      <c r="B9" s="54" t="s">
        <v>291</v>
      </c>
      <c r="C9" s="94" t="str">
        <f>IF(기초자료입력!C22&lt;&gt;"",기초자료입력!C22,"")</f>
        <v/>
      </c>
      <c r="D9" s="94"/>
      <c r="E9" s="94"/>
      <c r="F9" s="94"/>
      <c r="G9" s="94"/>
      <c r="H9" s="94"/>
    </row>
    <row r="10" spans="1:8" x14ac:dyDescent="0.3">
      <c r="B10" s="58"/>
      <c r="C10" s="58"/>
      <c r="D10" s="58"/>
      <c r="E10" s="58"/>
      <c r="F10" s="58"/>
      <c r="G10" s="58"/>
      <c r="H10" s="58"/>
    </row>
    <row r="11" spans="1:8" x14ac:dyDescent="0.3">
      <c r="B11" s="114" t="s">
        <v>634</v>
      </c>
      <c r="C11" s="91"/>
      <c r="D11" s="91"/>
      <c r="E11" s="91"/>
      <c r="F11" s="91"/>
      <c r="G11" s="91"/>
      <c r="H11" s="91"/>
    </row>
    <row r="12" spans="1:8" x14ac:dyDescent="0.3">
      <c r="B12" s="91"/>
      <c r="C12" s="91"/>
      <c r="D12" s="91"/>
      <c r="E12" s="91"/>
      <c r="F12" s="91"/>
      <c r="G12" s="91"/>
      <c r="H12" s="91"/>
    </row>
    <row r="13" spans="1:8" x14ac:dyDescent="0.3">
      <c r="B13" s="58"/>
      <c r="C13" s="58"/>
      <c r="D13" s="58"/>
      <c r="E13" s="58"/>
      <c r="F13" s="58"/>
      <c r="G13" s="58"/>
      <c r="H13" s="58"/>
    </row>
    <row r="14" spans="1:8" x14ac:dyDescent="0.3">
      <c r="B14" s="91" t="str">
        <f>"2. "&amp;IF(기초자료입력!C5&lt;&gt;"",기초자료입력!C5,"20○○")&amp;"학년도 학생 교복 구입에 대한 물품 구매 규격(사양서)을 사전 공개하고자 합니다."</f>
        <v>2. 20○○학년도 학생 교복 구입에 대한 물품 구매 규격(사양서)을 사전 공개하고자 합니다.</v>
      </c>
      <c r="C14" s="91"/>
      <c r="D14" s="91"/>
      <c r="E14" s="91"/>
      <c r="F14" s="91"/>
      <c r="G14" s="91"/>
      <c r="H14" s="91"/>
    </row>
    <row r="15" spans="1:8" x14ac:dyDescent="0.3">
      <c r="B15" s="91"/>
      <c r="C15" s="91"/>
      <c r="D15" s="91"/>
      <c r="E15" s="91"/>
      <c r="F15" s="91"/>
      <c r="G15" s="91"/>
      <c r="H15" s="91"/>
    </row>
    <row r="16" spans="1:8" x14ac:dyDescent="0.3">
      <c r="B16" s="58"/>
      <c r="C16" s="58"/>
      <c r="D16" s="58"/>
      <c r="E16" s="58"/>
      <c r="F16" s="58"/>
      <c r="G16" s="58"/>
      <c r="H16" s="58"/>
    </row>
    <row r="17" spans="2:8" x14ac:dyDescent="0.3">
      <c r="B17" s="53" t="s">
        <v>635</v>
      </c>
      <c r="C17" s="58" t="str">
        <f>IF(기초자료입력!C12&lt;&gt;"",기초자료입력!C12,"")</f>
        <v/>
      </c>
      <c r="D17" s="58"/>
      <c r="E17" s="58"/>
      <c r="F17" s="58"/>
      <c r="G17" s="58"/>
      <c r="H17" s="58"/>
    </row>
    <row r="18" spans="2:8" x14ac:dyDescent="0.3">
      <c r="B18" s="53" t="s">
        <v>636</v>
      </c>
      <c r="C18" s="58" t="str">
        <f>IF(기초자료입력!C15&lt;&gt;"","단가 "&amp;TEXT(기초자료입력!C15,"#,##0")&amp;"원","")</f>
        <v/>
      </c>
      <c r="D18" s="58"/>
      <c r="E18" s="58"/>
      <c r="F18" s="58"/>
      <c r="G18" s="58"/>
      <c r="H18" s="58"/>
    </row>
    <row r="19" spans="2:8" x14ac:dyDescent="0.3">
      <c r="B19" s="53" t="s">
        <v>637</v>
      </c>
      <c r="C19" s="58" t="str">
        <f>IF(AND(기초자료입력!C15&lt;&gt;"",기초자료입력!C16&lt;&gt;""),TEXT(기초자료입력!C15,"#,##0")&amp;"원×"&amp;기초자료입력!C16&amp;"벌","")</f>
        <v/>
      </c>
      <c r="D19" s="58"/>
      <c r="E19" s="58"/>
      <c r="F19" s="58"/>
      <c r="G19" s="58"/>
      <c r="H19" s="58"/>
    </row>
    <row r="20" spans="2:8" x14ac:dyDescent="0.3">
      <c r="B20" s="53" t="s">
        <v>638</v>
      </c>
      <c r="C20" s="58" t="s">
        <v>642</v>
      </c>
      <c r="D20" s="58"/>
      <c r="E20" s="58"/>
      <c r="F20" s="58"/>
      <c r="G20" s="58"/>
      <c r="H20" s="58"/>
    </row>
    <row r="21" spans="2:8" x14ac:dyDescent="0.3">
      <c r="B21" s="53" t="s">
        <v>639</v>
      </c>
      <c r="C21" s="58" t="str">
        <f>IF(기초자료입력!C5&lt;&gt;"",기초자료입력!C5&amp;"학년도 학생 교복사양서","")</f>
        <v/>
      </c>
      <c r="D21" s="58"/>
      <c r="E21" s="58"/>
      <c r="F21" s="58"/>
      <c r="G21" s="58"/>
      <c r="H21" s="58"/>
    </row>
    <row r="22" spans="2:8" x14ac:dyDescent="0.3">
      <c r="B22" s="53" t="s">
        <v>640</v>
      </c>
      <c r="C22" s="58" t="str">
        <f>IF(기초자료입력!C18&lt;&gt;"",TEXT(기초자료입력!C18-5,"yyyy. m. d.")&amp;" ~ "&amp;TEXT(기초자료입력!C18,"yyyy. m. d."),"")</f>
        <v/>
      </c>
      <c r="D22" s="58"/>
      <c r="E22" s="58"/>
      <c r="F22" s="58"/>
      <c r="G22" s="58"/>
      <c r="H22" s="58"/>
    </row>
    <row r="23" spans="2:8" x14ac:dyDescent="0.3">
      <c r="B23" s="53" t="s">
        <v>641</v>
      </c>
      <c r="C23" s="58" t="str">
        <f>IF(기초자료입력!C18&lt;&gt;"",TEXT(기초자료입력!C18,"yyyy. m. d. (aaa) hh:mm"),"")</f>
        <v/>
      </c>
      <c r="D23" s="58"/>
      <c r="E23" s="58"/>
      <c r="F23" s="58"/>
      <c r="G23" s="58"/>
      <c r="H23" s="58"/>
    </row>
    <row r="24" spans="2:8" x14ac:dyDescent="0.3">
      <c r="B24" s="58"/>
      <c r="C24" s="58"/>
      <c r="D24" s="58"/>
      <c r="E24" s="58"/>
      <c r="F24" s="58"/>
      <c r="G24" s="58"/>
      <c r="H24" s="58"/>
    </row>
    <row r="25" spans="2:8" x14ac:dyDescent="0.3">
      <c r="B25" s="86" t="str">
        <f>"붙임 "&amp;IF(기초자료입력!C5&lt;&gt;"",기초자료입력!C5,"20○○")&amp;"학년도 학생 교복사양서 1부. 끝."</f>
        <v>붙임 20○○학년도 학생 교복사양서 1부. 끝.</v>
      </c>
      <c r="C25" s="81"/>
      <c r="D25" s="81"/>
      <c r="E25" s="81"/>
      <c r="F25" s="81"/>
      <c r="G25" s="81"/>
      <c r="H25" s="81"/>
    </row>
    <row r="26" spans="2:8" x14ac:dyDescent="0.3">
      <c r="B26" s="58"/>
      <c r="C26" s="58"/>
      <c r="D26" s="58"/>
      <c r="E26" s="58"/>
      <c r="F26" s="58"/>
      <c r="G26" s="58"/>
      <c r="H26" s="58"/>
    </row>
    <row r="27" spans="2:8" x14ac:dyDescent="0.3">
      <c r="B27" s="58"/>
      <c r="C27" s="58"/>
      <c r="D27" s="58"/>
      <c r="E27" s="58"/>
      <c r="F27" s="58"/>
      <c r="G27" s="58"/>
      <c r="H27" s="58"/>
    </row>
    <row r="28" spans="2:8" x14ac:dyDescent="0.3">
      <c r="B28" s="58"/>
      <c r="C28" s="58"/>
      <c r="D28" s="58"/>
      <c r="E28" s="58"/>
      <c r="F28" s="54" t="s">
        <v>293</v>
      </c>
      <c r="G28" s="54" t="s">
        <v>304</v>
      </c>
      <c r="H28" s="54" t="s">
        <v>294</v>
      </c>
    </row>
    <row r="29" spans="2:8" x14ac:dyDescent="0.3">
      <c r="B29" s="53" t="s">
        <v>305</v>
      </c>
      <c r="C29" s="81"/>
      <c r="D29" s="81"/>
      <c r="E29" s="81"/>
      <c r="F29" s="54" t="s">
        <v>306</v>
      </c>
      <c r="G29" s="94"/>
      <c r="H29" s="94"/>
    </row>
  </sheetData>
  <mergeCells count="9">
    <mergeCell ref="B25:H25"/>
    <mergeCell ref="C29:E29"/>
    <mergeCell ref="G29:H29"/>
    <mergeCell ref="B3:H4"/>
    <mergeCell ref="C7:H7"/>
    <mergeCell ref="C8:H8"/>
    <mergeCell ref="C9:H9"/>
    <mergeCell ref="B11:H12"/>
    <mergeCell ref="B14:H15"/>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D1FB9-447E-4DD1-A9B0-9A3B98388E3A}">
  <sheetPr codeName="Sheet32"/>
  <dimension ref="A1:H30"/>
  <sheetViews>
    <sheetView workbookViewId="0"/>
  </sheetViews>
  <sheetFormatPr defaultRowHeight="16.5" x14ac:dyDescent="0.3"/>
  <cols>
    <col min="1" max="1" width="3.125" customWidth="1"/>
    <col min="2" max="2" width="10.625" customWidth="1"/>
    <col min="3" max="8" width="9.625" customWidth="1"/>
  </cols>
  <sheetData>
    <row r="1" spans="1:8" x14ac:dyDescent="0.3">
      <c r="A1" s="20" t="s">
        <v>623</v>
      </c>
    </row>
    <row r="3" spans="1:8" x14ac:dyDescent="0.3">
      <c r="B3" s="92" t="s">
        <v>624</v>
      </c>
      <c r="C3" s="93"/>
      <c r="D3" s="93"/>
      <c r="E3" s="93"/>
      <c r="F3" s="93"/>
      <c r="G3" s="93"/>
      <c r="H3" s="93"/>
    </row>
    <row r="4" spans="1:8" x14ac:dyDescent="0.3">
      <c r="B4" s="93"/>
      <c r="C4" s="93"/>
      <c r="D4" s="93"/>
      <c r="E4" s="93"/>
      <c r="F4" s="93"/>
      <c r="G4" s="93"/>
      <c r="H4" s="93"/>
    </row>
    <row r="5" spans="1:8" x14ac:dyDescent="0.3">
      <c r="B5" s="54" t="s">
        <v>25</v>
      </c>
      <c r="C5" s="59" t="str">
        <f>IF(기초자료입력!C9&lt;&gt;"",기초자료입력!C9,"")</f>
        <v/>
      </c>
      <c r="D5" s="59"/>
      <c r="E5" s="54" t="s">
        <v>289</v>
      </c>
      <c r="F5" s="59" t="str">
        <f>IF(기초자료입력!C8&lt;&gt;"",TEXT(기초자료입력!C8,"yyyy-mm-dd"),"")</f>
        <v/>
      </c>
      <c r="G5" s="59"/>
      <c r="H5" s="59"/>
    </row>
    <row r="6" spans="1:8" x14ac:dyDescent="0.3">
      <c r="B6" s="59"/>
      <c r="C6" s="59"/>
      <c r="D6" s="59"/>
      <c r="E6" s="59"/>
      <c r="F6" s="59"/>
      <c r="G6" s="59"/>
      <c r="H6" s="59"/>
    </row>
    <row r="7" spans="1:8" x14ac:dyDescent="0.3">
      <c r="B7" s="54" t="s">
        <v>290</v>
      </c>
      <c r="C7" s="94" t="s">
        <v>510</v>
      </c>
      <c r="D7" s="94"/>
      <c r="E7" s="94"/>
      <c r="F7" s="94"/>
      <c r="G7" s="94"/>
      <c r="H7" s="94"/>
    </row>
    <row r="8" spans="1:8" x14ac:dyDescent="0.3">
      <c r="B8" s="54" t="s">
        <v>297</v>
      </c>
      <c r="C8" s="94"/>
      <c r="D8" s="94"/>
      <c r="E8" s="94"/>
      <c r="F8" s="94"/>
      <c r="G8" s="94"/>
      <c r="H8" s="94"/>
    </row>
    <row r="9" spans="1:8" x14ac:dyDescent="0.3">
      <c r="B9" s="54" t="s">
        <v>291</v>
      </c>
      <c r="C9" s="94" t="str">
        <f>IF(기초자료입력!C22&lt;&gt;"",기초자료입력!C22,IF(기초자료입력!C5&lt;&gt;"",기초자료입력!C5,"20○○")&amp;"학년도 교복 학교주관구매 기초금액 및 계약방법 결정")</f>
        <v>20○○학년도 교복 학교주관구매 기초금액 및 계약방법 결정</v>
      </c>
      <c r="D9" s="94"/>
      <c r="E9" s="94"/>
      <c r="F9" s="94"/>
      <c r="G9" s="94"/>
      <c r="H9" s="94"/>
    </row>
    <row r="10" spans="1:8" x14ac:dyDescent="0.3">
      <c r="B10" s="58"/>
      <c r="C10" s="58"/>
      <c r="D10" s="58"/>
      <c r="E10" s="58"/>
      <c r="F10" s="58"/>
      <c r="G10" s="58"/>
      <c r="H10" s="58"/>
    </row>
    <row r="11" spans="1:8" x14ac:dyDescent="0.3">
      <c r="B11" s="114" t="s">
        <v>625</v>
      </c>
      <c r="C11" s="91"/>
      <c r="D11" s="91"/>
      <c r="E11" s="91"/>
      <c r="F11" s="91"/>
      <c r="G11" s="91"/>
      <c r="H11" s="91"/>
    </row>
    <row r="12" spans="1:8" x14ac:dyDescent="0.3">
      <c r="B12" s="91"/>
      <c r="C12" s="91"/>
      <c r="D12" s="91"/>
      <c r="E12" s="91"/>
      <c r="F12" s="91"/>
      <c r="G12" s="91"/>
      <c r="H12" s="91"/>
    </row>
    <row r="13" spans="1:8" x14ac:dyDescent="0.3">
      <c r="B13" s="58"/>
      <c r="C13" s="58"/>
      <c r="D13" s="58"/>
      <c r="E13" s="58"/>
      <c r="F13" s="58"/>
      <c r="G13" s="58"/>
      <c r="H13" s="58"/>
    </row>
    <row r="14" spans="1:8" x14ac:dyDescent="0.3">
      <c r="B14" s="91" t="str">
        <f>"2. "&amp;IF(기초자료입력!C5&lt;&gt;"",기초자료입력!C5,"20○○")&amp;"학년도 교복 학교주관구매를 위하여 아래와 같이 기초금액을 결정하고 계약상대자를 결정하고자 합니다."</f>
        <v>2. 20○○학년도 교복 학교주관구매를 위하여 아래와 같이 기초금액을 결정하고 계약상대자를 결정하고자 합니다.</v>
      </c>
      <c r="C14" s="91"/>
      <c r="D14" s="91"/>
      <c r="E14" s="91"/>
      <c r="F14" s="91"/>
      <c r="G14" s="91"/>
      <c r="H14" s="91"/>
    </row>
    <row r="15" spans="1:8" x14ac:dyDescent="0.3">
      <c r="B15" s="91"/>
      <c r="C15" s="91"/>
      <c r="D15" s="91"/>
      <c r="E15" s="91"/>
      <c r="F15" s="91"/>
      <c r="G15" s="91"/>
      <c r="H15" s="91"/>
    </row>
    <row r="16" spans="1:8" x14ac:dyDescent="0.3">
      <c r="B16" s="58"/>
      <c r="C16" s="58"/>
      <c r="D16" s="58"/>
      <c r="E16" s="58"/>
      <c r="F16" s="58"/>
      <c r="G16" s="58"/>
      <c r="H16" s="58"/>
    </row>
    <row r="17" spans="2:8" x14ac:dyDescent="0.3">
      <c r="B17" s="53" t="s">
        <v>626</v>
      </c>
      <c r="C17" s="81" t="str">
        <f>IF(기초자료입력!C12&lt;&gt;"",기초자료입력!C12,"")</f>
        <v/>
      </c>
      <c r="D17" s="81"/>
      <c r="E17" s="81"/>
      <c r="F17" s="81"/>
      <c r="G17" s="81"/>
      <c r="H17" s="81"/>
    </row>
    <row r="18" spans="2:8" x14ac:dyDescent="0.3">
      <c r="B18" s="53" t="s">
        <v>627</v>
      </c>
      <c r="C18" s="81" t="s">
        <v>628</v>
      </c>
      <c r="D18" s="81"/>
      <c r="E18" s="81"/>
      <c r="F18" s="81"/>
      <c r="G18" s="81"/>
      <c r="H18" s="81"/>
    </row>
    <row r="19" spans="2:8" x14ac:dyDescent="0.3">
      <c r="B19" s="53" t="s">
        <v>629</v>
      </c>
      <c r="C19" s="81" t="str">
        <f>IF(기초자료입력!C15&lt;&gt;"","금"&amp;TEXT(기초자료입력!C15,"#,##0")&amp;"원","")</f>
        <v/>
      </c>
      <c r="D19" s="81"/>
      <c r="E19" s="81"/>
      <c r="F19" s="81"/>
      <c r="G19" s="81"/>
      <c r="H19" s="81"/>
    </row>
    <row r="20" spans="2:8" x14ac:dyDescent="0.3">
      <c r="B20" s="53" t="s">
        <v>630</v>
      </c>
      <c r="C20" s="81" t="str">
        <f>IF(기초자료입력!C17&lt;&gt;"",TEXT(기초자료입력!C17,"yyyy. m. d."),"")</f>
        <v/>
      </c>
      <c r="D20" s="81"/>
      <c r="E20" s="81"/>
      <c r="F20" s="81"/>
      <c r="G20" s="81"/>
      <c r="H20" s="81"/>
    </row>
    <row r="21" spans="2:8" x14ac:dyDescent="0.3">
      <c r="B21" s="53" t="s">
        <v>631</v>
      </c>
      <c r="C21" s="91" t="str">
        <f>IF(기초자료입력!C14&lt;&gt;"",기초자료입력!C14,"2단계 입찰(규격, 가격 동시입찰)")</f>
        <v>2단계 입찰(규격, 가격 동시입찰)</v>
      </c>
      <c r="D21" s="91"/>
      <c r="E21" s="91"/>
      <c r="F21" s="91"/>
      <c r="G21" s="91"/>
      <c r="H21" s="91"/>
    </row>
    <row r="22" spans="2:8" x14ac:dyDescent="0.3">
      <c r="B22" s="58"/>
      <c r="C22" s="91"/>
      <c r="D22" s="91"/>
      <c r="E22" s="91"/>
      <c r="F22" s="91"/>
      <c r="G22" s="91"/>
      <c r="H22" s="91"/>
    </row>
    <row r="23" spans="2:8" x14ac:dyDescent="0.3">
      <c r="B23" s="58"/>
      <c r="C23" s="58"/>
      <c r="D23" s="58"/>
      <c r="E23" s="58"/>
      <c r="F23" s="58"/>
      <c r="G23" s="58"/>
      <c r="H23" s="58"/>
    </row>
    <row r="24" spans="2:8" x14ac:dyDescent="0.3">
      <c r="B24" s="86" t="s">
        <v>632</v>
      </c>
      <c r="C24" s="81"/>
      <c r="D24" s="81"/>
      <c r="E24" s="81"/>
      <c r="F24" s="81"/>
      <c r="G24" s="81"/>
      <c r="H24" s="81"/>
    </row>
    <row r="25" spans="2:8" x14ac:dyDescent="0.3">
      <c r="B25" s="58"/>
      <c r="C25" s="58"/>
      <c r="D25" s="58"/>
      <c r="E25" s="58"/>
      <c r="F25" s="58"/>
      <c r="G25" s="58"/>
      <c r="H25" s="58"/>
    </row>
    <row r="26" spans="2:8" x14ac:dyDescent="0.3">
      <c r="B26" s="58"/>
      <c r="C26" s="58"/>
      <c r="D26" s="58"/>
      <c r="E26" s="58"/>
      <c r="F26" s="58"/>
      <c r="G26" s="58"/>
      <c r="H26" s="58"/>
    </row>
    <row r="27" spans="2:8" x14ac:dyDescent="0.3">
      <c r="B27" s="58"/>
      <c r="C27" s="58"/>
      <c r="D27" s="58"/>
      <c r="E27" s="58"/>
      <c r="F27" s="54" t="s">
        <v>293</v>
      </c>
      <c r="G27" s="54" t="s">
        <v>304</v>
      </c>
      <c r="H27" s="54" t="s">
        <v>294</v>
      </c>
    </row>
    <row r="28" spans="2:8" x14ac:dyDescent="0.3">
      <c r="B28" s="53" t="s">
        <v>305</v>
      </c>
      <c r="C28" s="81"/>
      <c r="D28" s="81"/>
      <c r="E28" s="81"/>
      <c r="F28" s="54" t="s">
        <v>306</v>
      </c>
      <c r="G28" s="94"/>
      <c r="H28" s="94"/>
    </row>
    <row r="29" spans="2:8" x14ac:dyDescent="0.3">
      <c r="B29" s="53" t="s">
        <v>307</v>
      </c>
      <c r="C29" s="58"/>
      <c r="D29" s="53" t="s">
        <v>308</v>
      </c>
      <c r="E29" s="81"/>
      <c r="F29" s="94"/>
      <c r="G29" s="94"/>
      <c r="H29" s="94"/>
    </row>
    <row r="30" spans="2:8" x14ac:dyDescent="0.3">
      <c r="B30" s="53" t="s">
        <v>309</v>
      </c>
      <c r="C30" s="58"/>
      <c r="D30" s="53" t="s">
        <v>310</v>
      </c>
      <c r="E30" s="58"/>
      <c r="F30" s="54" t="s">
        <v>311</v>
      </c>
      <c r="G30" s="94"/>
      <c r="H30" s="94"/>
    </row>
  </sheetData>
  <mergeCells count="16">
    <mergeCell ref="B14:H15"/>
    <mergeCell ref="B3:H4"/>
    <mergeCell ref="C7:H7"/>
    <mergeCell ref="C8:H8"/>
    <mergeCell ref="C9:H9"/>
    <mergeCell ref="B11:H12"/>
    <mergeCell ref="C28:E28"/>
    <mergeCell ref="G28:H28"/>
    <mergeCell ref="E29:H29"/>
    <mergeCell ref="G30:H30"/>
    <mergeCell ref="C17:H17"/>
    <mergeCell ref="C18:H18"/>
    <mergeCell ref="C19:H19"/>
    <mergeCell ref="C20:H20"/>
    <mergeCell ref="C21:H22"/>
    <mergeCell ref="B24:H24"/>
  </mergeCells>
  <phoneticPr fontId="6" type="noConversion"/>
  <pageMargins left="0.39370138888888889" right="0.39370138888888889" top="0.39370138888888889" bottom="0.39370138888888889" header="0.3" footer="0.3"/>
  <pageSetup paperSize="9" fitToWidth="0" fitToHeight="0"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36B0E-30CB-4402-9865-97532CACED7D}">
  <sheetPr codeName="Sheet33"/>
  <dimension ref="A1:H40"/>
  <sheetViews>
    <sheetView workbookViewId="0"/>
  </sheetViews>
  <sheetFormatPr defaultRowHeight="16.5" x14ac:dyDescent="0.3"/>
  <cols>
    <col min="1" max="1" width="3.125" customWidth="1"/>
    <col min="2" max="2" width="10.625" customWidth="1"/>
    <col min="3" max="8" width="9.625" customWidth="1"/>
  </cols>
  <sheetData>
    <row r="1" spans="1:8" x14ac:dyDescent="0.3">
      <c r="A1" s="20" t="s">
        <v>604</v>
      </c>
    </row>
    <row r="3" spans="1:8" x14ac:dyDescent="0.3">
      <c r="B3" s="79" t="str">
        <f>IF(기초자료입력!C4&lt;&gt;"",기초자료입력!C4,"○○학교")&amp;" 교복 학교주관구매 계획(안)"</f>
        <v>○○학교 교복 학교주관구매 계획(안)</v>
      </c>
      <c r="C3" s="78"/>
      <c r="D3" s="78"/>
      <c r="E3" s="78"/>
      <c r="F3" s="78"/>
      <c r="G3" s="78"/>
      <c r="H3" s="78"/>
    </row>
    <row r="4" spans="1:8" x14ac:dyDescent="0.3">
      <c r="B4" s="78"/>
      <c r="C4" s="78"/>
      <c r="D4" s="78"/>
      <c r="E4" s="78"/>
      <c r="F4" s="78"/>
      <c r="G4" s="78"/>
      <c r="H4" s="78"/>
    </row>
    <row r="5" spans="1:8" x14ac:dyDescent="0.3">
      <c r="B5" s="21"/>
      <c r="C5" s="21"/>
      <c r="D5" s="21"/>
      <c r="E5" s="21"/>
      <c r="F5" s="21"/>
      <c r="G5" s="21"/>
      <c r="H5" s="21"/>
    </row>
    <row r="6" spans="1:8" x14ac:dyDescent="0.3">
      <c r="B6" s="25" t="s">
        <v>605</v>
      </c>
      <c r="C6" s="119"/>
      <c r="D6" s="119"/>
      <c r="E6" s="119"/>
      <c r="F6" s="119"/>
      <c r="G6" s="119"/>
      <c r="H6" s="119"/>
    </row>
    <row r="7" spans="1:8" x14ac:dyDescent="0.3">
      <c r="B7" s="25" t="s">
        <v>606</v>
      </c>
      <c r="C7" s="119"/>
      <c r="D7" s="119"/>
      <c r="E7" s="119"/>
      <c r="F7" s="119"/>
      <c r="G7" s="119"/>
      <c r="H7" s="119"/>
    </row>
    <row r="8" spans="1:8" x14ac:dyDescent="0.3">
      <c r="B8" s="25" t="s">
        <v>607</v>
      </c>
      <c r="C8" s="119"/>
      <c r="D8" s="119"/>
      <c r="E8" s="119"/>
      <c r="F8" s="119"/>
      <c r="G8" s="119"/>
      <c r="H8" s="119"/>
    </row>
    <row r="9" spans="1:8" x14ac:dyDescent="0.3">
      <c r="B9" s="25" t="s">
        <v>608</v>
      </c>
      <c r="C9" s="119"/>
      <c r="D9" s="119"/>
      <c r="E9" s="119"/>
      <c r="F9" s="119"/>
      <c r="G9" s="119"/>
      <c r="H9" s="119"/>
    </row>
    <row r="10" spans="1:8" x14ac:dyDescent="0.3">
      <c r="B10" s="21"/>
      <c r="C10" s="21"/>
      <c r="D10" s="21"/>
      <c r="E10" s="21"/>
      <c r="F10" s="21"/>
      <c r="G10" s="21"/>
      <c r="H10" s="21"/>
    </row>
    <row r="11" spans="1:8" x14ac:dyDescent="0.3">
      <c r="B11" s="89" t="s">
        <v>609</v>
      </c>
      <c r="C11" s="88"/>
      <c r="D11" s="88"/>
      <c r="E11" s="88"/>
      <c r="F11" s="88"/>
      <c r="G11" s="88"/>
      <c r="H11" s="88"/>
    </row>
    <row r="12" spans="1:8" x14ac:dyDescent="0.3">
      <c r="B12" s="88" t="s">
        <v>610</v>
      </c>
      <c r="C12" s="88"/>
      <c r="D12" s="88"/>
      <c r="E12" s="88"/>
      <c r="F12" s="88"/>
      <c r="G12" s="88"/>
      <c r="H12" s="88"/>
    </row>
    <row r="13" spans="1:8" ht="27.95" customHeight="1" x14ac:dyDescent="0.3">
      <c r="B13" s="77"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○○학교 ○○학년도 교복 학교주관구매 계획(안)을 심의하고자 함.</v>
      </c>
      <c r="C13" s="77"/>
      <c r="D13" s="77"/>
      <c r="E13" s="77"/>
      <c r="F13" s="77"/>
      <c r="G13" s="77"/>
      <c r="H13" s="77"/>
    </row>
    <row r="14" spans="1:8" x14ac:dyDescent="0.3">
      <c r="B14" s="21"/>
      <c r="C14" s="21"/>
      <c r="D14" s="21"/>
      <c r="E14" s="21"/>
      <c r="F14" s="21"/>
      <c r="G14" s="21"/>
      <c r="H14" s="21"/>
    </row>
    <row r="15" spans="1:8" x14ac:dyDescent="0.3">
      <c r="B15" s="89" t="s">
        <v>611</v>
      </c>
      <c r="C15" s="88"/>
      <c r="D15" s="88"/>
      <c r="E15" s="88"/>
      <c r="F15" s="88"/>
      <c r="G15" s="88"/>
      <c r="H15" s="88"/>
    </row>
    <row r="16" spans="1:8" x14ac:dyDescent="0.3">
      <c r="B16" s="89" t="s">
        <v>612</v>
      </c>
      <c r="C16" s="88"/>
      <c r="D16" s="88"/>
      <c r="E16" s="88"/>
      <c r="F16" s="88"/>
      <c r="G16" s="88"/>
      <c r="H16" s="88"/>
    </row>
    <row r="17" spans="2:8" x14ac:dyDescent="0.3">
      <c r="B17" s="88" t="s">
        <v>613</v>
      </c>
      <c r="C17" s="88"/>
      <c r="D17" s="88"/>
      <c r="E17" s="88"/>
      <c r="F17" s="88"/>
      <c r="G17" s="88"/>
      <c r="H17" s="88"/>
    </row>
    <row r="18" spans="2:8" x14ac:dyDescent="0.3">
      <c r="B18" s="88" t="s">
        <v>614</v>
      </c>
      <c r="C18" s="88"/>
      <c r="D18" s="88"/>
      <c r="E18" s="88"/>
      <c r="F18" s="88"/>
      <c r="G18" s="88"/>
      <c r="H18" s="88"/>
    </row>
    <row r="19" spans="2:8" x14ac:dyDescent="0.3">
      <c r="B19" s="89" t="s">
        <v>615</v>
      </c>
      <c r="C19" s="88"/>
      <c r="D19" s="88"/>
      <c r="E19" s="88"/>
      <c r="F19" s="88"/>
      <c r="G19" s="88"/>
      <c r="H19" s="88"/>
    </row>
    <row r="20" spans="2:8" x14ac:dyDescent="0.3">
      <c r="B20" s="88" t="s">
        <v>616</v>
      </c>
      <c r="C20" s="88"/>
      <c r="D20" s="88"/>
      <c r="E20" s="88"/>
      <c r="F20" s="88"/>
      <c r="G20" s="88"/>
      <c r="H20" s="88"/>
    </row>
    <row r="21" spans="2:8" x14ac:dyDescent="0.3">
      <c r="B21" s="89" t="s">
        <v>617</v>
      </c>
      <c r="C21" s="88"/>
      <c r="D21" s="88"/>
      <c r="E21" s="88"/>
      <c r="F21" s="88"/>
      <c r="G21" s="88"/>
      <c r="H21" s="88"/>
    </row>
    <row r="22" spans="2:8" x14ac:dyDescent="0.3">
      <c r="B22" s="88" t="str">
        <f>"❍ 하복："&amp;IF(SUM(기초자료입력!$D$33:$D$34)=0,"○○,○○○",TEXT(SUM(기초자료입력!$D$33:$D$34),"#,##0"))&amp;"원, 동복："&amp;IF(SUM(기초자료입력!$D$29:$D$32)=0,"○○○,○○○",TEXT(SUM(기초자료입력!$D$29:$D$32),"#,##0"))&amp;"원("&amp;IF(기초자료입력!C5&lt;&gt;"",기초자료입력!C5,"20○○")&amp;"년 기준)"</f>
        <v>❍ 하복：○○,○○○원, 동복：○○○,○○○원(20○○년 기준)</v>
      </c>
      <c r="C22" s="88"/>
      <c r="D22" s="88"/>
      <c r="E22" s="88"/>
      <c r="F22" s="88"/>
      <c r="G22" s="88"/>
      <c r="H22" s="88"/>
    </row>
    <row r="23" spans="2:8" x14ac:dyDescent="0.3">
      <c r="B23" s="89" t="s">
        <v>618</v>
      </c>
      <c r="C23" s="88"/>
      <c r="D23" s="88"/>
      <c r="E23" s="88"/>
      <c r="F23" s="88"/>
      <c r="G23" s="88"/>
      <c r="H23" s="88"/>
    </row>
    <row r="24" spans="2:8" x14ac:dyDescent="0.3">
      <c r="B24" s="88" t="s">
        <v>619</v>
      </c>
      <c r="C24" s="88"/>
      <c r="D24" s="88"/>
      <c r="E24" s="88"/>
      <c r="F24" s="88"/>
      <c r="G24" s="88"/>
      <c r="H24" s="88"/>
    </row>
    <row r="25" spans="2:8" x14ac:dyDescent="0.3">
      <c r="B25" s="26" t="s">
        <v>520</v>
      </c>
      <c r="C25" s="26" t="s">
        <v>327</v>
      </c>
      <c r="D25" s="26" t="s">
        <v>620</v>
      </c>
      <c r="E25" s="26" t="s">
        <v>522</v>
      </c>
      <c r="F25" s="102" t="s">
        <v>316</v>
      </c>
      <c r="G25" s="120"/>
      <c r="H25" s="120"/>
    </row>
    <row r="26" spans="2:8" x14ac:dyDescent="0.3">
      <c r="B26" s="22" t="str">
        <f>IF(기초자료입력!B58&lt;&gt;"",1,"")</f>
        <v/>
      </c>
      <c r="C26" s="22" t="str">
        <f>IF(기초자료입력!B58&lt;&gt;"","위원장","")</f>
        <v/>
      </c>
      <c r="D26" s="22" t="str">
        <f>IF(기초자료입력!B58&lt;&gt;"",기초자료입력!B58,"")</f>
        <v/>
      </c>
      <c r="E26" s="22" t="str">
        <f>IF(기초자료입력!C58&lt;&gt;"",기초자료입력!C58,"")</f>
        <v/>
      </c>
      <c r="F26" s="119"/>
      <c r="G26" s="119"/>
      <c r="H26" s="119"/>
    </row>
    <row r="27" spans="2:8" x14ac:dyDescent="0.3">
      <c r="B27" s="22" t="str">
        <f>IF(기초자료입력!B59&lt;&gt;"",2,"")</f>
        <v/>
      </c>
      <c r="C27" s="22" t="str">
        <f>IF(기초자료입력!B59&lt;&gt;"","위원","")</f>
        <v/>
      </c>
      <c r="D27" s="22" t="str">
        <f>IF(기초자료입력!B59&lt;&gt;"",기초자료입력!B59,"")</f>
        <v/>
      </c>
      <c r="E27" s="22" t="str">
        <f>IF(기초자료입력!C59&lt;&gt;"",기초자료입력!C59,"")</f>
        <v/>
      </c>
      <c r="F27" s="119"/>
      <c r="G27" s="119"/>
      <c r="H27" s="119"/>
    </row>
    <row r="28" spans="2:8" x14ac:dyDescent="0.3">
      <c r="B28" s="22" t="str">
        <f>IF(기초자료입력!B60&lt;&gt;"",3,"")</f>
        <v/>
      </c>
      <c r="C28" s="22" t="str">
        <f>IF(기초자료입력!B60&lt;&gt;"","위원","")</f>
        <v/>
      </c>
      <c r="D28" s="22" t="str">
        <f>IF(기초자료입력!B60&lt;&gt;"",기초자료입력!B60,"")</f>
        <v/>
      </c>
      <c r="E28" s="22" t="str">
        <f>IF(기초자료입력!C60&lt;&gt;"",기초자료입력!C60,"")</f>
        <v/>
      </c>
      <c r="F28" s="119"/>
      <c r="G28" s="119"/>
      <c r="H28" s="119"/>
    </row>
    <row r="29" spans="2:8" x14ac:dyDescent="0.3">
      <c r="B29" s="22" t="str">
        <f>IF(기초자료입력!B61&lt;&gt;"",4,"")</f>
        <v/>
      </c>
      <c r="C29" s="22" t="str">
        <f>IF(기초자료입력!B61&lt;&gt;"","위원","")</f>
        <v/>
      </c>
      <c r="D29" s="22" t="str">
        <f>IF(기초자료입력!B61&lt;&gt;"",기초자료입력!B61,"")</f>
        <v/>
      </c>
      <c r="E29" s="22" t="str">
        <f>IF(기초자료입력!C61&lt;&gt;"",기초자료입력!C61,"")</f>
        <v/>
      </c>
      <c r="F29" s="119"/>
      <c r="G29" s="119"/>
      <c r="H29" s="119"/>
    </row>
    <row r="30" spans="2:8" x14ac:dyDescent="0.3">
      <c r="B30" s="22" t="str">
        <f>IF(기초자료입력!B62&lt;&gt;"",5,"")</f>
        <v/>
      </c>
      <c r="C30" s="22" t="str">
        <f>IF(기초자료입력!B62&lt;&gt;"","위원","")</f>
        <v/>
      </c>
      <c r="D30" s="22" t="str">
        <f>IF(기초자료입력!B62&lt;&gt;"",기초자료입력!B62,"")</f>
        <v/>
      </c>
      <c r="E30" s="22" t="str">
        <f>IF(기초자료입력!C62&lt;&gt;"",기초자료입력!C62,"")</f>
        <v/>
      </c>
      <c r="F30" s="119"/>
      <c r="G30" s="119"/>
      <c r="H30" s="119"/>
    </row>
    <row r="31" spans="2:8" x14ac:dyDescent="0.3">
      <c r="B31" s="22" t="str">
        <f>IF(기초자료입력!B63&lt;&gt;"",6,"")</f>
        <v/>
      </c>
      <c r="C31" s="22" t="str">
        <f>IF(기초자료입력!B63&lt;&gt;"","위원","")</f>
        <v/>
      </c>
      <c r="D31" s="22" t="str">
        <f>IF(기초자료입력!B63&lt;&gt;"",기초자료입력!B63,"")</f>
        <v/>
      </c>
      <c r="E31" s="22" t="str">
        <f>IF(기초자료입력!C63&lt;&gt;"",기초자료입력!C63,"")</f>
        <v/>
      </c>
      <c r="F31" s="119"/>
      <c r="G31" s="119"/>
      <c r="H31" s="119"/>
    </row>
    <row r="32" spans="2:8" x14ac:dyDescent="0.3">
      <c r="B32" s="22" t="str">
        <f>IF(기초자료입력!B64&lt;&gt;"",7,"")</f>
        <v/>
      </c>
      <c r="C32" s="22" t="str">
        <f>IF(기초자료입력!B64&lt;&gt;"","위원","")</f>
        <v/>
      </c>
      <c r="D32" s="22" t="str">
        <f>IF(기초자료입력!B64&lt;&gt;"",기초자료입력!B64,"")</f>
        <v/>
      </c>
      <c r="E32" s="22" t="str">
        <f>IF(기초자료입력!C64&lt;&gt;"",기초자료입력!C64,"")</f>
        <v/>
      </c>
      <c r="F32" s="119"/>
      <c r="G32" s="119"/>
      <c r="H32" s="119"/>
    </row>
    <row r="33" spans="2:8" x14ac:dyDescent="0.3">
      <c r="B33" s="22" t="str">
        <f>IF(기초자료입력!B65&lt;&gt;"",8,"")</f>
        <v/>
      </c>
      <c r="C33" s="22" t="str">
        <f>IF(기초자료입력!B65&lt;&gt;"","위원","")</f>
        <v/>
      </c>
      <c r="D33" s="22" t="str">
        <f>IF(기초자료입력!B65&lt;&gt;"",기초자료입력!B65,"")</f>
        <v/>
      </c>
      <c r="E33" s="22" t="str">
        <f>IF(기초자료입력!C65&lt;&gt;"",기초자료입력!C65,"")</f>
        <v/>
      </c>
      <c r="F33" s="119"/>
      <c r="G33" s="119"/>
      <c r="H33" s="119"/>
    </row>
    <row r="34" spans="2:8" x14ac:dyDescent="0.3">
      <c r="B34" s="22" t="str">
        <f>IF(기초자료입력!B66&lt;&gt;"",9,"")</f>
        <v/>
      </c>
      <c r="C34" s="22" t="str">
        <f>IF(기초자료입력!B66&lt;&gt;"","위원","")</f>
        <v/>
      </c>
      <c r="D34" s="22" t="str">
        <f>IF(기초자료입력!B66&lt;&gt;"",기초자료입력!B66,"")</f>
        <v/>
      </c>
      <c r="E34" s="22" t="str">
        <f>IF(기초자료입력!C66&lt;&gt;"",기초자료입력!C66,"")</f>
        <v/>
      </c>
      <c r="F34" s="119"/>
      <c r="G34" s="119"/>
      <c r="H34" s="119"/>
    </row>
    <row r="35" spans="2:8" x14ac:dyDescent="0.3">
      <c r="B35" s="22" t="str">
        <f>IF(기초자료입력!B67&lt;&gt;"",10,"")</f>
        <v/>
      </c>
      <c r="C35" s="22" t="str">
        <f>IF(기초자료입력!B67&lt;&gt;"","위원","")</f>
        <v/>
      </c>
      <c r="D35" s="22" t="str">
        <f>IF(기초자료입력!B67&lt;&gt;"",기초자료입력!B67,"")</f>
        <v/>
      </c>
      <c r="E35" s="22" t="str">
        <f>IF(기초자료입력!C67&lt;&gt;"",기초자료입력!C67,"")</f>
        <v/>
      </c>
      <c r="F35" s="119"/>
      <c r="G35" s="119"/>
      <c r="H35" s="119"/>
    </row>
    <row r="36" spans="2:8" x14ac:dyDescent="0.3">
      <c r="B36" s="88" t="s">
        <v>621</v>
      </c>
      <c r="C36" s="88"/>
      <c r="D36" s="88"/>
      <c r="E36" s="88"/>
      <c r="F36" s="88"/>
      <c r="G36" s="88"/>
      <c r="H36" s="88"/>
    </row>
    <row r="37" spans="2:8" x14ac:dyDescent="0.3">
      <c r="B37" s="21"/>
      <c r="C37" s="21"/>
      <c r="D37" s="21"/>
      <c r="E37" s="21"/>
      <c r="F37" s="21"/>
      <c r="G37" s="21"/>
      <c r="H37" s="21"/>
    </row>
    <row r="38" spans="2:8" x14ac:dyDescent="0.3">
      <c r="B38" s="88" t="str">
        <f>"붙임  "&amp;IF(기초자료입력!C5&lt;&gt;"",기초자료입력!C5,"○○")&amp;"학년도 "&amp;IF(기초자료입력!C4&lt;&gt;"",기초자료입력!C4,"○○학교")&amp;" 교복 학교주관구매 계획안 1부.  끝."</f>
        <v>붙임  ○○학년도 ○○학교 교복 학교주관구매 계획안 1부.  끝.</v>
      </c>
      <c r="C38" s="88"/>
      <c r="D38" s="88"/>
      <c r="E38" s="88"/>
      <c r="F38" s="88"/>
      <c r="G38" s="88"/>
      <c r="H38" s="88"/>
    </row>
    <row r="39" spans="2:8" x14ac:dyDescent="0.3">
      <c r="B39" s="21"/>
      <c r="C39" s="21"/>
      <c r="D39" s="21"/>
      <c r="E39" s="21"/>
      <c r="F39" s="21"/>
      <c r="G39" s="21"/>
      <c r="H39" s="21"/>
    </row>
    <row r="40" spans="2:8" x14ac:dyDescent="0.3">
      <c r="B40" s="88" t="s">
        <v>622</v>
      </c>
      <c r="C40" s="88"/>
      <c r="D40" s="88"/>
      <c r="E40" s="88"/>
      <c r="F40" s="88"/>
      <c r="G40" s="88"/>
      <c r="H40" s="88"/>
    </row>
  </sheetData>
  <mergeCells count="32">
    <mergeCell ref="B18:H18"/>
    <mergeCell ref="B3:H4"/>
    <mergeCell ref="C6:H6"/>
    <mergeCell ref="C7:H7"/>
    <mergeCell ref="C8:H8"/>
    <mergeCell ref="C9:H9"/>
    <mergeCell ref="B11:H11"/>
    <mergeCell ref="B12:H12"/>
    <mergeCell ref="B13:H13"/>
    <mergeCell ref="B15:H15"/>
    <mergeCell ref="B16:H16"/>
    <mergeCell ref="B17:H17"/>
    <mergeCell ref="F30:H30"/>
    <mergeCell ref="B19:H19"/>
    <mergeCell ref="B20:H20"/>
    <mergeCell ref="B21:H21"/>
    <mergeCell ref="B22:H22"/>
    <mergeCell ref="B23:H23"/>
    <mergeCell ref="B24:H24"/>
    <mergeCell ref="F25:H25"/>
    <mergeCell ref="F26:H26"/>
    <mergeCell ref="F27:H27"/>
    <mergeCell ref="F28:H28"/>
    <mergeCell ref="F29:H29"/>
    <mergeCell ref="B38:H38"/>
    <mergeCell ref="B40:H40"/>
    <mergeCell ref="F31:H31"/>
    <mergeCell ref="F32:H32"/>
    <mergeCell ref="F33:H33"/>
    <mergeCell ref="F34:H34"/>
    <mergeCell ref="F35:H35"/>
    <mergeCell ref="B36:H36"/>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C85F0-9BE3-49E1-858B-B806A0582E7F}">
  <sheetPr codeName="Sheet34"/>
  <dimension ref="A1:G90"/>
  <sheetViews>
    <sheetView workbookViewId="0"/>
  </sheetViews>
  <sheetFormatPr defaultRowHeight="16.5" x14ac:dyDescent="0.3"/>
  <cols>
    <col min="1" max="1" width="3.125" customWidth="1"/>
    <col min="2" max="2" width="13.625" customWidth="1"/>
    <col min="3" max="3" width="11.625" customWidth="1"/>
    <col min="4" max="4" width="13.625" customWidth="1"/>
    <col min="5" max="6" width="11.625" customWidth="1"/>
    <col min="7" max="7" width="13.625" customWidth="1"/>
  </cols>
  <sheetData>
    <row r="1" spans="1:7" ht="24" x14ac:dyDescent="0.3">
      <c r="A1" s="20" t="s">
        <v>535</v>
      </c>
      <c r="B1" s="92" t="str">
        <f>"2026학년도 교복 학교주관구매 추진 계획(안)"</f>
        <v>2026학년도 교복 학교주관구매 추진 계획(안)</v>
      </c>
      <c r="C1" s="93"/>
      <c r="D1" s="93"/>
      <c r="E1" s="93"/>
      <c r="F1" s="93"/>
      <c r="G1" s="93"/>
    </row>
    <row r="2" spans="1:7" ht="17.100000000000001" customHeight="1" x14ac:dyDescent="0.3">
      <c r="B2" s="76" t="str">
        <f>IF(기초자료입력!C4&lt;&gt;"",기초자료입력!C4&amp;"장",  "○○○학교장")</f>
        <v>○○○학교장</v>
      </c>
      <c r="C2" s="76"/>
      <c r="D2" s="76"/>
      <c r="E2" s="76"/>
      <c r="F2" s="76"/>
      <c r="G2" s="76"/>
    </row>
    <row r="3" spans="1:7" ht="6" customHeight="1" x14ac:dyDescent="0.3">
      <c r="B3" s="47"/>
      <c r="C3" s="38"/>
      <c r="D3" s="38"/>
      <c r="E3" s="38"/>
      <c r="F3" s="38"/>
      <c r="G3" s="38"/>
    </row>
    <row r="4" spans="1:7" x14ac:dyDescent="0.3">
      <c r="B4" s="38"/>
      <c r="C4" s="38"/>
      <c r="D4" s="38"/>
      <c r="E4" s="38"/>
      <c r="F4" s="38"/>
      <c r="G4" s="38"/>
    </row>
    <row r="5" spans="1:7" x14ac:dyDescent="0.3">
      <c r="B5" s="121" t="str">
        <f>"1  개요"</f>
        <v>1  개요</v>
      </c>
      <c r="C5" s="81"/>
      <c r="D5" s="81"/>
      <c r="E5" s="81"/>
      <c r="F5" s="81"/>
      <c r="G5" s="81"/>
    </row>
    <row r="6" spans="1:7" ht="17.100000000000001" customHeight="1" x14ac:dyDescent="0.3">
      <c r="B6" s="91" t="str">
        <f>"❍ 사업명："&amp;IF(기초자료입력!C5&lt;&gt;"",기초자료입력!C5,"20○○")&amp;"학년도 교복 학교주관구매"</f>
        <v>❍ 사업명：20○○학년도 교복 학교주관구매</v>
      </c>
      <c r="C6" s="91"/>
      <c r="D6" s="91"/>
      <c r="E6" s="91"/>
      <c r="F6" s="91"/>
      <c r="G6" s="91"/>
    </row>
    <row r="7" spans="1:7" ht="30" customHeight="1" x14ac:dyDescent="0.3">
      <c r="B7" s="91" t="s">
        <v>536</v>
      </c>
      <c r="C7" s="91"/>
      <c r="D7" s="91"/>
      <c r="E7" s="91"/>
      <c r="F7" s="91"/>
      <c r="G7" s="91"/>
    </row>
    <row r="8" spans="1:7" ht="30" customHeight="1" x14ac:dyDescent="0.3">
      <c r="B8" s="91" t="s">
        <v>537</v>
      </c>
      <c r="C8" s="91"/>
      <c r="D8" s="91"/>
      <c r="E8" s="91"/>
      <c r="F8" s="91"/>
      <c r="G8" s="91"/>
    </row>
    <row r="9" spans="1:7" ht="17.100000000000001" customHeight="1" x14ac:dyDescent="0.3">
      <c r="B9" s="91" t="s">
        <v>538</v>
      </c>
      <c r="C9" s="91"/>
      <c r="D9" s="91"/>
      <c r="E9" s="91"/>
      <c r="F9" s="91"/>
      <c r="G9" s="91"/>
    </row>
    <row r="10" spans="1:7" ht="17.100000000000001" customHeight="1" x14ac:dyDescent="0.3">
      <c r="B10" s="91" t="s">
        <v>539</v>
      </c>
      <c r="C10" s="91"/>
      <c r="D10" s="91"/>
      <c r="E10" s="91"/>
      <c r="F10" s="91"/>
      <c r="G10" s="91"/>
    </row>
    <row r="11" spans="1:7" ht="6" customHeight="1" x14ac:dyDescent="0.3">
      <c r="B11" s="38"/>
      <c r="C11" s="38"/>
      <c r="D11" s="38"/>
      <c r="E11" s="38"/>
      <c r="F11" s="38"/>
      <c r="G11" s="38"/>
    </row>
    <row r="12" spans="1:7" x14ac:dyDescent="0.3">
      <c r="B12" s="38"/>
      <c r="C12" s="38"/>
      <c r="D12" s="38"/>
      <c r="E12" s="38"/>
      <c r="F12" s="38"/>
      <c r="G12" s="38"/>
    </row>
    <row r="13" spans="1:7" x14ac:dyDescent="0.3">
      <c r="B13" s="121" t="str">
        <f>"2  기본방향"</f>
        <v>2  기본방향</v>
      </c>
      <c r="C13" s="81"/>
      <c r="D13" s="81"/>
      <c r="E13" s="81"/>
      <c r="F13" s="81"/>
      <c r="G13" s="81"/>
    </row>
    <row r="14" spans="1:7" ht="30" customHeight="1" x14ac:dyDescent="0.3">
      <c r="B14" s="91" t="s">
        <v>540</v>
      </c>
      <c r="C14" s="91"/>
      <c r="D14" s="91"/>
      <c r="E14" s="91"/>
      <c r="F14" s="91"/>
      <c r="G14" s="91"/>
    </row>
    <row r="15" spans="1:7" ht="30" customHeight="1" x14ac:dyDescent="0.3">
      <c r="B15" s="91" t="s">
        <v>541</v>
      </c>
      <c r="C15" s="91"/>
      <c r="D15" s="91"/>
      <c r="E15" s="91"/>
      <c r="F15" s="91"/>
      <c r="G15" s="91"/>
    </row>
    <row r="16" spans="1:7" ht="30" customHeight="1" x14ac:dyDescent="0.3">
      <c r="B16" s="91" t="s">
        <v>542</v>
      </c>
      <c r="C16" s="91"/>
      <c r="D16" s="91"/>
      <c r="E16" s="91"/>
      <c r="F16" s="91"/>
      <c r="G16" s="91"/>
    </row>
    <row r="17" spans="2:7" ht="6" customHeight="1" x14ac:dyDescent="0.3">
      <c r="B17" s="38"/>
      <c r="C17" s="38"/>
      <c r="D17" s="38"/>
      <c r="E17" s="38"/>
      <c r="F17" s="38"/>
      <c r="G17" s="38"/>
    </row>
    <row r="18" spans="2:7" x14ac:dyDescent="0.3">
      <c r="B18" s="38"/>
      <c r="C18" s="38"/>
      <c r="D18" s="38"/>
      <c r="E18" s="38"/>
      <c r="F18" s="38"/>
      <c r="G18" s="38"/>
    </row>
    <row r="19" spans="2:7" x14ac:dyDescent="0.3">
      <c r="B19" s="121" t="str">
        <f>"3  추진 절차 개요"</f>
        <v>3  추진 절차 개요</v>
      </c>
      <c r="C19" s="81"/>
      <c r="D19" s="81"/>
      <c r="E19" s="81"/>
      <c r="F19" s="81"/>
      <c r="G19" s="81"/>
    </row>
    <row r="20" spans="2:7" x14ac:dyDescent="0.3">
      <c r="B20" s="80" t="s">
        <v>543</v>
      </c>
      <c r="C20" s="94"/>
      <c r="D20" s="80" t="s">
        <v>544</v>
      </c>
      <c r="E20" s="94"/>
      <c r="F20" s="94"/>
      <c r="G20" s="32" t="s">
        <v>293</v>
      </c>
    </row>
    <row r="21" spans="2:7" ht="42.95" customHeight="1" x14ac:dyDescent="0.3">
      <c r="B21" s="118" t="s">
        <v>545</v>
      </c>
      <c r="C21" s="118"/>
      <c r="D21" s="118" t="s">
        <v>546</v>
      </c>
      <c r="E21" s="118"/>
      <c r="F21" s="118"/>
      <c r="G21" s="37" t="s">
        <v>547</v>
      </c>
    </row>
    <row r="22" spans="2:7" ht="30" customHeight="1" x14ac:dyDescent="0.3">
      <c r="B22" s="118" t="s">
        <v>548</v>
      </c>
      <c r="C22" s="118"/>
      <c r="D22" s="118" t="s">
        <v>549</v>
      </c>
      <c r="E22" s="118"/>
      <c r="F22" s="118"/>
      <c r="G22" s="37" t="s">
        <v>547</v>
      </c>
    </row>
    <row r="23" spans="2:7" ht="42.95" customHeight="1" x14ac:dyDescent="0.3">
      <c r="B23" s="118" t="s">
        <v>550</v>
      </c>
      <c r="C23" s="118"/>
      <c r="D23" s="118" t="s">
        <v>551</v>
      </c>
      <c r="E23" s="118"/>
      <c r="F23" s="118"/>
      <c r="G23" s="37" t="s">
        <v>552</v>
      </c>
    </row>
    <row r="24" spans="2:7" ht="30" customHeight="1" x14ac:dyDescent="0.3">
      <c r="B24" s="118" t="s">
        <v>553</v>
      </c>
      <c r="C24" s="118"/>
      <c r="D24" s="118" t="s">
        <v>554</v>
      </c>
      <c r="E24" s="118"/>
      <c r="F24" s="118"/>
      <c r="G24" s="37" t="s">
        <v>555</v>
      </c>
    </row>
    <row r="25" spans="2:7" ht="17.100000000000001" customHeight="1" x14ac:dyDescent="0.3">
      <c r="B25" s="118" t="s">
        <v>556</v>
      </c>
      <c r="C25" s="118"/>
      <c r="D25" s="118" t="s">
        <v>557</v>
      </c>
      <c r="E25" s="118"/>
      <c r="F25" s="118"/>
      <c r="G25" s="37" t="s">
        <v>552</v>
      </c>
    </row>
    <row r="26" spans="2:7" ht="30" customHeight="1" x14ac:dyDescent="0.3">
      <c r="B26" s="118" t="s">
        <v>558</v>
      </c>
      <c r="C26" s="118"/>
      <c r="D26" s="118" t="s">
        <v>559</v>
      </c>
      <c r="E26" s="118"/>
      <c r="F26" s="118"/>
      <c r="G26" s="37" t="s">
        <v>555</v>
      </c>
    </row>
    <row r="27" spans="2:7" ht="30" customHeight="1" x14ac:dyDescent="0.3">
      <c r="B27" s="118" t="s">
        <v>560</v>
      </c>
      <c r="C27" s="118"/>
      <c r="D27" s="118" t="s">
        <v>561</v>
      </c>
      <c r="E27" s="118"/>
      <c r="F27" s="118"/>
      <c r="G27" s="37" t="s">
        <v>547</v>
      </c>
    </row>
    <row r="28" spans="2:7" ht="42.95" customHeight="1" x14ac:dyDescent="0.3">
      <c r="B28" s="118" t="s">
        <v>562</v>
      </c>
      <c r="C28" s="118"/>
      <c r="D28" s="118" t="s">
        <v>563</v>
      </c>
      <c r="E28" s="118"/>
      <c r="F28" s="118"/>
      <c r="G28" s="37" t="s">
        <v>547</v>
      </c>
    </row>
    <row r="29" spans="2:7" ht="30" customHeight="1" x14ac:dyDescent="0.3">
      <c r="B29" s="118" t="s">
        <v>564</v>
      </c>
      <c r="C29" s="118"/>
      <c r="D29" s="118" t="s">
        <v>565</v>
      </c>
      <c r="E29" s="118"/>
      <c r="F29" s="118"/>
      <c r="G29" s="37" t="s">
        <v>555</v>
      </c>
    </row>
    <row r="30" spans="2:7" ht="30" customHeight="1" x14ac:dyDescent="0.3">
      <c r="B30" s="118" t="s">
        <v>566</v>
      </c>
      <c r="C30" s="118"/>
      <c r="D30" s="118" t="s">
        <v>567</v>
      </c>
      <c r="E30" s="118"/>
      <c r="F30" s="118"/>
      <c r="G30" s="37" t="s">
        <v>552</v>
      </c>
    </row>
    <row r="31" spans="2:7" ht="42.95" customHeight="1" x14ac:dyDescent="0.3">
      <c r="B31" s="118" t="s">
        <v>568</v>
      </c>
      <c r="C31" s="118"/>
      <c r="D31" s="118" t="s">
        <v>569</v>
      </c>
      <c r="E31" s="118"/>
      <c r="F31" s="118"/>
      <c r="G31" s="37" t="s">
        <v>555</v>
      </c>
    </row>
    <row r="32" spans="2:7" ht="6" customHeight="1" x14ac:dyDescent="0.3">
      <c r="B32" s="38"/>
      <c r="C32" s="38"/>
      <c r="D32" s="38"/>
      <c r="E32" s="38"/>
      <c r="F32" s="38"/>
      <c r="G32" s="38"/>
    </row>
    <row r="33" spans="2:7" x14ac:dyDescent="0.3">
      <c r="B33" s="38"/>
      <c r="C33" s="38"/>
      <c r="D33" s="38"/>
      <c r="E33" s="38"/>
      <c r="F33" s="38"/>
      <c r="G33" s="38"/>
    </row>
    <row r="34" spans="2:7" x14ac:dyDescent="0.3">
      <c r="B34" s="121" t="str">
        <f>"4  세부 추진 절차"</f>
        <v>4  세부 추진 절차</v>
      </c>
      <c r="C34" s="81"/>
      <c r="D34" s="81"/>
      <c r="E34" s="81"/>
      <c r="F34" s="81"/>
      <c r="G34" s="81"/>
    </row>
    <row r="35" spans="2:7" x14ac:dyDescent="0.3">
      <c r="B35" s="86" t="s">
        <v>570</v>
      </c>
      <c r="C35" s="81"/>
      <c r="D35" s="81"/>
      <c r="E35" s="81"/>
      <c r="F35" s="81"/>
      <c r="G35" s="81"/>
    </row>
    <row r="36" spans="2:7" ht="17.100000000000001" customHeight="1" x14ac:dyDescent="0.3">
      <c r="B36" s="91" t="s">
        <v>571</v>
      </c>
      <c r="C36" s="91"/>
      <c r="D36" s="91"/>
      <c r="E36" s="91"/>
      <c r="F36" s="91"/>
      <c r="G36" s="91"/>
    </row>
    <row r="37" spans="2:7" ht="42.95" customHeight="1" x14ac:dyDescent="0.3">
      <c r="B37" s="91" t="s">
        <v>572</v>
      </c>
      <c r="C37" s="91"/>
      <c r="D37" s="91"/>
      <c r="E37" s="91"/>
      <c r="F37" s="91"/>
      <c r="G37" s="91"/>
    </row>
    <row r="38" spans="2:7" ht="26.1" customHeight="1" x14ac:dyDescent="0.3">
      <c r="B38" s="91" t="s">
        <v>573</v>
      </c>
      <c r="C38" s="91"/>
      <c r="D38" s="91"/>
      <c r="E38" s="91"/>
      <c r="F38" s="91"/>
      <c r="G38" s="91"/>
    </row>
    <row r="39" spans="2:7" ht="6" customHeight="1" x14ac:dyDescent="0.3">
      <c r="B39" s="38"/>
      <c r="C39" s="38"/>
      <c r="D39" s="38"/>
      <c r="E39" s="38"/>
      <c r="F39" s="38"/>
      <c r="G39" s="38"/>
    </row>
    <row r="40" spans="2:7" x14ac:dyDescent="0.3">
      <c r="B40" s="86" t="s">
        <v>574</v>
      </c>
      <c r="C40" s="81"/>
      <c r="D40" s="81"/>
      <c r="E40" s="81"/>
      <c r="F40" s="81"/>
      <c r="G40" s="81"/>
    </row>
    <row r="41" spans="2:7" ht="30" customHeight="1" x14ac:dyDescent="0.3">
      <c r="B41" s="91" t="s">
        <v>575</v>
      </c>
      <c r="C41" s="91"/>
      <c r="D41" s="91"/>
      <c r="E41" s="91"/>
      <c r="F41" s="91"/>
      <c r="G41" s="91"/>
    </row>
    <row r="42" spans="2:7" x14ac:dyDescent="0.3">
      <c r="B42" s="32" t="s">
        <v>520</v>
      </c>
      <c r="C42" s="32" t="s">
        <v>327</v>
      </c>
      <c r="D42" s="32" t="s">
        <v>521</v>
      </c>
      <c r="E42" s="32" t="s">
        <v>522</v>
      </c>
      <c r="F42" s="80" t="s">
        <v>316</v>
      </c>
      <c r="G42" s="80"/>
    </row>
    <row r="43" spans="2:7" x14ac:dyDescent="0.3">
      <c r="B43" s="57" t="str">
        <f>IF(기초자료입력!B58&lt;&gt;"",1,"")</f>
        <v/>
      </c>
      <c r="C43" s="57" t="str">
        <f>IF(기초자료입력!B58&lt;&gt;"","위원장","")</f>
        <v/>
      </c>
      <c r="D43" s="57" t="str">
        <f>IF(기초자료입력!B58&lt;&gt;"",기초자료입력!B58,"")</f>
        <v/>
      </c>
      <c r="E43" s="57" t="str">
        <f>IF(기초자료입력!C58&lt;&gt;"",기초자료입력!C58,"")</f>
        <v/>
      </c>
      <c r="F43" s="123"/>
      <c r="G43" s="123"/>
    </row>
    <row r="44" spans="2:7" x14ac:dyDescent="0.3">
      <c r="B44" s="57" t="str">
        <f>IF(기초자료입력!B59&lt;&gt;"",2,"")</f>
        <v/>
      </c>
      <c r="C44" s="57" t="str">
        <f>IF(기초자료입력!B59&lt;&gt;"","위원","")</f>
        <v/>
      </c>
      <c r="D44" s="57" t="str">
        <f>IF(기초자료입력!B59&lt;&gt;"",기초자료입력!B59,"")</f>
        <v/>
      </c>
      <c r="E44" s="57" t="str">
        <f>IF(기초자료입력!C59&lt;&gt;"",기초자료입력!C59,"")</f>
        <v/>
      </c>
      <c r="F44" s="123"/>
      <c r="G44" s="123"/>
    </row>
    <row r="45" spans="2:7" x14ac:dyDescent="0.3">
      <c r="B45" s="57" t="str">
        <f>IF(기초자료입력!B60&lt;&gt;"",3,"")</f>
        <v/>
      </c>
      <c r="C45" s="57" t="str">
        <f>IF(기초자료입력!B60&lt;&gt;"","위원","")</f>
        <v/>
      </c>
      <c r="D45" s="57" t="str">
        <f>IF(기초자료입력!B60&lt;&gt;"",기초자료입력!B60,"")</f>
        <v/>
      </c>
      <c r="E45" s="57" t="str">
        <f>IF(기초자료입력!C60&lt;&gt;"",기초자료입력!C60,"")</f>
        <v/>
      </c>
      <c r="F45" s="123"/>
      <c r="G45" s="123"/>
    </row>
    <row r="46" spans="2:7" x14ac:dyDescent="0.3">
      <c r="B46" s="57" t="str">
        <f>IF(기초자료입력!B61&lt;&gt;"",4,"")</f>
        <v/>
      </c>
      <c r="C46" s="57" t="str">
        <f>IF(기초자료입력!B61&lt;&gt;"","위원","")</f>
        <v/>
      </c>
      <c r="D46" s="57" t="str">
        <f>IF(기초자료입력!B61&lt;&gt;"",기초자료입력!B61,"")</f>
        <v/>
      </c>
      <c r="E46" s="57" t="str">
        <f>IF(기초자료입력!C61&lt;&gt;"",기초자료입력!C61,"")</f>
        <v/>
      </c>
      <c r="F46" s="123"/>
      <c r="G46" s="123"/>
    </row>
    <row r="47" spans="2:7" x14ac:dyDescent="0.3">
      <c r="B47" s="57" t="str">
        <f>IF(기초자료입력!B62&lt;&gt;"",5,"")</f>
        <v/>
      </c>
      <c r="C47" s="57" t="str">
        <f>IF(기초자료입력!B62&lt;&gt;"","위원","")</f>
        <v/>
      </c>
      <c r="D47" s="57" t="str">
        <f>IF(기초자료입력!B62&lt;&gt;"",기초자료입력!B62,"")</f>
        <v/>
      </c>
      <c r="E47" s="57" t="str">
        <f>IF(기초자료입력!C62&lt;&gt;"",기초자료입력!C62,"")</f>
        <v/>
      </c>
      <c r="F47" s="123"/>
      <c r="G47" s="123"/>
    </row>
    <row r="48" spans="2:7" x14ac:dyDescent="0.3">
      <c r="B48" s="57" t="str">
        <f>IF(기초자료입력!B63&lt;&gt;"",6,"")</f>
        <v/>
      </c>
      <c r="C48" s="57" t="str">
        <f>IF(기초자료입력!B63&lt;&gt;"","위원","")</f>
        <v/>
      </c>
      <c r="D48" s="57" t="str">
        <f>IF(기초자료입력!B63&lt;&gt;"",기초자료입력!B63,"")</f>
        <v/>
      </c>
      <c r="E48" s="57" t="str">
        <f>IF(기초자료입력!C63&lt;&gt;"",기초자료입력!C63,"")</f>
        <v/>
      </c>
      <c r="F48" s="123"/>
      <c r="G48" s="123"/>
    </row>
    <row r="49" spans="2:7" x14ac:dyDescent="0.3">
      <c r="B49" s="57" t="str">
        <f>IF(기초자료입력!B64&lt;&gt;"",7,"")</f>
        <v/>
      </c>
      <c r="C49" s="57" t="str">
        <f>IF(기초자료입력!B64&lt;&gt;"","위원","")</f>
        <v/>
      </c>
      <c r="D49" s="57" t="str">
        <f>IF(기초자료입력!B64&lt;&gt;"",기초자료입력!B64,"")</f>
        <v/>
      </c>
      <c r="E49" s="57" t="str">
        <f>IF(기초자료입력!C64&lt;&gt;"",기초자료입력!C64,"")</f>
        <v/>
      </c>
      <c r="F49" s="123"/>
      <c r="G49" s="123"/>
    </row>
    <row r="50" spans="2:7" x14ac:dyDescent="0.3">
      <c r="B50" s="57" t="str">
        <f>IF(기초자료입력!B65&lt;&gt;"",8,"")</f>
        <v/>
      </c>
      <c r="C50" s="57" t="str">
        <f>IF(기초자료입력!B65&lt;&gt;"","위원","")</f>
        <v/>
      </c>
      <c r="D50" s="57" t="str">
        <f>IF(기초자료입력!B65&lt;&gt;"",기초자료입력!B65,"")</f>
        <v/>
      </c>
      <c r="E50" s="57" t="str">
        <f>IF(기초자료입력!C65&lt;&gt;"",기초자료입력!C65,"")</f>
        <v/>
      </c>
      <c r="F50" s="123"/>
      <c r="G50" s="123"/>
    </row>
    <row r="51" spans="2:7" x14ac:dyDescent="0.3">
      <c r="B51" s="57" t="str">
        <f>IF(기초자료입력!B66&lt;&gt;"",9,"")</f>
        <v/>
      </c>
      <c r="C51" s="57" t="str">
        <f>IF(기초자료입력!B66&lt;&gt;"","위원","")</f>
        <v/>
      </c>
      <c r="D51" s="57" t="str">
        <f>IF(기초자료입력!B66&lt;&gt;"",기초자료입력!B66,"")</f>
        <v/>
      </c>
      <c r="E51" s="57" t="str">
        <f>IF(기초자료입력!C66&lt;&gt;"",기초자료입력!C66,"")</f>
        <v/>
      </c>
      <c r="F51" s="123"/>
      <c r="G51" s="123"/>
    </row>
    <row r="52" spans="2:7" x14ac:dyDescent="0.3">
      <c r="B52" s="57" t="str">
        <f>IF(기초자료입력!B67&lt;&gt;"",10,"")</f>
        <v/>
      </c>
      <c r="C52" s="57" t="str">
        <f>IF(기초자료입력!B67&lt;&gt;"","위원","")</f>
        <v/>
      </c>
      <c r="D52" s="57" t="str">
        <f>IF(기초자료입력!B67&lt;&gt;"",기초자료입력!B67,"")</f>
        <v/>
      </c>
      <c r="E52" s="57" t="str">
        <f>IF(기초자료입력!C67&lt;&gt;"",기초자료입력!C67,"")</f>
        <v/>
      </c>
      <c r="F52" s="123"/>
      <c r="G52" s="123"/>
    </row>
    <row r="53" spans="2:7" ht="95.1" customHeight="1" x14ac:dyDescent="0.3">
      <c r="B53" s="122" t="s">
        <v>576</v>
      </c>
      <c r="C53" s="122"/>
      <c r="D53" s="122"/>
      <c r="E53" s="122"/>
      <c r="F53" s="122"/>
      <c r="G53" s="122"/>
    </row>
    <row r="54" spans="2:7" ht="26.1" customHeight="1" x14ac:dyDescent="0.3">
      <c r="B54" s="91" t="s">
        <v>577</v>
      </c>
      <c r="C54" s="91"/>
      <c r="D54" s="91"/>
      <c r="E54" s="91"/>
      <c r="F54" s="91"/>
      <c r="G54" s="91"/>
    </row>
    <row r="55" spans="2:7" ht="6" customHeight="1" x14ac:dyDescent="0.3">
      <c r="B55" s="38"/>
      <c r="C55" s="38"/>
      <c r="D55" s="38"/>
      <c r="E55" s="38"/>
      <c r="F55" s="38"/>
      <c r="G55" s="38"/>
    </row>
    <row r="56" spans="2:7" x14ac:dyDescent="0.3">
      <c r="B56" s="86" t="s">
        <v>578</v>
      </c>
      <c r="C56" s="81"/>
      <c r="D56" s="81"/>
      <c r="E56" s="81"/>
      <c r="F56" s="81"/>
      <c r="G56" s="81"/>
    </row>
    <row r="57" spans="2:7" ht="42.95" customHeight="1" x14ac:dyDescent="0.3">
      <c r="B57" s="91" t="s">
        <v>579</v>
      </c>
      <c r="C57" s="91"/>
      <c r="D57" s="91"/>
      <c r="E57" s="91"/>
      <c r="F57" s="91"/>
      <c r="G57" s="91"/>
    </row>
    <row r="58" spans="2:7" ht="42.95" customHeight="1" x14ac:dyDescent="0.3">
      <c r="B58" s="91"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기준)：○○○,○○○원 / 하복(2pcs 기준)：○○,○○○원 (계약일 기준 적용기간은 교육청 고시에 따름)</v>
      </c>
      <c r="C58" s="91"/>
      <c r="D58" s="91"/>
      <c r="E58" s="91"/>
      <c r="F58" s="91"/>
      <c r="G58" s="91"/>
    </row>
    <row r="59" spans="2:7" ht="30" customHeight="1" x14ac:dyDescent="0.3">
      <c r="B59" s="91" t="s">
        <v>580</v>
      </c>
      <c r="C59" s="91"/>
      <c r="D59" s="91"/>
      <c r="E59" s="91"/>
      <c r="F59" s="91"/>
      <c r="G59" s="91"/>
    </row>
    <row r="60" spans="2:7" ht="6" customHeight="1" x14ac:dyDescent="0.3">
      <c r="B60" s="38"/>
      <c r="C60" s="38"/>
      <c r="D60" s="38"/>
      <c r="E60" s="38"/>
      <c r="F60" s="38"/>
      <c r="G60" s="38"/>
    </row>
    <row r="61" spans="2:7" x14ac:dyDescent="0.3">
      <c r="B61" s="86" t="s">
        <v>581</v>
      </c>
      <c r="C61" s="81"/>
      <c r="D61" s="81"/>
      <c r="E61" s="81"/>
      <c r="F61" s="81"/>
      <c r="G61" s="81"/>
    </row>
    <row r="62" spans="2:7" ht="42.95" customHeight="1" x14ac:dyDescent="0.3">
      <c r="B62" s="91" t="s">
        <v>582</v>
      </c>
      <c r="C62" s="91"/>
      <c r="D62" s="91"/>
      <c r="E62" s="91"/>
      <c r="F62" s="91"/>
      <c r="G62" s="91"/>
    </row>
    <row r="63" spans="2:7" ht="56.1" customHeight="1" x14ac:dyDescent="0.3">
      <c r="B63" s="91" t="s">
        <v>583</v>
      </c>
      <c r="C63" s="91"/>
      <c r="D63" s="91"/>
      <c r="E63" s="91"/>
      <c r="F63" s="91"/>
      <c r="G63" s="91"/>
    </row>
    <row r="64" spans="2:7" ht="30" customHeight="1" x14ac:dyDescent="0.3">
      <c r="B64" s="91" t="s">
        <v>584</v>
      </c>
      <c r="C64" s="91"/>
      <c r="D64" s="91"/>
      <c r="E64" s="91"/>
      <c r="F64" s="91"/>
      <c r="G64" s="91"/>
    </row>
    <row r="65" spans="2:7" ht="17.100000000000001" customHeight="1" x14ac:dyDescent="0.3">
      <c r="B65" s="91" t="s">
        <v>585</v>
      </c>
      <c r="C65" s="91"/>
      <c r="D65" s="91"/>
      <c r="E65" s="91"/>
      <c r="F65" s="91"/>
      <c r="G65" s="91"/>
    </row>
    <row r="66" spans="2:7" ht="42.95" customHeight="1" x14ac:dyDescent="0.3">
      <c r="B66" s="91" t="s">
        <v>586</v>
      </c>
      <c r="C66" s="91"/>
      <c r="D66" s="91"/>
      <c r="E66" s="91"/>
      <c r="F66" s="91"/>
      <c r="G66" s="91"/>
    </row>
    <row r="67" spans="2:7" ht="30" customHeight="1" x14ac:dyDescent="0.3">
      <c r="B67" s="91" t="s">
        <v>587</v>
      </c>
      <c r="C67" s="91"/>
      <c r="D67" s="91"/>
      <c r="E67" s="91"/>
      <c r="F67" s="91"/>
      <c r="G67" s="91"/>
    </row>
    <row r="68" spans="2:7" ht="6" customHeight="1" x14ac:dyDescent="0.3">
      <c r="B68" s="38"/>
      <c r="C68" s="38"/>
      <c r="D68" s="38"/>
      <c r="E68" s="38"/>
      <c r="F68" s="38"/>
      <c r="G68" s="38"/>
    </row>
    <row r="69" spans="2:7" x14ac:dyDescent="0.3">
      <c r="B69" s="86" t="s">
        <v>588</v>
      </c>
      <c r="C69" s="81"/>
      <c r="D69" s="81"/>
      <c r="E69" s="81"/>
      <c r="F69" s="81"/>
      <c r="G69" s="81"/>
    </row>
    <row r="70" spans="2:7" ht="30" customHeight="1" x14ac:dyDescent="0.3">
      <c r="B70" s="91" t="s">
        <v>589</v>
      </c>
      <c r="C70" s="91"/>
      <c r="D70" s="91"/>
      <c r="E70" s="91"/>
      <c r="F70" s="91"/>
      <c r="G70" s="91"/>
    </row>
    <row r="71" spans="2:7" ht="42.95" customHeight="1" x14ac:dyDescent="0.3">
      <c r="B71" s="91" t="s">
        <v>590</v>
      </c>
      <c r="C71" s="91"/>
      <c r="D71" s="91"/>
      <c r="E71" s="91"/>
      <c r="F71" s="91"/>
      <c r="G71" s="91"/>
    </row>
    <row r="72" spans="2:7" ht="42.95" customHeight="1" x14ac:dyDescent="0.3">
      <c r="B72" s="91" t="s">
        <v>591</v>
      </c>
      <c r="C72" s="91"/>
      <c r="D72" s="91"/>
      <c r="E72" s="91"/>
      <c r="F72" s="91"/>
      <c r="G72" s="91"/>
    </row>
    <row r="73" spans="2:7" ht="42.95" customHeight="1" x14ac:dyDescent="0.3">
      <c r="B73" s="91" t="s">
        <v>592</v>
      </c>
      <c r="C73" s="91"/>
      <c r="D73" s="91"/>
      <c r="E73" s="91"/>
      <c r="F73" s="91"/>
      <c r="G73" s="91"/>
    </row>
    <row r="74" spans="2:7" ht="36.950000000000003" customHeight="1" x14ac:dyDescent="0.3">
      <c r="B74" s="91" t="s">
        <v>593</v>
      </c>
      <c r="C74" s="91"/>
      <c r="D74" s="91"/>
      <c r="E74" s="91"/>
      <c r="F74" s="91"/>
      <c r="G74" s="91"/>
    </row>
    <row r="75" spans="2:7" ht="6" customHeight="1" x14ac:dyDescent="0.3">
      <c r="B75" s="38"/>
      <c r="C75" s="38"/>
      <c r="D75" s="38"/>
      <c r="E75" s="38"/>
      <c r="F75" s="38"/>
      <c r="G75" s="38"/>
    </row>
    <row r="76" spans="2:7" x14ac:dyDescent="0.3">
      <c r="B76" s="86" t="s">
        <v>594</v>
      </c>
      <c r="C76" s="81"/>
      <c r="D76" s="81"/>
      <c r="E76" s="81"/>
      <c r="F76" s="81"/>
      <c r="G76" s="81"/>
    </row>
    <row r="77" spans="2:7" ht="30" customHeight="1" x14ac:dyDescent="0.3">
      <c r="B77" s="91" t="s">
        <v>595</v>
      </c>
      <c r="C77" s="91"/>
      <c r="D77" s="91"/>
      <c r="E77" s="91"/>
      <c r="F77" s="91"/>
      <c r="G77" s="91"/>
    </row>
    <row r="78" spans="2:7" ht="15" customHeight="1" x14ac:dyDescent="0.3">
      <c r="B78" s="91" t="s">
        <v>596</v>
      </c>
      <c r="C78" s="91"/>
      <c r="D78" s="91"/>
      <c r="E78" s="91"/>
      <c r="F78" s="91"/>
      <c r="G78" s="91"/>
    </row>
    <row r="79" spans="2:7" ht="6" customHeight="1" x14ac:dyDescent="0.3">
      <c r="B79" s="38"/>
      <c r="C79" s="38"/>
      <c r="D79" s="38"/>
      <c r="E79" s="38"/>
      <c r="F79" s="38"/>
      <c r="G79" s="38"/>
    </row>
    <row r="80" spans="2:7" x14ac:dyDescent="0.3">
      <c r="B80" s="86" t="s">
        <v>597</v>
      </c>
      <c r="C80" s="81"/>
      <c r="D80" s="81"/>
      <c r="E80" s="81"/>
      <c r="F80" s="81"/>
      <c r="G80" s="81"/>
    </row>
    <row r="81" spans="2:7" ht="30" customHeight="1" x14ac:dyDescent="0.3">
      <c r="B81" s="91" t="s">
        <v>598</v>
      </c>
      <c r="C81" s="91"/>
      <c r="D81" s="91"/>
      <c r="E81" s="91"/>
      <c r="F81" s="91"/>
      <c r="G81" s="91"/>
    </row>
    <row r="82" spans="2:7" ht="42.95" customHeight="1" x14ac:dyDescent="0.3">
      <c r="B82" s="91" t="s">
        <v>599</v>
      </c>
      <c r="C82" s="91"/>
      <c r="D82" s="91"/>
      <c r="E82" s="91"/>
      <c r="F82" s="91"/>
      <c r="G82" s="91"/>
    </row>
    <row r="83" spans="2:7" ht="17.100000000000001" customHeight="1" x14ac:dyDescent="0.3">
      <c r="B83" s="91" t="s">
        <v>600</v>
      </c>
      <c r="C83" s="91"/>
      <c r="D83" s="91"/>
      <c r="E83" s="91"/>
      <c r="F83" s="91"/>
      <c r="G83" s="91"/>
    </row>
    <row r="84" spans="2:7" ht="30" customHeight="1" x14ac:dyDescent="0.3">
      <c r="B84" s="91" t="s">
        <v>601</v>
      </c>
      <c r="C84" s="91"/>
      <c r="D84" s="91"/>
      <c r="E84" s="91"/>
      <c r="F84" s="91"/>
      <c r="G84" s="91"/>
    </row>
    <row r="85" spans="2:7" ht="6" customHeight="1" x14ac:dyDescent="0.3">
      <c r="B85" s="38"/>
      <c r="C85" s="38"/>
      <c r="D85" s="38"/>
      <c r="E85" s="38"/>
      <c r="F85" s="38"/>
      <c r="G85" s="38"/>
    </row>
    <row r="86" spans="2:7" x14ac:dyDescent="0.3">
      <c r="B86" s="38"/>
      <c r="C86" s="38"/>
      <c r="D86" s="38"/>
      <c r="E86" s="38"/>
      <c r="F86" s="38"/>
      <c r="G86" s="38"/>
    </row>
    <row r="87" spans="2:7" x14ac:dyDescent="0.3">
      <c r="B87" s="121" t="str">
        <f>"5  기대효과"</f>
        <v>5  기대효과</v>
      </c>
      <c r="C87" s="81"/>
      <c r="D87" s="81"/>
      <c r="E87" s="81"/>
      <c r="F87" s="81"/>
      <c r="G87" s="81"/>
    </row>
    <row r="88" spans="2:7" ht="42.95" customHeight="1" x14ac:dyDescent="0.3">
      <c r="B88" s="91" t="s">
        <v>602</v>
      </c>
      <c r="C88" s="91"/>
      <c r="D88" s="91"/>
      <c r="E88" s="91"/>
      <c r="F88" s="91"/>
      <c r="G88" s="91"/>
    </row>
    <row r="89" spans="2:7" ht="6" customHeight="1" x14ac:dyDescent="0.3">
      <c r="B89" s="38"/>
      <c r="C89" s="38"/>
      <c r="D89" s="38"/>
      <c r="E89" s="38"/>
      <c r="F89" s="38"/>
      <c r="G89" s="38"/>
    </row>
    <row r="90" spans="2:7" ht="17.100000000000001" customHeight="1" x14ac:dyDescent="0.3">
      <c r="B90" s="91" t="s">
        <v>603</v>
      </c>
      <c r="C90" s="91"/>
      <c r="D90" s="91"/>
      <c r="E90" s="91"/>
      <c r="F90" s="91"/>
      <c r="G90" s="91"/>
    </row>
  </sheetData>
  <mergeCells count="85">
    <mergeCell ref="B8:G8"/>
    <mergeCell ref="B1:G1"/>
    <mergeCell ref="B2:G2"/>
    <mergeCell ref="B5:G5"/>
    <mergeCell ref="B6:G6"/>
    <mergeCell ref="B7:G7"/>
    <mergeCell ref="B22:C22"/>
    <mergeCell ref="D22:F22"/>
    <mergeCell ref="B9:G9"/>
    <mergeCell ref="B10:G10"/>
    <mergeCell ref="B13:G13"/>
    <mergeCell ref="B14:G14"/>
    <mergeCell ref="B15:G15"/>
    <mergeCell ref="B16:G16"/>
    <mergeCell ref="B19:G19"/>
    <mergeCell ref="B20:C20"/>
    <mergeCell ref="D20:F20"/>
    <mergeCell ref="B21:C21"/>
    <mergeCell ref="D21:F21"/>
    <mergeCell ref="B23:C23"/>
    <mergeCell ref="D23:F23"/>
    <mergeCell ref="B24:C24"/>
    <mergeCell ref="D24:F24"/>
    <mergeCell ref="B25:C25"/>
    <mergeCell ref="D25:F25"/>
    <mergeCell ref="B26:C26"/>
    <mergeCell ref="D26:F26"/>
    <mergeCell ref="B27:C27"/>
    <mergeCell ref="D27:F27"/>
    <mergeCell ref="B28:C28"/>
    <mergeCell ref="D28:F28"/>
    <mergeCell ref="B29:C29"/>
    <mergeCell ref="D29:F29"/>
    <mergeCell ref="B30:C30"/>
    <mergeCell ref="D30:F30"/>
    <mergeCell ref="B31:C31"/>
    <mergeCell ref="D31:F31"/>
    <mergeCell ref="F46:G46"/>
    <mergeCell ref="B34:G34"/>
    <mergeCell ref="B35:G35"/>
    <mergeCell ref="B36:G36"/>
    <mergeCell ref="B37:G37"/>
    <mergeCell ref="B38:G38"/>
    <mergeCell ref="B40:G40"/>
    <mergeCell ref="B41:G41"/>
    <mergeCell ref="F42:G42"/>
    <mergeCell ref="F43:G43"/>
    <mergeCell ref="F44:G44"/>
    <mergeCell ref="F45:G45"/>
    <mergeCell ref="B59:G59"/>
    <mergeCell ref="F47:G47"/>
    <mergeCell ref="F48:G48"/>
    <mergeCell ref="F49:G49"/>
    <mergeCell ref="F50:G50"/>
    <mergeCell ref="F51:G51"/>
    <mergeCell ref="F52:G52"/>
    <mergeCell ref="B53:G53"/>
    <mergeCell ref="B54:G54"/>
    <mergeCell ref="B56:G56"/>
    <mergeCell ref="B57:G57"/>
    <mergeCell ref="B58:G58"/>
    <mergeCell ref="B73:G73"/>
    <mergeCell ref="B61:G61"/>
    <mergeCell ref="B62:G62"/>
    <mergeCell ref="B63:G63"/>
    <mergeCell ref="B64:G64"/>
    <mergeCell ref="B65:G65"/>
    <mergeCell ref="B66:G66"/>
    <mergeCell ref="B67:G67"/>
    <mergeCell ref="B69:G69"/>
    <mergeCell ref="B70:G70"/>
    <mergeCell ref="B71:G71"/>
    <mergeCell ref="B72:G72"/>
    <mergeCell ref="B90:G90"/>
    <mergeCell ref="B74:G74"/>
    <mergeCell ref="B76:G76"/>
    <mergeCell ref="B77:G77"/>
    <mergeCell ref="B78:G78"/>
    <mergeCell ref="B80:G80"/>
    <mergeCell ref="B81:G81"/>
    <mergeCell ref="B82:G82"/>
    <mergeCell ref="B83:G83"/>
    <mergeCell ref="B84:G84"/>
    <mergeCell ref="B87:G87"/>
    <mergeCell ref="B88:G88"/>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A7795-5588-4357-A29C-B891B2C67CC2}">
  <sheetPr codeName="Sheet35"/>
  <dimension ref="A1:H20"/>
  <sheetViews>
    <sheetView workbookViewId="0"/>
  </sheetViews>
  <sheetFormatPr defaultRowHeight="16.5" x14ac:dyDescent="0.3"/>
  <cols>
    <col min="1" max="1" width="3.125" customWidth="1"/>
    <col min="2" max="2" width="11.625" customWidth="1"/>
    <col min="3" max="8" width="9.625" customWidth="1"/>
  </cols>
  <sheetData>
    <row r="1" spans="1:8" x14ac:dyDescent="0.3">
      <c r="A1" s="20" t="s">
        <v>533</v>
      </c>
    </row>
    <row r="3" spans="1:8" ht="24" x14ac:dyDescent="0.3">
      <c r="B3" s="92" t="s">
        <v>534</v>
      </c>
      <c r="C3" s="93"/>
      <c r="D3" s="93"/>
      <c r="E3" s="93"/>
      <c r="F3" s="93"/>
      <c r="G3" s="93"/>
      <c r="H3" s="93"/>
    </row>
    <row r="5" spans="1:8" x14ac:dyDescent="0.3">
      <c r="B5" s="25" t="s">
        <v>25</v>
      </c>
      <c r="C5" s="22" t="str">
        <f>IF(기초자료입력!C9&lt;&gt;"",기초자료입력!C9,"")</f>
        <v/>
      </c>
      <c r="D5" s="22"/>
      <c r="E5" s="25" t="s">
        <v>289</v>
      </c>
      <c r="F5" s="22" t="str">
        <f>IF(기초자료입력!C8&lt;&gt;"",TEXT(기초자료입력!C8,"yyyy-mm-dd"),"")</f>
        <v/>
      </c>
      <c r="G5" s="22"/>
      <c r="H5" s="22"/>
    </row>
    <row r="6" spans="1:8" x14ac:dyDescent="0.3">
      <c r="B6" s="22"/>
      <c r="C6" s="22"/>
      <c r="D6" s="22"/>
      <c r="E6" s="22"/>
      <c r="F6" s="22"/>
      <c r="G6" s="22"/>
      <c r="H6" s="22"/>
    </row>
    <row r="7" spans="1:8" x14ac:dyDescent="0.3">
      <c r="B7" s="25" t="s">
        <v>290</v>
      </c>
      <c r="C7" s="119" t="s">
        <v>510</v>
      </c>
      <c r="D7" s="119"/>
      <c r="E7" s="119"/>
      <c r="F7" s="119"/>
      <c r="G7" s="119"/>
      <c r="H7" s="119"/>
    </row>
    <row r="8" spans="1:8" x14ac:dyDescent="0.3">
      <c r="B8" s="25" t="s">
        <v>297</v>
      </c>
      <c r="C8" s="119"/>
      <c r="D8" s="119"/>
      <c r="E8" s="119"/>
      <c r="F8" s="119"/>
      <c r="G8" s="119"/>
      <c r="H8" s="119"/>
    </row>
    <row r="9" spans="1:8" x14ac:dyDescent="0.3">
      <c r="B9" s="25" t="s">
        <v>291</v>
      </c>
      <c r="C9" s="120" t="str">
        <f>IF(기초자료입력!C5&lt;&gt;"",기초자료입력!C5&amp;"학년도 교복 학교주관구매 추진 계획(안)","교복 학교주관구매 추진 계획(안)")</f>
        <v>교복 학교주관구매 추진 계획(안)</v>
      </c>
      <c r="D9" s="119"/>
      <c r="E9" s="119"/>
      <c r="F9" s="119"/>
      <c r="G9" s="119"/>
      <c r="H9" s="119"/>
    </row>
    <row r="10" spans="1:8" x14ac:dyDescent="0.3">
      <c r="B10" s="21"/>
      <c r="C10" s="21"/>
      <c r="D10" s="21"/>
      <c r="E10" s="21"/>
      <c r="F10" s="21"/>
      <c r="G10" s="21"/>
      <c r="H10" s="21"/>
    </row>
    <row r="11" spans="1:8" x14ac:dyDescent="0.3">
      <c r="B11" s="23" t="s">
        <v>298</v>
      </c>
      <c r="C11" s="88" t="str">
        <f>IF(기초자료입력!C23&lt;&gt;"",기초자료입력!C23,"")</f>
        <v/>
      </c>
      <c r="D11" s="88"/>
      <c r="E11" s="88"/>
      <c r="F11" s="88"/>
      <c r="G11" s="88"/>
      <c r="H11" s="88"/>
    </row>
    <row r="12" spans="1:8" x14ac:dyDescent="0.3">
      <c r="B12" s="21"/>
      <c r="C12" s="21"/>
      <c r="D12" s="21"/>
      <c r="E12" s="21"/>
      <c r="F12" s="21"/>
      <c r="G12" s="21"/>
      <c r="H12" s="21"/>
    </row>
    <row r="13" spans="1:8" ht="27.95" customHeight="1" x14ac:dyDescent="0.3">
      <c r="B13" s="77"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○○학교 ○○학년도 교복 학교주관구매 계획을 붙임과 같이 수립하여 업무 추진에 만전을 기하고자 합니다.</v>
      </c>
      <c r="C13" s="77"/>
      <c r="D13" s="77"/>
      <c r="E13" s="77"/>
      <c r="F13" s="77"/>
      <c r="G13" s="77"/>
      <c r="H13" s="77"/>
    </row>
    <row r="14" spans="1:8" x14ac:dyDescent="0.3">
      <c r="B14" s="21"/>
      <c r="C14" s="21"/>
      <c r="D14" s="21"/>
      <c r="E14" s="21"/>
      <c r="F14" s="21"/>
      <c r="G14" s="21"/>
      <c r="H14" s="21"/>
    </row>
    <row r="15" spans="1:8" x14ac:dyDescent="0.3">
      <c r="B15" s="89" t="str">
        <f>"붙임  "&amp;IF(기초자료입력!C5&lt;&gt;"",기초자료입력!C5,"○○")&amp;"학년도 교복 학교주관구매 추진 계획(안) 1부.  끝."</f>
        <v>붙임  ○○학년도 교복 학교주관구매 추진 계획(안) 1부.  끝.</v>
      </c>
      <c r="C15" s="88"/>
      <c r="D15" s="88"/>
      <c r="E15" s="88"/>
      <c r="F15" s="88"/>
      <c r="G15" s="88"/>
      <c r="H15" s="88"/>
    </row>
    <row r="16" spans="1:8" x14ac:dyDescent="0.3">
      <c r="B16" s="21"/>
      <c r="C16" s="21"/>
      <c r="D16" s="21"/>
      <c r="E16" s="21"/>
      <c r="F16" s="21"/>
      <c r="G16" s="21"/>
      <c r="H16" s="21"/>
    </row>
    <row r="17" spans="2:8" x14ac:dyDescent="0.3">
      <c r="B17" s="22"/>
      <c r="C17" s="22"/>
      <c r="D17" s="22"/>
      <c r="E17" s="22"/>
      <c r="F17" s="22" t="s">
        <v>293</v>
      </c>
      <c r="G17" s="22" t="s">
        <v>304</v>
      </c>
      <c r="H17" s="22" t="s">
        <v>294</v>
      </c>
    </row>
    <row r="18" spans="2:8" x14ac:dyDescent="0.3">
      <c r="B18" s="25" t="s">
        <v>305</v>
      </c>
      <c r="C18" s="119" t="str">
        <f>IF(기초자료입력!C9&lt;&gt;"",기초자료입력!C9,"")</f>
        <v/>
      </c>
      <c r="D18" s="119"/>
      <c r="E18" s="119"/>
      <c r="F18" s="25" t="s">
        <v>306</v>
      </c>
      <c r="G18" s="119"/>
      <c r="H18" s="119"/>
    </row>
    <row r="19" spans="2:8" x14ac:dyDescent="0.3">
      <c r="B19" s="25" t="s">
        <v>307</v>
      </c>
      <c r="C19" s="22"/>
      <c r="D19" s="25" t="s">
        <v>308</v>
      </c>
      <c r="E19" s="119"/>
      <c r="F19" s="119"/>
      <c r="G19" s="119"/>
      <c r="H19" s="119"/>
    </row>
    <row r="20" spans="2:8" x14ac:dyDescent="0.3">
      <c r="B20" s="25" t="s">
        <v>309</v>
      </c>
      <c r="C20" s="22"/>
      <c r="D20" s="25" t="s">
        <v>310</v>
      </c>
      <c r="E20" s="22"/>
      <c r="F20" s="25" t="s">
        <v>311</v>
      </c>
      <c r="G20" s="119"/>
      <c r="H20" s="119"/>
    </row>
  </sheetData>
  <mergeCells count="11">
    <mergeCell ref="B13:H13"/>
    <mergeCell ref="B3:H3"/>
    <mergeCell ref="C7:H7"/>
    <mergeCell ref="C8:H8"/>
    <mergeCell ref="C9:H9"/>
    <mergeCell ref="C11:H11"/>
    <mergeCell ref="B15:H15"/>
    <mergeCell ref="C18:E18"/>
    <mergeCell ref="G18:H18"/>
    <mergeCell ref="E19:H19"/>
    <mergeCell ref="G20:H20"/>
  </mergeCells>
  <phoneticPr fontId="6" type="noConversion"/>
  <pageMargins left="0.50000076388888881" right="0.50000076388888881" top="0.50000076388888881" bottom="0.50000076388888881" header="0.3" footer="0.3"/>
  <pageSetup paperSize="9" fitToWidth="0" fitToHeight="0"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308A5-7A23-474E-8567-39B2C91C694E}">
  <sheetPr codeName="Sheet36"/>
  <dimension ref="A1:E20"/>
  <sheetViews>
    <sheetView workbookViewId="0"/>
  </sheetViews>
  <sheetFormatPr defaultRowHeight="16.5" x14ac:dyDescent="0.3"/>
  <cols>
    <col min="1" max="1" width="3.125" customWidth="1"/>
    <col min="2" max="5" width="20.625" customWidth="1"/>
  </cols>
  <sheetData>
    <row r="1" spans="1:5" ht="12" customHeight="1" x14ac:dyDescent="0.3">
      <c r="A1" s="20" t="s">
        <v>531</v>
      </c>
    </row>
    <row r="3" spans="1:5" ht="26.1" customHeight="1" x14ac:dyDescent="0.3">
      <c r="B3" s="125" t="s">
        <v>532</v>
      </c>
      <c r="C3" s="124"/>
      <c r="D3" s="124"/>
      <c r="E3" s="124"/>
    </row>
    <row r="4" spans="1:5" ht="26.1" customHeight="1" x14ac:dyDescent="0.3">
      <c r="B4" s="124"/>
      <c r="C4" s="124"/>
      <c r="D4" s="124"/>
      <c r="E4" s="124"/>
    </row>
    <row r="5" spans="1:5" ht="9.9499999999999993" customHeight="1" x14ac:dyDescent="0.3">
      <c r="B5" s="55"/>
      <c r="C5" s="55"/>
      <c r="D5" s="55"/>
      <c r="E5" s="55"/>
    </row>
    <row r="6" spans="1:5" ht="27.95" customHeight="1" x14ac:dyDescent="0.3">
      <c r="B6" s="126"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6" s="126"/>
      <c r="D6" s="126"/>
      <c r="E6" s="126"/>
    </row>
    <row r="7" spans="1:5" ht="9.9499999999999993" customHeight="1" x14ac:dyDescent="0.3">
      <c r="B7" s="55"/>
      <c r="C7" s="55"/>
      <c r="D7" s="55"/>
      <c r="E7" s="55"/>
    </row>
    <row r="8" spans="1:5" ht="26.1" customHeight="1" x14ac:dyDescent="0.3">
      <c r="B8" s="126" t="str">
        <f>"1. 20○○학년도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8" s="126"/>
      <c r="D8" s="126"/>
      <c r="E8" s="126"/>
    </row>
    <row r="9" spans="1:5" ht="26.1" customHeight="1" x14ac:dyDescent="0.3">
      <c r="B9" s="126"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26"/>
      <c r="D9" s="126"/>
      <c r="E9" s="126"/>
    </row>
    <row r="10" spans="1:5" ht="26.1" customHeight="1" x14ac:dyDescent="0.3">
      <c r="B10" s="126" t="str">
        <f>"3. 업무상 취득한 비밀을 준수하고 보안관계 규정 및 지침을 성실히 수행하겠습니다."</f>
        <v>3. 업무상 취득한 비밀을 준수하고 보안관계 규정 및 지침을 성실히 수행하겠습니다.</v>
      </c>
      <c r="C10" s="126"/>
      <c r="D10" s="126"/>
      <c r="E10" s="126"/>
    </row>
    <row r="11" spans="1:5" ht="26.1" customHeight="1" x14ac:dyDescent="0.3">
      <c r="B11" s="126"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26"/>
      <c r="D11" s="126"/>
      <c r="E11" s="126"/>
    </row>
    <row r="12" spans="1:5" ht="9.9499999999999993" customHeight="1" x14ac:dyDescent="0.3">
      <c r="B12" s="55"/>
      <c r="C12" s="55"/>
      <c r="D12" s="55"/>
      <c r="E12" s="55"/>
    </row>
    <row r="13" spans="1:5" ht="14.1" customHeight="1" x14ac:dyDescent="0.3">
      <c r="B13" s="55"/>
      <c r="C13" s="55"/>
      <c r="D13" s="55"/>
      <c r="E13" s="55"/>
    </row>
    <row r="14" spans="1:5" ht="20.100000000000001" customHeight="1" x14ac:dyDescent="0.3">
      <c r="B14" s="124" t="str">
        <f>"20      년      월      일"</f>
        <v>20      년      월      일</v>
      </c>
      <c r="C14" s="124"/>
      <c r="D14" s="124"/>
      <c r="E14" s="124"/>
    </row>
    <row r="15" spans="1:5" ht="14.1" customHeight="1" x14ac:dyDescent="0.3">
      <c r="B15" s="55"/>
      <c r="C15" s="55"/>
      <c r="D15" s="55"/>
      <c r="E15" s="55"/>
    </row>
    <row r="16" spans="1:5" ht="14.1" customHeight="1" x14ac:dyDescent="0.3">
      <c r="B16" s="55"/>
      <c r="C16" s="55"/>
      <c r="D16" s="55"/>
      <c r="E16" s="55"/>
    </row>
    <row r="17" spans="2:5" ht="21.95" customHeight="1" x14ac:dyDescent="0.3">
      <c r="B17" s="108" t="str">
        <f>"서 약 자 성 명 :                              (인)"</f>
        <v>서 약 자 성 명 :                              (인)</v>
      </c>
      <c r="C17" s="108"/>
      <c r="D17" s="108"/>
      <c r="E17" s="108"/>
    </row>
    <row r="18" spans="2:5" ht="14.1" customHeight="1" x14ac:dyDescent="0.3">
      <c r="B18" s="55"/>
      <c r="C18" s="55"/>
      <c r="D18" s="55"/>
      <c r="E18" s="55"/>
    </row>
    <row r="19" spans="2:5" ht="9.9499999999999993" customHeight="1" x14ac:dyDescent="0.3">
      <c r="B19" s="55"/>
      <c r="C19" s="55"/>
      <c r="D19" s="55"/>
      <c r="E19" s="55"/>
    </row>
    <row r="20" spans="2:5" ht="20.100000000000001" customHeight="1" x14ac:dyDescent="0.3">
      <c r="B20" s="124" t="str">
        <f>IF(기초자료입력!$C$4="","○○○학교장 귀하",기초자료입력!$C$4&amp;"장 귀하")</f>
        <v>○○○학교장 귀하</v>
      </c>
      <c r="C20" s="124"/>
      <c r="D20" s="124"/>
      <c r="E20" s="124"/>
    </row>
  </sheetData>
  <mergeCells count="9">
    <mergeCell ref="B14:E14"/>
    <mergeCell ref="B17:E17"/>
    <mergeCell ref="B20:E20"/>
    <mergeCell ref="B3:E4"/>
    <mergeCell ref="B6:E6"/>
    <mergeCell ref="B8:E8"/>
    <mergeCell ref="B9:E9"/>
    <mergeCell ref="B10:E10"/>
    <mergeCell ref="B11:E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93EB6-8867-4AEE-8144-05312ACC35B1}">
  <sheetPr codeName="Sheet37"/>
  <dimension ref="A1:E21"/>
  <sheetViews>
    <sheetView workbookViewId="0"/>
  </sheetViews>
  <sheetFormatPr defaultRowHeight="16.5" x14ac:dyDescent="0.3"/>
  <cols>
    <col min="1" max="1" width="3.125" customWidth="1"/>
    <col min="2" max="5" width="20.625" customWidth="1"/>
  </cols>
  <sheetData>
    <row r="1" spans="1:5" ht="12" customHeight="1" x14ac:dyDescent="0.3">
      <c r="A1" s="20" t="s">
        <v>525</v>
      </c>
    </row>
    <row r="3" spans="1:5" ht="26.1" customHeight="1" x14ac:dyDescent="0.3">
      <c r="B3" s="125" t="s">
        <v>526</v>
      </c>
      <c r="C3" s="124"/>
      <c r="D3" s="124"/>
      <c r="E3" s="124"/>
    </row>
    <row r="4" spans="1:5" ht="26.1" customHeight="1" x14ac:dyDescent="0.3">
      <c r="B4" s="124"/>
      <c r="C4" s="124"/>
      <c r="D4" s="124"/>
      <c r="E4" s="124"/>
    </row>
    <row r="5" spans="1:5" ht="9.9499999999999993" customHeight="1" x14ac:dyDescent="0.3">
      <c r="B5" s="55"/>
      <c r="C5" s="55"/>
      <c r="D5" s="55"/>
      <c r="E5" s="55"/>
    </row>
    <row r="6" spans="1:5" ht="27.95" customHeight="1" x14ac:dyDescent="0.3">
      <c r="B6" s="126" t="str">
        <f>"본인은 "&amp;IF(기초자료입력!C4&lt;&gt;"",기초자료입력!C4,"○○학교")&amp;" 교복선정위원회 활동을 공정하게 수행할 것이며, 교복가격 안정화에 적극 노력하겠습니다."</f>
        <v>본인은 ○○학교 교복선정위원회 활동을 공정하게 수행할 것이며, 교복가격 안정화에 적극 노력하겠습니다.</v>
      </c>
      <c r="C6" s="126"/>
      <c r="D6" s="126"/>
      <c r="E6" s="126"/>
    </row>
    <row r="7" spans="1:5" ht="27.95" customHeight="1" x14ac:dyDescent="0.3">
      <c r="B7" s="126" t="str">
        <f>"아울러 본인은 "&amp;IF(기초자료입력!C4&lt;&gt;"",기초자료입력!C4,"○○학교")&amp;" 교복 입찰에 참가한(또는 앞으로 참가할) 업체와 전혀 관련이 없음을 확인합니다."</f>
        <v>아울러 본인은 ○○학교 교복 입찰에 참가한(또는 앞으로 참가할) 업체와 전혀 관련이 없음을 확인합니다.</v>
      </c>
      <c r="C7" s="126"/>
      <c r="D7" s="126"/>
      <c r="E7" s="126"/>
    </row>
    <row r="8" spans="1:5" ht="27.95" customHeight="1" x14ac:dyDescent="0.3">
      <c r="B8" s="126" t="s">
        <v>527</v>
      </c>
      <c r="C8" s="126"/>
      <c r="D8" s="126"/>
      <c r="E8" s="126"/>
    </row>
    <row r="9" spans="1:5" ht="14.1" customHeight="1" x14ac:dyDescent="0.3">
      <c r="B9" s="55"/>
      <c r="C9" s="55"/>
      <c r="D9" s="55"/>
      <c r="E9" s="55"/>
    </row>
    <row r="10" spans="1:5" ht="14.1" customHeight="1" x14ac:dyDescent="0.3">
      <c r="B10" s="55"/>
      <c r="C10" s="55"/>
      <c r="D10" s="55"/>
      <c r="E10" s="55"/>
    </row>
    <row r="11" spans="1:5" ht="9.9499999999999993" customHeight="1" x14ac:dyDescent="0.3">
      <c r="B11" s="55"/>
      <c r="C11" s="55"/>
      <c r="D11" s="55"/>
      <c r="E11" s="55"/>
    </row>
    <row r="12" spans="1:5" ht="20.100000000000001" customHeight="1" x14ac:dyDescent="0.3">
      <c r="B12" s="124" t="str">
        <f>IF(기초자료입력!$C$5="","20○○.  ○○  .  ○○  .","20"&amp;RIGHT(기초자료입력!$C$5,2)&amp;".  ○○  .  ○○  .")</f>
        <v>20○○.  ○○  .  ○○  .</v>
      </c>
      <c r="C12" s="124"/>
      <c r="D12" s="124"/>
      <c r="E12" s="124"/>
    </row>
    <row r="13" spans="1:5" ht="14.1" customHeight="1" x14ac:dyDescent="0.3">
      <c r="B13" s="55"/>
      <c r="C13" s="55"/>
      <c r="D13" s="55"/>
      <c r="E13" s="55"/>
    </row>
    <row r="14" spans="1:5" ht="21.95" customHeight="1" x14ac:dyDescent="0.3">
      <c r="B14" s="108" t="s">
        <v>528</v>
      </c>
      <c r="C14" s="108"/>
      <c r="D14" s="108"/>
      <c r="E14" s="108"/>
    </row>
    <row r="15" spans="1:5" ht="14.1" customHeight="1" x14ac:dyDescent="0.3">
      <c r="B15" s="56"/>
      <c r="C15" s="56"/>
      <c r="D15" s="56"/>
      <c r="E15" s="56"/>
    </row>
    <row r="16" spans="1:5" ht="21.95" customHeight="1" x14ac:dyDescent="0.3">
      <c r="B16" s="108" t="s">
        <v>529</v>
      </c>
      <c r="C16" s="108"/>
      <c r="D16" s="108"/>
      <c r="E16" s="108"/>
    </row>
    <row r="17" spans="2:5" ht="14.1" customHeight="1" x14ac:dyDescent="0.3">
      <c r="B17" s="56"/>
      <c r="C17" s="56"/>
      <c r="D17" s="56"/>
      <c r="E17" s="56"/>
    </row>
    <row r="18" spans="2:5" ht="21.95" customHeight="1" x14ac:dyDescent="0.3">
      <c r="B18" s="108" t="s">
        <v>530</v>
      </c>
      <c r="C18" s="108"/>
      <c r="D18" s="108"/>
      <c r="E18" s="108"/>
    </row>
    <row r="19" spans="2:5" ht="14.1" customHeight="1" x14ac:dyDescent="0.3">
      <c r="B19" s="55"/>
      <c r="C19" s="55"/>
      <c r="D19" s="55"/>
      <c r="E19" s="55"/>
    </row>
    <row r="20" spans="2:5" ht="9.9499999999999993" customHeight="1" x14ac:dyDescent="0.3">
      <c r="B20" s="55"/>
      <c r="C20" s="55"/>
      <c r="D20" s="55"/>
      <c r="E20" s="55"/>
    </row>
    <row r="21" spans="2:5" ht="20.100000000000001" customHeight="1" x14ac:dyDescent="0.3">
      <c r="B21" s="124" t="str">
        <f>IF(기초자료입력!$C$4="","○○학교장 귀하",기초자료입력!$C$4&amp;"장 귀하")</f>
        <v>○○학교장 귀하</v>
      </c>
      <c r="C21" s="124"/>
      <c r="D21" s="124"/>
      <c r="E21" s="124"/>
    </row>
  </sheetData>
  <mergeCells count="9">
    <mergeCell ref="B16:E16"/>
    <mergeCell ref="B18:E18"/>
    <mergeCell ref="B21:E21"/>
    <mergeCell ref="B3:E4"/>
    <mergeCell ref="B6:E6"/>
    <mergeCell ref="B7:E7"/>
    <mergeCell ref="B8:E8"/>
    <mergeCell ref="B12:E12"/>
    <mergeCell ref="B14:E14"/>
  </mergeCells>
  <phoneticPr fontId="6" type="noConversion"/>
  <pageMargins left="0.39370138888888889" right="0.39370138888888889" top="0.39370138888888889" bottom="0.39370138888888889" header="0.19685069444444445" footer="0.19685069444444445"/>
  <pageSetup paperSize="9" fitToWidth="0" fitToHeight="0"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F786D-2048-4D48-8DC7-791DF655F448}">
  <sheetPr codeName="Sheet38"/>
  <dimension ref="A1:H43"/>
  <sheetViews>
    <sheetView workbookViewId="0"/>
  </sheetViews>
  <sheetFormatPr defaultRowHeight="16.5" x14ac:dyDescent="0.3"/>
  <cols>
    <col min="1" max="1" width="3.125" customWidth="1"/>
    <col min="2" max="3" width="8.625" customWidth="1"/>
    <col min="4" max="4" width="12.625" customWidth="1"/>
    <col min="5" max="5" width="10.625" customWidth="1"/>
    <col min="6" max="8" width="8.625" customWidth="1"/>
  </cols>
  <sheetData>
    <row r="1" spans="1:8" x14ac:dyDescent="0.3">
      <c r="A1" s="20" t="s">
        <v>508</v>
      </c>
    </row>
    <row r="3" spans="1:8" ht="24" customHeight="1" x14ac:dyDescent="0.3">
      <c r="B3" s="92" t="s">
        <v>509</v>
      </c>
      <c r="C3" s="93"/>
      <c r="D3" s="93"/>
      <c r="E3" s="93"/>
      <c r="F3" s="93"/>
      <c r="G3" s="93"/>
      <c r="H3" s="93"/>
    </row>
    <row r="5" spans="1:8" ht="14.45" customHeight="1" x14ac:dyDescent="0.3">
      <c r="B5" s="54" t="s">
        <v>25</v>
      </c>
      <c r="C5" s="37" t="str">
        <f>IF(기초자료입력!C9&lt;&gt;"",기초자료입력!C9,"")</f>
        <v/>
      </c>
      <c r="D5" s="37"/>
      <c r="E5" s="54" t="s">
        <v>289</v>
      </c>
      <c r="F5" s="37" t="str">
        <f>IF(기초자료입력!C8&lt;&gt;"",TEXT(기초자료입력!C8,"yyyy-mm-dd"),"")</f>
        <v/>
      </c>
      <c r="G5" s="37"/>
      <c r="H5" s="37"/>
    </row>
    <row r="6" spans="1:8" ht="14.45" customHeight="1" x14ac:dyDescent="0.3">
      <c r="B6" s="37"/>
      <c r="C6" s="37"/>
      <c r="D6" s="37"/>
      <c r="E6" s="37"/>
      <c r="F6" s="37"/>
      <c r="G6" s="37"/>
      <c r="H6" s="37"/>
    </row>
    <row r="7" spans="1:8" ht="14.45" customHeight="1" x14ac:dyDescent="0.3">
      <c r="B7" s="54" t="s">
        <v>290</v>
      </c>
      <c r="C7" s="94" t="s">
        <v>510</v>
      </c>
      <c r="D7" s="94"/>
      <c r="E7" s="94"/>
      <c r="F7" s="94"/>
      <c r="G7" s="94"/>
      <c r="H7" s="94"/>
    </row>
    <row r="8" spans="1:8" ht="14.45" customHeight="1" x14ac:dyDescent="0.3">
      <c r="B8" s="54" t="s">
        <v>297</v>
      </c>
      <c r="C8" s="94"/>
      <c r="D8" s="94"/>
      <c r="E8" s="94"/>
      <c r="F8" s="94"/>
      <c r="G8" s="94"/>
      <c r="H8" s="94"/>
    </row>
    <row r="9" spans="1:8" ht="14.45" customHeight="1" x14ac:dyDescent="0.3">
      <c r="B9" s="54" t="s">
        <v>291</v>
      </c>
      <c r="C9" s="96" t="str">
        <f>IF(기초자료입력!C5&lt;&gt;"",기초자료입력!C5&amp;"학년도 교복선정위원회 구성(안)","교복선정위원회 구성(안)")</f>
        <v>교복선정위원회 구성(안)</v>
      </c>
      <c r="D9" s="94"/>
      <c r="E9" s="94"/>
      <c r="F9" s="94"/>
      <c r="G9" s="94"/>
      <c r="H9" s="94"/>
    </row>
    <row r="10" spans="1:8" ht="14.45" customHeight="1" x14ac:dyDescent="0.3">
      <c r="B10" s="37"/>
      <c r="C10" s="37"/>
      <c r="D10" s="37"/>
      <c r="E10" s="37"/>
      <c r="F10" s="37"/>
      <c r="G10" s="37"/>
      <c r="H10" s="37"/>
    </row>
    <row r="11" spans="1:8" ht="14.45" customHeight="1" x14ac:dyDescent="0.3">
      <c r="B11" s="54" t="s">
        <v>298</v>
      </c>
      <c r="C11" s="94" t="str">
        <f>IF(기초자료입력!C23&lt;&gt;"",기초자료입력!C23,"")</f>
        <v/>
      </c>
      <c r="D11" s="94"/>
      <c r="E11" s="94"/>
      <c r="F11" s="94"/>
      <c r="G11" s="94"/>
      <c r="H11" s="94"/>
    </row>
    <row r="12" spans="1:8" ht="14.45" customHeight="1" x14ac:dyDescent="0.3">
      <c r="B12" s="37"/>
      <c r="C12" s="37"/>
      <c r="D12" s="37"/>
      <c r="E12" s="37"/>
      <c r="F12" s="37"/>
      <c r="G12" s="37"/>
      <c r="H12" s="37"/>
    </row>
    <row r="13" spans="1:8" ht="26.1" customHeight="1" x14ac:dyDescent="0.3">
      <c r="B13" s="118" t="str">
        <f>"2. "&amp;IF(기초자료입력!C4&lt;&gt;"",기초자료입력!C4,"○○학교")&amp;" "&amp;IF(기초자료입력!C5&lt;&gt;"",기초자료입력!C5,"○○")&amp;"학년도 교복선정을 위한 교복선정위원회를 아래와 같이 구성하고자 합니다."</f>
        <v>2. ○○학교 ○○학년도 교복선정을 위한 교복선정위원회를 아래와 같이 구성하고자 합니다.</v>
      </c>
      <c r="C13" s="118"/>
      <c r="D13" s="118"/>
      <c r="E13" s="118"/>
      <c r="F13" s="118"/>
      <c r="G13" s="118"/>
      <c r="H13" s="118"/>
    </row>
    <row r="14" spans="1:8" ht="14.45" customHeight="1" x14ac:dyDescent="0.3">
      <c r="B14" s="37"/>
      <c r="C14" s="37"/>
      <c r="D14" s="37"/>
      <c r="E14" s="37"/>
      <c r="F14" s="37"/>
      <c r="G14" s="37"/>
      <c r="H14" s="37"/>
    </row>
    <row r="15" spans="1:8" ht="14.45" customHeight="1" x14ac:dyDescent="0.3">
      <c r="B15" s="96" t="s">
        <v>511</v>
      </c>
      <c r="C15" s="94"/>
      <c r="D15" s="94"/>
      <c r="E15" s="94"/>
      <c r="F15" s="94"/>
      <c r="G15" s="94"/>
      <c r="H15" s="94"/>
    </row>
    <row r="16" spans="1:8" ht="20.100000000000001" customHeight="1" x14ac:dyDescent="0.3">
      <c r="B16" s="127" t="s">
        <v>512</v>
      </c>
      <c r="C16" s="118"/>
      <c r="D16" s="118"/>
      <c r="E16" s="118"/>
      <c r="F16" s="118"/>
      <c r="G16" s="118"/>
      <c r="H16" s="118"/>
    </row>
    <row r="17" spans="2:8" ht="12" customHeight="1" x14ac:dyDescent="0.3">
      <c r="B17" s="118" t="s">
        <v>513</v>
      </c>
      <c r="C17" s="118"/>
      <c r="D17" s="118"/>
      <c r="E17" s="118"/>
      <c r="F17" s="118"/>
      <c r="G17" s="118"/>
      <c r="H17" s="118"/>
    </row>
    <row r="18" spans="2:8" ht="14.45" customHeight="1" x14ac:dyDescent="0.3">
      <c r="B18" s="96" t="s">
        <v>514</v>
      </c>
      <c r="C18" s="94"/>
      <c r="D18" s="94"/>
      <c r="E18" s="94"/>
      <c r="F18" s="94"/>
      <c r="G18" s="94"/>
      <c r="H18" s="94"/>
    </row>
    <row r="19" spans="2:8" ht="14.45" customHeight="1" x14ac:dyDescent="0.3">
      <c r="B19" s="94" t="s">
        <v>515</v>
      </c>
      <c r="C19" s="94"/>
      <c r="D19" s="94"/>
      <c r="E19" s="94"/>
      <c r="F19" s="94"/>
      <c r="G19" s="94"/>
      <c r="H19" s="94"/>
    </row>
    <row r="20" spans="2:8" ht="14.45" customHeight="1" x14ac:dyDescent="0.3">
      <c r="B20" s="94" t="s">
        <v>516</v>
      </c>
      <c r="C20" s="94"/>
      <c r="D20" s="94"/>
      <c r="E20" s="94"/>
      <c r="F20" s="94"/>
      <c r="G20" s="94"/>
      <c r="H20" s="94"/>
    </row>
    <row r="21" spans="2:8" ht="14.45" customHeight="1" x14ac:dyDescent="0.3">
      <c r="B21" s="94" t="s">
        <v>517</v>
      </c>
      <c r="C21" s="94"/>
      <c r="D21" s="94"/>
      <c r="E21" s="94"/>
      <c r="F21" s="94"/>
      <c r="G21" s="94"/>
      <c r="H21" s="94"/>
    </row>
    <row r="22" spans="2:8" ht="14.45" customHeight="1" x14ac:dyDescent="0.3">
      <c r="B22" s="94" t="s">
        <v>518</v>
      </c>
      <c r="C22" s="94"/>
      <c r="D22" s="94"/>
      <c r="E22" s="94"/>
      <c r="F22" s="94"/>
      <c r="G22" s="94"/>
      <c r="H22" s="94"/>
    </row>
    <row r="23" spans="2:8" ht="14.45" customHeight="1" x14ac:dyDescent="0.3">
      <c r="B23" s="37"/>
      <c r="C23" s="37"/>
      <c r="D23" s="37"/>
      <c r="E23" s="37"/>
      <c r="F23" s="37"/>
      <c r="G23" s="37"/>
      <c r="H23" s="37"/>
    </row>
    <row r="24" spans="2:8" ht="14.45" customHeight="1" x14ac:dyDescent="0.3">
      <c r="B24" s="96" t="s">
        <v>519</v>
      </c>
      <c r="C24" s="94"/>
      <c r="D24" s="94"/>
      <c r="E24" s="94"/>
      <c r="F24" s="94"/>
      <c r="G24" s="94"/>
      <c r="H24" s="94"/>
    </row>
    <row r="25" spans="2:8" ht="14.45" customHeight="1" x14ac:dyDescent="0.3">
      <c r="B25" s="32" t="s">
        <v>520</v>
      </c>
      <c r="C25" s="32" t="s">
        <v>327</v>
      </c>
      <c r="D25" s="32" t="s">
        <v>521</v>
      </c>
      <c r="E25" s="32" t="s">
        <v>522</v>
      </c>
      <c r="F25" s="80" t="s">
        <v>316</v>
      </c>
      <c r="G25" s="94"/>
      <c r="H25" s="94"/>
    </row>
    <row r="26" spans="2:8" ht="14.45" customHeight="1" x14ac:dyDescent="0.3">
      <c r="B26" s="37" t="str">
        <f>IF(기초자료입력!B58&lt;&gt;"",1,"")</f>
        <v/>
      </c>
      <c r="C26" s="37" t="str">
        <f>IF(기초자료입력!B58&lt;&gt;"","위원장","")</f>
        <v/>
      </c>
      <c r="D26" s="37" t="str">
        <f>IF(기초자료입력!B58&lt;&gt;"",기초자료입력!B58,"")</f>
        <v/>
      </c>
      <c r="E26" s="37" t="str">
        <f>IF(기초자료입력!C58&lt;&gt;"",기초자료입력!C58,"")</f>
        <v/>
      </c>
      <c r="F26" s="94"/>
      <c r="G26" s="94"/>
      <c r="H26" s="94"/>
    </row>
    <row r="27" spans="2:8" ht="14.45" customHeight="1" x14ac:dyDescent="0.3">
      <c r="B27" s="37" t="str">
        <f>IF(기초자료입력!B59&lt;&gt;"",2,"")</f>
        <v/>
      </c>
      <c r="C27" s="37" t="str">
        <f>IF(기초자료입력!B59&lt;&gt;"","위원","")</f>
        <v/>
      </c>
      <c r="D27" s="37" t="str">
        <f>IF(기초자료입력!B59&lt;&gt;"",기초자료입력!B59,"")</f>
        <v/>
      </c>
      <c r="E27" s="37" t="str">
        <f>IF(기초자료입력!C59&lt;&gt;"",기초자료입력!C59,"")</f>
        <v/>
      </c>
      <c r="F27" s="94"/>
      <c r="G27" s="94"/>
      <c r="H27" s="94"/>
    </row>
    <row r="28" spans="2:8" ht="14.45" customHeight="1" x14ac:dyDescent="0.3">
      <c r="B28" s="37" t="str">
        <f>IF(기초자료입력!B60&lt;&gt;"",3,"")</f>
        <v/>
      </c>
      <c r="C28" s="37" t="str">
        <f>IF(기초자료입력!B60&lt;&gt;"","위원","")</f>
        <v/>
      </c>
      <c r="D28" s="37" t="str">
        <f>IF(기초자료입력!B60&lt;&gt;"",기초자료입력!B60,"")</f>
        <v/>
      </c>
      <c r="E28" s="37" t="str">
        <f>IF(기초자료입력!C60&lt;&gt;"",기초자료입력!C60,"")</f>
        <v/>
      </c>
      <c r="F28" s="94"/>
      <c r="G28" s="94"/>
      <c r="H28" s="94"/>
    </row>
    <row r="29" spans="2:8" ht="14.45" customHeight="1" x14ac:dyDescent="0.3">
      <c r="B29" s="37" t="str">
        <f>IF(기초자료입력!B61&lt;&gt;"",4,"")</f>
        <v/>
      </c>
      <c r="C29" s="37" t="str">
        <f>IF(기초자료입력!B61&lt;&gt;"","위원","")</f>
        <v/>
      </c>
      <c r="D29" s="37" t="str">
        <f>IF(기초자료입력!B61&lt;&gt;"",기초자료입력!B61,"")</f>
        <v/>
      </c>
      <c r="E29" s="37" t="str">
        <f>IF(기초자료입력!C61&lt;&gt;"",기초자료입력!C61,"")</f>
        <v/>
      </c>
      <c r="F29" s="94"/>
      <c r="G29" s="94"/>
      <c r="H29" s="94"/>
    </row>
    <row r="30" spans="2:8" ht="14.45" customHeight="1" x14ac:dyDescent="0.3">
      <c r="B30" s="37" t="str">
        <f>IF(기초자료입력!B62&lt;&gt;"",5,"")</f>
        <v/>
      </c>
      <c r="C30" s="37" t="str">
        <f>IF(기초자료입력!B62&lt;&gt;"","위원","")</f>
        <v/>
      </c>
      <c r="D30" s="37" t="str">
        <f>IF(기초자료입력!B62&lt;&gt;"",기초자료입력!B62,"")</f>
        <v/>
      </c>
      <c r="E30" s="37" t="str">
        <f>IF(기초자료입력!C62&lt;&gt;"",기초자료입력!C62,"")</f>
        <v/>
      </c>
      <c r="F30" s="94"/>
      <c r="G30" s="94"/>
      <c r="H30" s="94"/>
    </row>
    <row r="31" spans="2:8" ht="14.45" customHeight="1" x14ac:dyDescent="0.3">
      <c r="B31" s="37" t="str">
        <f>IF(기초자료입력!B63&lt;&gt;"",6,"")</f>
        <v/>
      </c>
      <c r="C31" s="37" t="str">
        <f>IF(기초자료입력!B63&lt;&gt;"","위원","")</f>
        <v/>
      </c>
      <c r="D31" s="37" t="str">
        <f>IF(기초자료입력!B63&lt;&gt;"",기초자료입력!B63,"")</f>
        <v/>
      </c>
      <c r="E31" s="37" t="str">
        <f>IF(기초자료입력!C63&lt;&gt;"",기초자료입력!C63,"")</f>
        <v/>
      </c>
      <c r="F31" s="94"/>
      <c r="G31" s="94"/>
      <c r="H31" s="94"/>
    </row>
    <row r="32" spans="2:8" ht="14.45" customHeight="1" x14ac:dyDescent="0.3">
      <c r="B32" s="37" t="str">
        <f>IF(기초자료입력!B64&lt;&gt;"",7,"")</f>
        <v/>
      </c>
      <c r="C32" s="37" t="str">
        <f>IF(기초자료입력!B64&lt;&gt;"","위원","")</f>
        <v/>
      </c>
      <c r="D32" s="37" t="str">
        <f>IF(기초자료입력!B64&lt;&gt;"",기초자료입력!B64,"")</f>
        <v/>
      </c>
      <c r="E32" s="37" t="str">
        <f>IF(기초자료입력!C64&lt;&gt;"",기초자료입력!C64,"")</f>
        <v/>
      </c>
      <c r="F32" s="94"/>
      <c r="G32" s="94"/>
      <c r="H32" s="94"/>
    </row>
    <row r="33" spans="2:8" ht="14.45" customHeight="1" x14ac:dyDescent="0.3">
      <c r="B33" s="37" t="str">
        <f>IF(기초자료입력!B65&lt;&gt;"",8,"")</f>
        <v/>
      </c>
      <c r="C33" s="37" t="str">
        <f>IF(기초자료입력!B65&lt;&gt;"","위원","")</f>
        <v/>
      </c>
      <c r="D33" s="37" t="str">
        <f>IF(기초자료입력!B65&lt;&gt;"",기초자료입력!B65,"")</f>
        <v/>
      </c>
      <c r="E33" s="37" t="str">
        <f>IF(기초자료입력!C65&lt;&gt;"",기초자료입력!C65,"")</f>
        <v/>
      </c>
      <c r="F33" s="94"/>
      <c r="G33" s="94"/>
      <c r="H33" s="94"/>
    </row>
    <row r="34" spans="2:8" ht="14.45" customHeight="1" x14ac:dyDescent="0.3">
      <c r="B34" s="37" t="str">
        <f>IF(기초자료입력!B66&lt;&gt;"",9,"")</f>
        <v/>
      </c>
      <c r="C34" s="37" t="str">
        <f>IF(기초자료입력!B66&lt;&gt;"","위원","")</f>
        <v/>
      </c>
      <c r="D34" s="37" t="str">
        <f>IF(기초자료입력!B66&lt;&gt;"",기초자료입력!B66,"")</f>
        <v/>
      </c>
      <c r="E34" s="37" t="str">
        <f>IF(기초자료입력!C66&lt;&gt;"",기초자료입력!C66,"")</f>
        <v/>
      </c>
      <c r="F34" s="94"/>
      <c r="G34" s="94"/>
      <c r="H34" s="94"/>
    </row>
    <row r="35" spans="2:8" ht="14.45" customHeight="1" x14ac:dyDescent="0.3">
      <c r="B35" s="37" t="str">
        <f>IF(기초자료입력!B67&lt;&gt;"",10,"")</f>
        <v/>
      </c>
      <c r="C35" s="37" t="str">
        <f>IF(기초자료입력!B67&lt;&gt;"","위원","")</f>
        <v/>
      </c>
      <c r="D35" s="37" t="str">
        <f>IF(기초자료입력!B67&lt;&gt;"",기초자료입력!B67,"")</f>
        <v/>
      </c>
      <c r="E35" s="37" t="str">
        <f>IF(기초자료입력!C67&lt;&gt;"",기초자료입력!C67,"")</f>
        <v/>
      </c>
      <c r="F35" s="94"/>
      <c r="G35" s="94"/>
      <c r="H35" s="94"/>
    </row>
    <row r="36" spans="2:8" ht="14.45" customHeight="1" x14ac:dyDescent="0.3">
      <c r="B36" s="38"/>
      <c r="C36" s="38"/>
      <c r="D36" s="38"/>
      <c r="E36" s="38"/>
      <c r="F36" s="38"/>
      <c r="G36" s="38"/>
      <c r="H36" s="38"/>
    </row>
    <row r="37" spans="2:8" ht="14.45" customHeight="1" x14ac:dyDescent="0.3">
      <c r="B37" s="86" t="s">
        <v>523</v>
      </c>
      <c r="C37" s="81"/>
      <c r="D37" s="81"/>
      <c r="E37" s="81"/>
      <c r="F37" s="81"/>
      <c r="G37" s="81"/>
      <c r="H37" s="81"/>
    </row>
    <row r="38" spans="2:8" ht="14.45" customHeight="1" x14ac:dyDescent="0.3">
      <c r="B38" s="81" t="s">
        <v>524</v>
      </c>
      <c r="C38" s="81"/>
      <c r="D38" s="81"/>
      <c r="E38" s="81"/>
      <c r="F38" s="81"/>
      <c r="G38" s="81"/>
      <c r="H38" s="81"/>
    </row>
    <row r="39" spans="2:8" ht="14.45" customHeight="1" x14ac:dyDescent="0.3">
      <c r="B39" s="38"/>
      <c r="C39" s="38"/>
      <c r="D39" s="38"/>
      <c r="E39" s="38"/>
      <c r="F39" s="38"/>
      <c r="G39" s="38"/>
      <c r="H39" s="38"/>
    </row>
    <row r="40" spans="2:8" ht="14.45" customHeight="1" x14ac:dyDescent="0.3">
      <c r="B40" s="38"/>
      <c r="C40" s="38"/>
      <c r="D40" s="38"/>
      <c r="E40" s="38"/>
      <c r="F40" s="54" t="s">
        <v>293</v>
      </c>
      <c r="G40" s="54" t="s">
        <v>304</v>
      </c>
      <c r="H40" s="54" t="s">
        <v>294</v>
      </c>
    </row>
    <row r="41" spans="2:8" ht="14.45" customHeight="1" x14ac:dyDescent="0.3">
      <c r="B41" s="53" t="s">
        <v>305</v>
      </c>
      <c r="C41" s="81" t="str">
        <f>IF(기초자료입력!C9&lt;&gt;"",기초자료입력!C9,"")</f>
        <v/>
      </c>
      <c r="D41" s="81"/>
      <c r="E41" s="81"/>
      <c r="F41" s="54" t="s">
        <v>306</v>
      </c>
      <c r="G41" s="94"/>
      <c r="H41" s="94"/>
    </row>
    <row r="42" spans="2:8" ht="14.45" customHeight="1" x14ac:dyDescent="0.3">
      <c r="B42" s="53" t="s">
        <v>307</v>
      </c>
      <c r="C42" s="38"/>
      <c r="D42" s="53" t="s">
        <v>308</v>
      </c>
      <c r="E42" s="81"/>
      <c r="F42" s="94"/>
      <c r="G42" s="94"/>
      <c r="H42" s="94"/>
    </row>
    <row r="43" spans="2:8" ht="14.45" customHeight="1" x14ac:dyDescent="0.3">
      <c r="B43" s="53" t="s">
        <v>309</v>
      </c>
      <c r="C43" s="38"/>
      <c r="D43" s="53" t="s">
        <v>310</v>
      </c>
      <c r="E43" s="38"/>
      <c r="F43" s="54" t="s">
        <v>311</v>
      </c>
      <c r="G43" s="94"/>
      <c r="H43" s="94"/>
    </row>
  </sheetData>
  <mergeCells count="32">
    <mergeCell ref="B20:H20"/>
    <mergeCell ref="B3:H3"/>
    <mergeCell ref="C7:H7"/>
    <mergeCell ref="C8:H8"/>
    <mergeCell ref="C9:H9"/>
    <mergeCell ref="C11:H11"/>
    <mergeCell ref="B13:H13"/>
    <mergeCell ref="B15:H15"/>
    <mergeCell ref="B16:H16"/>
    <mergeCell ref="B17:H17"/>
    <mergeCell ref="B18:H18"/>
    <mergeCell ref="B19:H19"/>
    <mergeCell ref="F33:H33"/>
    <mergeCell ref="B21:H21"/>
    <mergeCell ref="B22:H22"/>
    <mergeCell ref="B24:H24"/>
    <mergeCell ref="F25:H25"/>
    <mergeCell ref="F26:H26"/>
    <mergeCell ref="F27:H27"/>
    <mergeCell ref="F28:H28"/>
    <mergeCell ref="F29:H29"/>
    <mergeCell ref="F30:H30"/>
    <mergeCell ref="F31:H31"/>
    <mergeCell ref="F32:H32"/>
    <mergeCell ref="E42:H42"/>
    <mergeCell ref="G43:H43"/>
    <mergeCell ref="F34:H34"/>
    <mergeCell ref="F35:H35"/>
    <mergeCell ref="B37:H37"/>
    <mergeCell ref="B38:H38"/>
    <mergeCell ref="C41:E41"/>
    <mergeCell ref="G41:H41"/>
  </mergeCells>
  <phoneticPr fontId="6" type="noConversion"/>
  <pageMargins left="0.39370138888888889" right="0.39370138888888889" top="0.31496111111111108" bottom="0.31496111111111108" header="0.11811041666666666" footer="0.11811041666666666"/>
  <pageSetup paperSize="9" fitToWidth="0" fitToHeight="0"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4D593-DD5E-4651-866E-6C5AE5E0002E}">
  <sheetPr codeName="Sheet39"/>
  <dimension ref="B1:G31"/>
  <sheetViews>
    <sheetView workbookViewId="0"/>
  </sheetViews>
  <sheetFormatPr defaultRowHeight="16.5" x14ac:dyDescent="0.3"/>
  <cols>
    <col min="1" max="1" width="3.125" customWidth="1"/>
    <col min="2" max="5" width="20.625" customWidth="1"/>
  </cols>
  <sheetData>
    <row r="1" spans="2:7" ht="12" customHeight="1" x14ac:dyDescent="0.3">
      <c r="B1" s="131" t="s">
        <v>490</v>
      </c>
      <c r="C1" s="132"/>
      <c r="D1" s="132"/>
      <c r="E1" s="132"/>
    </row>
    <row r="2" spans="2:7" ht="8.1" customHeight="1" x14ac:dyDescent="0.3">
      <c r="G2" s="36" t="s">
        <v>338</v>
      </c>
    </row>
    <row r="3" spans="2:7" ht="26.1" customHeight="1" x14ac:dyDescent="0.3">
      <c r="B3" s="102" t="s">
        <v>206</v>
      </c>
      <c r="C3" s="110"/>
      <c r="D3" s="110"/>
      <c r="E3" s="110"/>
      <c r="G3">
        <v>1</v>
      </c>
    </row>
    <row r="4" spans="2:7" ht="26.1" customHeight="1" x14ac:dyDescent="0.3">
      <c r="B4" s="110"/>
      <c r="C4" s="110"/>
      <c r="D4" s="110"/>
      <c r="E4" s="110"/>
    </row>
    <row r="5" spans="2:7" ht="6" customHeight="1" x14ac:dyDescent="0.3">
      <c r="B5" s="49"/>
      <c r="C5" s="49"/>
      <c r="D5" s="49"/>
      <c r="E5" s="49"/>
    </row>
    <row r="6" spans="2:7" ht="18" customHeight="1" x14ac:dyDescent="0.3">
      <c r="B6" s="129" t="s">
        <v>491</v>
      </c>
      <c r="C6" s="99"/>
      <c r="D6" s="99"/>
      <c r="E6" s="99"/>
    </row>
    <row r="7" spans="2:7" ht="20.100000000000001" customHeight="1" x14ac:dyDescent="0.3">
      <c r="B7" s="128" t="s">
        <v>492</v>
      </c>
      <c r="C7" s="128"/>
      <c r="D7" s="128"/>
      <c r="E7" s="128"/>
    </row>
    <row r="8" spans="2:7" ht="6" customHeight="1" x14ac:dyDescent="0.3">
      <c r="B8" s="49"/>
      <c r="C8" s="49"/>
      <c r="D8" s="49"/>
      <c r="E8" s="49"/>
    </row>
    <row r="9" spans="2:7" ht="18" customHeight="1" x14ac:dyDescent="0.3">
      <c r="B9" s="129" t="s">
        <v>493</v>
      </c>
      <c r="C9" s="99"/>
      <c r="D9" s="99"/>
      <c r="E9" s="99"/>
    </row>
    <row r="10" spans="2:7" ht="20.100000000000001" customHeight="1" x14ac:dyDescent="0.3">
      <c r="B10" s="128" t="s">
        <v>494</v>
      </c>
      <c r="C10" s="128"/>
      <c r="D10" s="128"/>
      <c r="E10" s="128"/>
    </row>
    <row r="11" spans="2:7" ht="20.100000000000001" customHeight="1" x14ac:dyDescent="0.3">
      <c r="B11" s="128" t="s">
        <v>495</v>
      </c>
      <c r="C11" s="128"/>
      <c r="D11" s="128"/>
      <c r="E11" s="128"/>
    </row>
    <row r="12" spans="2:7" ht="20.100000000000001" customHeight="1" x14ac:dyDescent="0.3">
      <c r="B12" s="128" t="s">
        <v>496</v>
      </c>
      <c r="C12" s="128"/>
      <c r="D12" s="128"/>
      <c r="E12" s="128"/>
    </row>
    <row r="13" spans="2:7" ht="20.100000000000001" customHeight="1" x14ac:dyDescent="0.3">
      <c r="B13" s="128" t="s">
        <v>497</v>
      </c>
      <c r="C13" s="128"/>
      <c r="D13" s="128"/>
      <c r="E13" s="128"/>
    </row>
    <row r="14" spans="2:7" ht="6" customHeight="1" x14ac:dyDescent="0.3">
      <c r="B14" s="49"/>
      <c r="C14" s="49"/>
      <c r="D14" s="49"/>
      <c r="E14" s="49"/>
    </row>
    <row r="15" spans="2:7" ht="26.1" customHeight="1" x14ac:dyDescent="0.3">
      <c r="B15" s="130" t="s">
        <v>498</v>
      </c>
      <c r="C15" s="128"/>
      <c r="D15" s="128"/>
      <c r="E15" s="128"/>
    </row>
    <row r="16" spans="2:7" ht="18" customHeight="1" x14ac:dyDescent="0.3">
      <c r="B16" s="128" t="s">
        <v>499</v>
      </c>
      <c r="C16" s="128"/>
      <c r="D16" s="128"/>
      <c r="E16" s="128"/>
    </row>
    <row r="17" spans="2:5" ht="18" customHeight="1" x14ac:dyDescent="0.3">
      <c r="B17" s="128" t="s">
        <v>500</v>
      </c>
      <c r="C17" s="128"/>
      <c r="D17" s="128"/>
      <c r="E17" s="128"/>
    </row>
    <row r="18" spans="2:5" ht="20.100000000000001" customHeight="1" x14ac:dyDescent="0.3">
      <c r="B18" s="128" t="s">
        <v>501</v>
      </c>
      <c r="C18" s="128"/>
      <c r="D18" s="128"/>
      <c r="E18" s="128"/>
    </row>
    <row r="19" spans="2:5" ht="6" customHeight="1" x14ac:dyDescent="0.3">
      <c r="B19" s="49"/>
      <c r="C19" s="49"/>
      <c r="D19" s="49"/>
      <c r="E19" s="49"/>
    </row>
    <row r="20" spans="2:5" ht="18" customHeight="1" x14ac:dyDescent="0.3">
      <c r="B20" s="129" t="s">
        <v>502</v>
      </c>
      <c r="C20" s="99"/>
      <c r="D20" s="99"/>
      <c r="E20" s="99"/>
    </row>
    <row r="21" spans="2:5" ht="20.100000000000001" customHeight="1" x14ac:dyDescent="0.3">
      <c r="B21" s="128" t="s">
        <v>503</v>
      </c>
      <c r="C21" s="128"/>
      <c r="D21" s="128"/>
      <c r="E21" s="128"/>
    </row>
    <row r="22" spans="2:5" ht="18" customHeight="1" x14ac:dyDescent="0.3">
      <c r="B22" s="128" t="s">
        <v>504</v>
      </c>
      <c r="C22" s="128"/>
      <c r="D22" s="128"/>
      <c r="E22" s="128"/>
    </row>
    <row r="23" spans="2:5" ht="21.95" customHeight="1" x14ac:dyDescent="0.3">
      <c r="B23" s="128" t="s">
        <v>505</v>
      </c>
      <c r="C23" s="128"/>
      <c r="D23" s="128"/>
      <c r="E23" s="128"/>
    </row>
    <row r="24" spans="2:5" ht="21.95" customHeight="1" x14ac:dyDescent="0.3">
      <c r="B24" s="128"/>
      <c r="C24" s="128"/>
      <c r="D24" s="128"/>
      <c r="E24" s="128"/>
    </row>
    <row r="25" spans="2:5" ht="18" customHeight="1" x14ac:dyDescent="0.3">
      <c r="B25" s="128" t="s">
        <v>506</v>
      </c>
      <c r="C25" s="128"/>
      <c r="D25" s="128"/>
      <c r="E25" s="128"/>
    </row>
    <row r="26" spans="2:5" ht="18" customHeight="1" x14ac:dyDescent="0.3">
      <c r="B26" s="99" t="s">
        <v>507</v>
      </c>
      <c r="C26" s="99"/>
      <c r="D26" s="99"/>
      <c r="E26" s="99"/>
    </row>
    <row r="27" spans="2:5" ht="18" customHeight="1" x14ac:dyDescent="0.3">
      <c r="B27" s="99" t="s">
        <v>507</v>
      </c>
      <c r="C27" s="99"/>
      <c r="D27" s="99"/>
      <c r="E27" s="99"/>
    </row>
    <row r="28" spans="2:5" ht="8.1" customHeight="1" x14ac:dyDescent="0.3">
      <c r="B28" s="49"/>
      <c r="C28" s="49"/>
      <c r="D28" s="49"/>
      <c r="E28" s="49"/>
    </row>
    <row r="29" spans="2:5" ht="18" customHeight="1" x14ac:dyDescent="0.3">
      <c r="B29" s="110" t="str">
        <f>IF(기초자료입력!$C$5="","20○○년   월   일","20"&amp;RIGHT(기초자료입력!$C$5,2)&amp;"년   월   일")</f>
        <v>20○○년   월   일</v>
      </c>
      <c r="C29" s="110"/>
      <c r="D29" s="110"/>
      <c r="E29" s="110"/>
    </row>
    <row r="30" spans="2:5" ht="18" customHeight="1" x14ac:dyDescent="0.3">
      <c r="B30" s="110" t="s">
        <v>475</v>
      </c>
      <c r="C30" s="110"/>
      <c r="D30" s="110"/>
      <c r="E30" s="110"/>
    </row>
    <row r="31" spans="2:5" ht="18" customHeight="1" x14ac:dyDescent="0.3">
      <c r="B31" s="110" t="str">
        <f>IF(기초자료입력!$C$4="","○○○○학교장 귀하",기초자료입력!$C$4&amp;"장 귀하")</f>
        <v>○○○○학교장 귀하</v>
      </c>
      <c r="C31" s="110"/>
      <c r="D31" s="110"/>
      <c r="E31" s="110"/>
    </row>
  </sheetData>
  <mergeCells count="23">
    <mergeCell ref="B10:E10"/>
    <mergeCell ref="B1:E1"/>
    <mergeCell ref="B3:E4"/>
    <mergeCell ref="B6:E6"/>
    <mergeCell ref="B7:E7"/>
    <mergeCell ref="B9:E9"/>
    <mergeCell ref="B25:E25"/>
    <mergeCell ref="B11:E11"/>
    <mergeCell ref="B12:E12"/>
    <mergeCell ref="B13:E13"/>
    <mergeCell ref="B15:E15"/>
    <mergeCell ref="B16:E16"/>
    <mergeCell ref="B17:E17"/>
    <mergeCell ref="B18:E18"/>
    <mergeCell ref="B20:E20"/>
    <mergeCell ref="B21:E21"/>
    <mergeCell ref="B22:E22"/>
    <mergeCell ref="B23:E24"/>
    <mergeCell ref="B26:E26"/>
    <mergeCell ref="B27:E27"/>
    <mergeCell ref="B29:E29"/>
    <mergeCell ref="B30:E30"/>
    <mergeCell ref="B31:E31"/>
  </mergeCells>
  <phoneticPr fontId="6" type="noConversion"/>
  <pageMargins left="0.39370138888888889" right="0.39370138888888889" top="0.31496111111111108" bottom="0.31496111111111108" header="0.11811041666666666" footer="0.11811041666666666"/>
  <pageSetup paperSize="9" fitToWidth="0" fitToHeight="0"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F515A-3A77-49E0-99FF-74244F1497C1}">
  <sheetPr codeName="Sheet40"/>
  <dimension ref="B1:G21"/>
  <sheetViews>
    <sheetView workbookViewId="0"/>
  </sheetViews>
  <sheetFormatPr defaultRowHeight="16.5" x14ac:dyDescent="0.3"/>
  <cols>
    <col min="1" max="1" width="3.125" customWidth="1"/>
    <col min="2" max="2" width="10.625" customWidth="1"/>
    <col min="3" max="4" width="16.625" customWidth="1"/>
    <col min="5" max="5" width="24.625" customWidth="1"/>
  </cols>
  <sheetData>
    <row r="1" spans="2:7" ht="12" customHeight="1" x14ac:dyDescent="0.3">
      <c r="B1" s="131" t="s">
        <v>476</v>
      </c>
      <c r="C1" s="132"/>
      <c r="D1" s="132"/>
      <c r="E1" s="132"/>
    </row>
    <row r="2" spans="2:7" ht="8.1" customHeight="1" x14ac:dyDescent="0.3">
      <c r="G2" s="36" t="s">
        <v>338</v>
      </c>
    </row>
    <row r="3" spans="2:7" ht="24" customHeight="1" x14ac:dyDescent="0.3">
      <c r="B3" s="102" t="s">
        <v>477</v>
      </c>
      <c r="C3" s="110"/>
      <c r="D3" s="110"/>
      <c r="E3" s="110"/>
      <c r="G3">
        <v>1</v>
      </c>
    </row>
    <row r="4" spans="2:7" ht="24" customHeight="1" x14ac:dyDescent="0.3">
      <c r="B4" s="110"/>
      <c r="C4" s="110"/>
      <c r="D4" s="110"/>
      <c r="E4" s="110"/>
    </row>
    <row r="5" spans="2:7" ht="20.100000000000001" customHeight="1" x14ac:dyDescent="0.3">
      <c r="B5" s="110" t="str">
        <f>"(제안자: "&amp;IFERROR(IF(INDEX(기초자료입력!$B$44:$B$53,$G$3)=0,"",INDEX(기초자료입력!$B$44:$B$53,$G$3)),"")&amp;")"</f>
        <v>(제안자: )</v>
      </c>
      <c r="C5" s="110"/>
      <c r="D5" s="110"/>
      <c r="E5" s="110"/>
    </row>
    <row r="6" spans="2:7" ht="15.95" customHeight="1" x14ac:dyDescent="0.3">
      <c r="B6" s="110" t="s">
        <v>478</v>
      </c>
      <c r="C6" s="110"/>
      <c r="D6" s="110"/>
      <c r="E6" s="110"/>
    </row>
    <row r="7" spans="2:7" ht="18" customHeight="1" x14ac:dyDescent="0.3">
      <c r="B7" s="129" t="s">
        <v>479</v>
      </c>
      <c r="C7" s="99"/>
      <c r="D7" s="99"/>
      <c r="E7" s="99"/>
    </row>
    <row r="8" spans="2:7" ht="6" customHeight="1" x14ac:dyDescent="0.3">
      <c r="B8" s="49"/>
      <c r="C8" s="49"/>
      <c r="D8" s="49"/>
      <c r="E8" s="49"/>
    </row>
    <row r="9" spans="2:7" ht="21.95" customHeight="1" x14ac:dyDescent="0.3">
      <c r="B9" s="50" t="s">
        <v>327</v>
      </c>
      <c r="C9" s="50" t="s">
        <v>480</v>
      </c>
      <c r="D9" s="50" t="s">
        <v>481</v>
      </c>
      <c r="E9" s="50" t="s">
        <v>482</v>
      </c>
    </row>
    <row r="10" spans="2:7" ht="21.95" customHeight="1" x14ac:dyDescent="0.3">
      <c r="B10" s="110" t="s">
        <v>317</v>
      </c>
      <c r="C10" s="51" t="s">
        <v>483</v>
      </c>
      <c r="D10" s="51"/>
      <c r="E10" s="51"/>
    </row>
    <row r="11" spans="2:7" ht="21.95" customHeight="1" x14ac:dyDescent="0.3">
      <c r="B11" s="110"/>
      <c r="C11" s="51" t="s">
        <v>484</v>
      </c>
      <c r="D11" s="51"/>
      <c r="E11" s="51"/>
    </row>
    <row r="12" spans="2:7" ht="21.95" customHeight="1" x14ac:dyDescent="0.3">
      <c r="B12" s="110"/>
      <c r="C12" s="51" t="s">
        <v>485</v>
      </c>
      <c r="D12" s="51"/>
      <c r="E12" s="51"/>
    </row>
    <row r="13" spans="2:7" ht="21.95" customHeight="1" x14ac:dyDescent="0.3">
      <c r="B13" s="110"/>
      <c r="C13" s="51" t="s">
        <v>486</v>
      </c>
      <c r="D13" s="51"/>
      <c r="E13" s="51"/>
    </row>
    <row r="14" spans="2:7" ht="21.95" customHeight="1" x14ac:dyDescent="0.3">
      <c r="B14" s="110" t="s">
        <v>318</v>
      </c>
      <c r="C14" s="51" t="s">
        <v>487</v>
      </c>
      <c r="D14" s="51"/>
      <c r="E14" s="51"/>
    </row>
    <row r="15" spans="2:7" ht="21.95" customHeight="1" x14ac:dyDescent="0.3">
      <c r="B15" s="110"/>
      <c r="C15" s="51" t="s">
        <v>488</v>
      </c>
      <c r="D15" s="51"/>
      <c r="E15" s="51"/>
    </row>
    <row r="16" spans="2:7" ht="6" customHeight="1" x14ac:dyDescent="0.3">
      <c r="B16" s="49"/>
      <c r="C16" s="49"/>
      <c r="D16" s="49"/>
      <c r="E16" s="49"/>
    </row>
    <row r="17" spans="2:5" ht="20.100000000000001" customHeight="1" x14ac:dyDescent="0.3">
      <c r="B17" s="128" t="s">
        <v>489</v>
      </c>
      <c r="C17" s="128"/>
      <c r="D17" s="128"/>
      <c r="E17" s="128"/>
    </row>
    <row r="18" spans="2:5" ht="8.1" customHeight="1" x14ac:dyDescent="0.3">
      <c r="B18" s="49"/>
      <c r="C18" s="49"/>
      <c r="D18" s="49"/>
      <c r="E18" s="49"/>
    </row>
    <row r="19" spans="2:5" ht="18" customHeight="1" x14ac:dyDescent="0.3">
      <c r="B19" s="110" t="str">
        <f>IF(기초자료입력!$C$5="","20○○.  .  .","20"&amp;RIGHT(기초자료입력!$C$5,2)&amp;".  .  .")</f>
        <v>20○○.  .  .</v>
      </c>
      <c r="C19" s="110"/>
      <c r="D19" s="110"/>
      <c r="E19" s="110"/>
    </row>
    <row r="20" spans="2:5" ht="18" customHeight="1" x14ac:dyDescent="0.3">
      <c r="B20" s="110" t="s">
        <v>475</v>
      </c>
      <c r="C20" s="110"/>
      <c r="D20" s="110"/>
      <c r="E20" s="110"/>
    </row>
    <row r="21" spans="2:5" ht="18" customHeight="1" x14ac:dyDescent="0.3">
      <c r="B21" s="110" t="str">
        <f>IF(기초자료입력!$C$4="","○○○○학교장 귀하",기초자료입력!$C$4&amp;"장 귀하")</f>
        <v>○○○○학교장 귀하</v>
      </c>
      <c r="C21" s="110"/>
      <c r="D21" s="110"/>
      <c r="E21" s="110"/>
    </row>
  </sheetData>
  <mergeCells count="11">
    <mergeCell ref="B10:B13"/>
    <mergeCell ref="B1:E1"/>
    <mergeCell ref="B3:E4"/>
    <mergeCell ref="B5:E5"/>
    <mergeCell ref="B6:E6"/>
    <mergeCell ref="B7:E7"/>
    <mergeCell ref="B14:B15"/>
    <mergeCell ref="B17:E17"/>
    <mergeCell ref="B19:E19"/>
    <mergeCell ref="B20:E20"/>
    <mergeCell ref="B21:E21"/>
  </mergeCells>
  <phoneticPr fontId="6" type="noConversion"/>
  <pageMargins left="0.39370138888888889" right="0.39370138888888889" top="0.31496111111111108" bottom="0.31496111111111108" header="0.11811041666666666" footer="0.11811041666666666"/>
  <pageSetup paperSize="9" fitToWidth="0" fitToHeight="0"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BE516-0A90-4CF6-9C31-828B2AA285EC}">
  <sheetPr codeName="Sheet41"/>
  <dimension ref="B1:I25"/>
  <sheetViews>
    <sheetView workbookViewId="0"/>
  </sheetViews>
  <sheetFormatPr defaultRowHeight="16.5" x14ac:dyDescent="0.3"/>
  <cols>
    <col min="1" max="1" width="3.125" customWidth="1"/>
    <col min="2" max="2" width="6.625" customWidth="1"/>
    <col min="3" max="3" width="20.625" customWidth="1"/>
    <col min="4" max="4" width="14.625" customWidth="1"/>
    <col min="5" max="5" width="12.625" customWidth="1"/>
    <col min="6" max="6" width="15.625" customWidth="1"/>
    <col min="7" max="7" width="13.625" customWidth="1"/>
  </cols>
  <sheetData>
    <row r="1" spans="2:9" ht="12" customHeight="1" x14ac:dyDescent="0.3">
      <c r="B1" s="131" t="s">
        <v>467</v>
      </c>
      <c r="C1" s="132"/>
      <c r="D1" s="132"/>
      <c r="E1" s="132"/>
      <c r="F1" s="132"/>
      <c r="G1" s="132"/>
    </row>
    <row r="2" spans="2:9" ht="8.1" customHeight="1" x14ac:dyDescent="0.3">
      <c r="I2" s="36" t="s">
        <v>338</v>
      </c>
    </row>
    <row r="3" spans="2:9" ht="24" customHeight="1" x14ac:dyDescent="0.3">
      <c r="B3" s="102" t="s">
        <v>197</v>
      </c>
      <c r="C3" s="110"/>
      <c r="D3" s="110"/>
      <c r="E3" s="110"/>
      <c r="F3" s="110"/>
      <c r="G3" s="110"/>
      <c r="I3">
        <v>1</v>
      </c>
    </row>
    <row r="4" spans="2:9" ht="24" customHeight="1" x14ac:dyDescent="0.3">
      <c r="B4" s="110"/>
      <c r="C4" s="110"/>
      <c r="D4" s="110"/>
      <c r="E4" s="110"/>
      <c r="F4" s="110"/>
      <c r="G4" s="110"/>
    </row>
    <row r="5" spans="2:9" ht="20.100000000000001" customHeight="1" x14ac:dyDescent="0.3">
      <c r="B5" s="110" t="str">
        <f>"(제안자: "&amp;IFERROR(IF(INDEX(기초자료입력!$B$44:$B$53,$I$3)=0,"",INDEX(기초자료입력!$B$44:$B$53,$I$3)),"")&amp;")"</f>
        <v>(제안자: )</v>
      </c>
      <c r="C5" s="110"/>
      <c r="D5" s="110"/>
      <c r="E5" s="110"/>
      <c r="F5" s="110"/>
      <c r="G5" s="110"/>
    </row>
    <row r="6" spans="2:9" ht="6" customHeight="1" x14ac:dyDescent="0.3">
      <c r="B6" s="49"/>
      <c r="C6" s="49"/>
      <c r="D6" s="49"/>
      <c r="E6" s="49"/>
      <c r="F6" s="49"/>
      <c r="G6" s="49"/>
    </row>
    <row r="7" spans="2:9" ht="20.100000000000001" customHeight="1" x14ac:dyDescent="0.3">
      <c r="B7" s="102" t="s">
        <v>468</v>
      </c>
      <c r="C7" s="110"/>
      <c r="D7" s="110"/>
      <c r="E7" s="110"/>
      <c r="F7" s="110"/>
      <c r="G7" s="110"/>
    </row>
    <row r="8" spans="2:9" ht="6" customHeight="1" x14ac:dyDescent="0.3">
      <c r="B8" s="49"/>
      <c r="C8" s="49"/>
      <c r="D8" s="49"/>
      <c r="E8" s="49"/>
      <c r="F8" s="49"/>
      <c r="G8" s="49"/>
    </row>
    <row r="9" spans="2:9" ht="30" customHeight="1" x14ac:dyDescent="0.3">
      <c r="B9" s="50" t="s">
        <v>86</v>
      </c>
      <c r="C9" s="50" t="s">
        <v>469</v>
      </c>
      <c r="D9" s="50" t="s">
        <v>470</v>
      </c>
      <c r="E9" s="50" t="s">
        <v>471</v>
      </c>
      <c r="F9" s="50" t="s">
        <v>472</v>
      </c>
      <c r="G9" s="50" t="s">
        <v>316</v>
      </c>
    </row>
    <row r="10" spans="2:9" ht="24" customHeight="1" x14ac:dyDescent="0.3">
      <c r="B10" s="51">
        <v>1</v>
      </c>
      <c r="C10" s="52"/>
      <c r="D10" s="52"/>
      <c r="E10" s="52"/>
      <c r="F10" s="52"/>
      <c r="G10" s="52"/>
    </row>
    <row r="11" spans="2:9" ht="24" customHeight="1" x14ac:dyDescent="0.3">
      <c r="B11" s="51">
        <v>2</v>
      </c>
      <c r="C11" s="52"/>
      <c r="D11" s="52"/>
      <c r="E11" s="52"/>
      <c r="F11" s="52"/>
      <c r="G11" s="52"/>
    </row>
    <row r="12" spans="2:9" ht="24" customHeight="1" x14ac:dyDescent="0.3">
      <c r="B12" s="51">
        <v>3</v>
      </c>
      <c r="C12" s="52"/>
      <c r="D12" s="52"/>
      <c r="E12" s="52"/>
      <c r="F12" s="52"/>
      <c r="G12" s="52"/>
    </row>
    <row r="13" spans="2:9" ht="24" customHeight="1" x14ac:dyDescent="0.3">
      <c r="B13" s="51">
        <v>4</v>
      </c>
      <c r="C13" s="52"/>
      <c r="D13" s="52"/>
      <c r="E13" s="52"/>
      <c r="F13" s="52"/>
      <c r="G13" s="52"/>
    </row>
    <row r="14" spans="2:9" ht="24" customHeight="1" x14ac:dyDescent="0.3">
      <c r="B14" s="51">
        <v>5</v>
      </c>
      <c r="C14" s="52"/>
      <c r="D14" s="52"/>
      <c r="E14" s="52"/>
      <c r="F14" s="52"/>
      <c r="G14" s="52"/>
    </row>
    <row r="15" spans="2:9" ht="24" customHeight="1" x14ac:dyDescent="0.3">
      <c r="B15" s="51">
        <v>6</v>
      </c>
      <c r="C15" s="52"/>
      <c r="D15" s="52"/>
      <c r="E15" s="52"/>
      <c r="F15" s="52"/>
      <c r="G15" s="52"/>
    </row>
    <row r="16" spans="2:9" ht="24" customHeight="1" x14ac:dyDescent="0.3">
      <c r="B16" s="51">
        <v>7</v>
      </c>
      <c r="C16" s="52"/>
      <c r="D16" s="52"/>
      <c r="E16" s="52"/>
      <c r="F16" s="52"/>
      <c r="G16" s="52"/>
    </row>
    <row r="17" spans="2:7" ht="24" customHeight="1" x14ac:dyDescent="0.3">
      <c r="B17" s="51">
        <v>8</v>
      </c>
      <c r="C17" s="52"/>
      <c r="D17" s="52"/>
      <c r="E17" s="52"/>
      <c r="F17" s="52"/>
      <c r="G17" s="52"/>
    </row>
    <row r="18" spans="2:7" ht="24" customHeight="1" x14ac:dyDescent="0.3">
      <c r="B18" s="51">
        <v>9</v>
      </c>
      <c r="C18" s="52"/>
      <c r="D18" s="52"/>
      <c r="E18" s="52"/>
      <c r="F18" s="52"/>
      <c r="G18" s="52"/>
    </row>
    <row r="19" spans="2:7" ht="6" customHeight="1" x14ac:dyDescent="0.3">
      <c r="B19" s="49"/>
      <c r="C19" s="49"/>
      <c r="D19" s="49"/>
      <c r="E19" s="49"/>
      <c r="F19" s="49"/>
      <c r="G19" s="49"/>
    </row>
    <row r="20" spans="2:7" ht="18" customHeight="1" x14ac:dyDescent="0.3">
      <c r="B20" s="99" t="s">
        <v>473</v>
      </c>
      <c r="C20" s="99"/>
      <c r="D20" s="99"/>
      <c r="E20" s="99"/>
      <c r="F20" s="99"/>
      <c r="G20" s="99"/>
    </row>
    <row r="21" spans="2:7" ht="18" customHeight="1" x14ac:dyDescent="0.3">
      <c r="B21" s="99" t="s">
        <v>474</v>
      </c>
      <c r="C21" s="99"/>
      <c r="D21" s="99"/>
      <c r="E21" s="99"/>
      <c r="F21" s="99"/>
      <c r="G21" s="99"/>
    </row>
    <row r="22" spans="2:7" ht="8.1" customHeight="1" x14ac:dyDescent="0.3">
      <c r="B22" s="49"/>
      <c r="C22" s="49"/>
      <c r="D22" s="49"/>
      <c r="E22" s="49"/>
      <c r="F22" s="49"/>
      <c r="G22" s="49"/>
    </row>
    <row r="23" spans="2:7" ht="18" customHeight="1" x14ac:dyDescent="0.3">
      <c r="B23" s="110" t="str">
        <f>IF(기초자료입력!$C$5="","20○○.  .  .","20"&amp;RIGHT(기초자료입력!$C$5,2)&amp;".  .  .")</f>
        <v>20○○.  .  .</v>
      </c>
      <c r="C23" s="110"/>
      <c r="D23" s="110"/>
      <c r="E23" s="110"/>
      <c r="F23" s="110"/>
      <c r="G23" s="110"/>
    </row>
    <row r="24" spans="2:7" ht="18" customHeight="1" x14ac:dyDescent="0.3">
      <c r="B24" s="110" t="s">
        <v>475</v>
      </c>
      <c r="C24" s="110"/>
      <c r="D24" s="110"/>
      <c r="E24" s="110"/>
      <c r="F24" s="110"/>
      <c r="G24" s="110"/>
    </row>
    <row r="25" spans="2:7" ht="18" customHeight="1" x14ac:dyDescent="0.3">
      <c r="B25" s="110" t="str">
        <f>IF(기초자료입력!$C$4="","○○○○학교장 귀하",기초자료입력!$C$4&amp;"장 귀하")</f>
        <v>○○○○학교장 귀하</v>
      </c>
      <c r="C25" s="110"/>
      <c r="D25" s="110"/>
      <c r="E25" s="110"/>
      <c r="F25" s="110"/>
      <c r="G25" s="110"/>
    </row>
  </sheetData>
  <mergeCells count="9">
    <mergeCell ref="B23:G23"/>
    <mergeCell ref="B24:G24"/>
    <mergeCell ref="B25:G25"/>
    <mergeCell ref="B1:G1"/>
    <mergeCell ref="B3:G4"/>
    <mergeCell ref="B5:G5"/>
    <mergeCell ref="B7:G7"/>
    <mergeCell ref="B20:G20"/>
    <mergeCell ref="B21:G21"/>
  </mergeCells>
  <phoneticPr fontId="6" type="noConversion"/>
  <pageMargins left="0.23622083333333332" right="0.23622083333333332" top="0.31496111111111108" bottom="0.31496111111111108" header="0.11811041666666666" footer="0.11811041666666666"/>
  <pageSetup paperSize="9" fitToWidth="0" fitToHeight="0"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39A39-9A16-4859-B9AE-B9F9C0C184D6}">
  <sheetPr codeName="Sheet42"/>
  <dimension ref="B1:G31"/>
  <sheetViews>
    <sheetView workbookViewId="0"/>
  </sheetViews>
  <sheetFormatPr defaultRowHeight="16.5" x14ac:dyDescent="0.3"/>
  <cols>
    <col min="1" max="1" width="3.125" customWidth="1"/>
    <col min="2" max="2" width="19.625" customWidth="1"/>
    <col min="3" max="3" width="17.625" customWidth="1"/>
    <col min="4" max="4" width="14.625" customWidth="1"/>
    <col min="5" max="5" width="18.625" customWidth="1"/>
  </cols>
  <sheetData>
    <row r="1" spans="2:7" ht="12" customHeight="1" x14ac:dyDescent="0.3">
      <c r="B1" s="131" t="s">
        <v>454</v>
      </c>
      <c r="C1" s="132"/>
      <c r="D1" s="132"/>
      <c r="E1" s="132"/>
    </row>
    <row r="2" spans="2:7" ht="8.1" customHeight="1" x14ac:dyDescent="0.3">
      <c r="G2" s="36" t="s">
        <v>338</v>
      </c>
    </row>
    <row r="3" spans="2:7" ht="24.95" customHeight="1" x14ac:dyDescent="0.3">
      <c r="B3" s="133" t="str">
        <f>IF(기초자료입력!$C$5="","20○○학년도","20"&amp;RIGHT(기초자료입력!$C$5,2)&amp;"학년도")&amp;" "&amp;IF(기초자료입력!$C$4="","○○○○학교",기초자료입력!$C$4)&amp;" 교복(동·하복) 납품 제안서"</f>
        <v>20○○학년도 ○○○○학교 교복(동·하복) 납품 제안서</v>
      </c>
      <c r="C3" s="134"/>
      <c r="D3" s="134"/>
      <c r="E3" s="134"/>
      <c r="G3">
        <v>1</v>
      </c>
    </row>
    <row r="4" spans="2:7" ht="24.95" customHeight="1" x14ac:dyDescent="0.3">
      <c r="B4" s="134"/>
      <c r="C4" s="134"/>
      <c r="D4" s="134"/>
      <c r="E4" s="134"/>
    </row>
    <row r="5" spans="2:7" ht="27.95" customHeight="1" x14ac:dyDescent="0.3">
      <c r="B5" s="135" t="s">
        <v>455</v>
      </c>
      <c r="C5" s="77"/>
      <c r="D5" s="77"/>
      <c r="E5" s="77"/>
    </row>
    <row r="6" spans="2:7" ht="6" customHeight="1" x14ac:dyDescent="0.3">
      <c r="B6" s="21"/>
      <c r="C6" s="21"/>
      <c r="D6" s="21"/>
      <c r="E6" s="21"/>
    </row>
    <row r="7" spans="2:7" ht="18" customHeight="1" x14ac:dyDescent="0.3">
      <c r="B7" s="129" t="s">
        <v>456</v>
      </c>
      <c r="C7" s="99"/>
      <c r="D7" s="99"/>
      <c r="E7" s="99"/>
    </row>
    <row r="8" spans="2:7" ht="18" customHeight="1" x14ac:dyDescent="0.3">
      <c r="B8" s="48" t="s">
        <v>457</v>
      </c>
      <c r="C8" s="99" t="str">
        <f>IFERROR(IF(INDEX(기초자료입력!$B$44:$B$53,$G$3)=0,"",INDEX(기초자료입력!$B$44:$B$53,$G$3)),"")</f>
        <v/>
      </c>
      <c r="D8" s="99"/>
      <c r="E8" s="99"/>
    </row>
    <row r="9" spans="2:7" ht="18" customHeight="1" x14ac:dyDescent="0.3">
      <c r="B9" s="48" t="s">
        <v>382</v>
      </c>
      <c r="C9" s="99"/>
      <c r="D9" s="99"/>
      <c r="E9" s="99"/>
    </row>
    <row r="10" spans="2:7" ht="18" customHeight="1" x14ac:dyDescent="0.3">
      <c r="B10" s="48" t="s">
        <v>458</v>
      </c>
      <c r="C10" s="99"/>
      <c r="D10" s="99"/>
      <c r="E10" s="99"/>
    </row>
    <row r="11" spans="2:7" ht="18" customHeight="1" x14ac:dyDescent="0.3">
      <c r="B11" s="48" t="s">
        <v>308</v>
      </c>
      <c r="C11" s="99"/>
      <c r="D11" s="99"/>
      <c r="E11" s="99"/>
    </row>
    <row r="12" spans="2:7" ht="18" customHeight="1" x14ac:dyDescent="0.3">
      <c r="B12" s="48" t="s">
        <v>383</v>
      </c>
      <c r="C12" s="99" t="s">
        <v>462</v>
      </c>
      <c r="D12" s="99"/>
      <c r="E12" s="99"/>
    </row>
    <row r="13" spans="2:7" ht="18" customHeight="1" x14ac:dyDescent="0.3">
      <c r="B13" s="48" t="s">
        <v>459</v>
      </c>
      <c r="C13" s="99"/>
      <c r="D13" s="99"/>
      <c r="E13" s="99"/>
    </row>
    <row r="14" spans="2:7" ht="18" customHeight="1" x14ac:dyDescent="0.3">
      <c r="B14" s="48" t="s">
        <v>460</v>
      </c>
      <c r="C14" s="99"/>
      <c r="D14" s="99"/>
      <c r="E14" s="99"/>
    </row>
    <row r="15" spans="2:7" ht="18" customHeight="1" x14ac:dyDescent="0.3">
      <c r="B15" s="48" t="s">
        <v>461</v>
      </c>
      <c r="C15" s="99"/>
      <c r="D15" s="99"/>
      <c r="E15" s="99"/>
    </row>
    <row r="16" spans="2:7" ht="24" customHeight="1" x14ac:dyDescent="0.3">
      <c r="B16" s="99" t="s">
        <v>463</v>
      </c>
      <c r="C16" s="99"/>
      <c r="D16" s="99"/>
      <c r="E16" s="99"/>
    </row>
    <row r="17" spans="2:5" ht="24" customHeight="1" x14ac:dyDescent="0.3">
      <c r="B17" s="99"/>
      <c r="C17" s="99"/>
      <c r="D17" s="99"/>
      <c r="E17" s="99"/>
    </row>
    <row r="18" spans="2:5" ht="6" customHeight="1" x14ac:dyDescent="0.3">
      <c r="B18" s="49"/>
      <c r="C18" s="49"/>
      <c r="D18" s="49"/>
      <c r="E18" s="49"/>
    </row>
    <row r="19" spans="2:5" ht="18" customHeight="1" x14ac:dyDescent="0.3">
      <c r="B19" s="129" t="s">
        <v>464</v>
      </c>
      <c r="C19" s="99"/>
      <c r="D19" s="99"/>
      <c r="E19" s="99"/>
    </row>
    <row r="20" spans="2:5" ht="15.95" customHeight="1" x14ac:dyDescent="0.3">
      <c r="B20" s="128" t="s">
        <v>465</v>
      </c>
      <c r="C20" s="128"/>
      <c r="D20" s="128"/>
      <c r="E20" s="128"/>
    </row>
    <row r="21" spans="2:5" ht="15.95" customHeight="1" x14ac:dyDescent="0.3">
      <c r="B21" s="128"/>
      <c r="C21" s="128"/>
      <c r="D21" s="128"/>
      <c r="E21" s="128"/>
    </row>
    <row r="22" spans="2:5" ht="15.95" customHeight="1" x14ac:dyDescent="0.3">
      <c r="B22" s="128"/>
      <c r="C22" s="128"/>
      <c r="D22" s="128"/>
      <c r="E22" s="128"/>
    </row>
    <row r="23" spans="2:5" ht="15.95" customHeight="1" x14ac:dyDescent="0.3">
      <c r="B23" s="128"/>
      <c r="C23" s="128"/>
      <c r="D23" s="128"/>
      <c r="E23" s="128"/>
    </row>
    <row r="24" spans="2:5" ht="15.95" customHeight="1" x14ac:dyDescent="0.3">
      <c r="B24" s="128"/>
      <c r="C24" s="128"/>
      <c r="D24" s="128"/>
      <c r="E24" s="128"/>
    </row>
    <row r="25" spans="2:5" ht="15.95" customHeight="1" x14ac:dyDescent="0.3">
      <c r="B25" s="128"/>
      <c r="C25" s="128"/>
      <c r="D25" s="128"/>
      <c r="E25" s="128"/>
    </row>
    <row r="26" spans="2:5" ht="15.95" customHeight="1" x14ac:dyDescent="0.3">
      <c r="B26" s="128"/>
      <c r="C26" s="128"/>
      <c r="D26" s="128"/>
      <c r="E26" s="128"/>
    </row>
    <row r="27" spans="2:5" ht="15.95" customHeight="1" x14ac:dyDescent="0.3">
      <c r="B27" s="128"/>
      <c r="C27" s="128"/>
      <c r="D27" s="128"/>
      <c r="E27" s="128"/>
    </row>
    <row r="28" spans="2:5" ht="6" customHeight="1" x14ac:dyDescent="0.3">
      <c r="B28" s="49"/>
      <c r="C28" s="49"/>
      <c r="D28" s="49"/>
      <c r="E28" s="49"/>
    </row>
    <row r="29" spans="2:5" ht="18" customHeight="1" x14ac:dyDescent="0.3">
      <c r="B29" s="110" t="str">
        <f>IF(기초자료입력!$C$5="","20○○. ○○. ○○","20"&amp;RIGHT(기초자료입력!$C$5,2)&amp;". ○○. ○○")</f>
        <v>20○○. ○○. ○○</v>
      </c>
      <c r="C29" s="110"/>
      <c r="D29" s="110"/>
      <c r="E29" s="110"/>
    </row>
    <row r="30" spans="2:5" ht="18" customHeight="1" x14ac:dyDescent="0.3">
      <c r="B30" s="110" t="s">
        <v>466</v>
      </c>
      <c r="C30" s="110"/>
      <c r="D30" s="110"/>
      <c r="E30" s="110"/>
    </row>
    <row r="31" spans="2:5" ht="18" customHeight="1" x14ac:dyDescent="0.3">
      <c r="B31" s="110" t="str">
        <f>IF(기초자료입력!$C$4="","○○○○학교장 귀하",기초자료입력!$C$4&amp;"장 귀하")</f>
        <v>○○○○학교장 귀하</v>
      </c>
      <c r="C31" s="110"/>
      <c r="D31" s="110"/>
      <c r="E31" s="110"/>
    </row>
  </sheetData>
  <mergeCells count="18">
    <mergeCell ref="C9:E9"/>
    <mergeCell ref="B1:E1"/>
    <mergeCell ref="B3:E4"/>
    <mergeCell ref="B5:E5"/>
    <mergeCell ref="B7:E7"/>
    <mergeCell ref="C8:E8"/>
    <mergeCell ref="B31:E31"/>
    <mergeCell ref="C10:E10"/>
    <mergeCell ref="C11:E11"/>
    <mergeCell ref="C12:E12"/>
    <mergeCell ref="C13:E13"/>
    <mergeCell ref="C14:E14"/>
    <mergeCell ref="C15:E15"/>
    <mergeCell ref="B16:E17"/>
    <mergeCell ref="B19:E19"/>
    <mergeCell ref="B20:E27"/>
    <mergeCell ref="B29:E29"/>
    <mergeCell ref="B30:E30"/>
  </mergeCells>
  <phoneticPr fontId="6" type="noConversion"/>
  <pageMargins left="0.35433124999999999" right="0.35433124999999999" top="0.27559097222222223" bottom="0.27559097222222223" header="0.11811041666666666" footer="0.11811041666666666"/>
  <pageSetup paperSize="9" fitToWidth="0" fitToHeight="0"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651FD-2C93-4611-A9C5-CA660B8A5A42}">
  <sheetPr codeName="Sheet43"/>
  <dimension ref="A1:G20"/>
  <sheetViews>
    <sheetView workbookViewId="0"/>
  </sheetViews>
  <sheetFormatPr defaultRowHeight="16.5" x14ac:dyDescent="0.3"/>
  <cols>
    <col min="1" max="1" width="3.125" customWidth="1"/>
    <col min="2" max="2" width="24.625" customWidth="1"/>
    <col min="3" max="4" width="10.625" customWidth="1"/>
    <col min="5" max="5" width="25.625" customWidth="1"/>
  </cols>
  <sheetData>
    <row r="1" spans="1:7" ht="9.9499999999999993" customHeight="1" x14ac:dyDescent="0.3">
      <c r="A1" s="20" t="s">
        <v>446</v>
      </c>
    </row>
    <row r="2" spans="1:7" ht="9.9499999999999993" customHeight="1" x14ac:dyDescent="0.3">
      <c r="G2" s="36" t="s">
        <v>338</v>
      </c>
    </row>
    <row r="3" spans="1:7" ht="21.95" customHeight="1" x14ac:dyDescent="0.3">
      <c r="B3" s="102" t="s">
        <v>447</v>
      </c>
      <c r="C3" s="110"/>
      <c r="D3" s="110"/>
      <c r="E3" s="110"/>
      <c r="G3">
        <v>1</v>
      </c>
    </row>
    <row r="4" spans="1:7" ht="21.95" customHeight="1" x14ac:dyDescent="0.3">
      <c r="B4" s="110"/>
      <c r="C4" s="110"/>
      <c r="D4" s="110"/>
      <c r="E4" s="110"/>
    </row>
    <row r="5" spans="1:7" ht="27.95" customHeight="1" x14ac:dyDescent="0.3">
      <c r="B5" s="128" t="s">
        <v>448</v>
      </c>
      <c r="C5" s="128"/>
      <c r="D5" s="128"/>
      <c r="E5" s="128"/>
    </row>
    <row r="6" spans="1:7" ht="8.1" customHeight="1" x14ac:dyDescent="0.3">
      <c r="B6" s="21"/>
      <c r="C6" s="21"/>
      <c r="D6" s="21"/>
      <c r="E6" s="21"/>
    </row>
    <row r="7" spans="1:7" ht="20.100000000000001" customHeight="1" x14ac:dyDescent="0.3">
      <c r="B7" s="48" t="s">
        <v>449</v>
      </c>
      <c r="C7" s="99" t="str">
        <f>IFERROR(IF(INDEX(기초자료입력!$B$44:$B$53,$G$3)=0,"",INDEX(기초자료입력!$B$44:$B$53,$G$3)),"")</f>
        <v/>
      </c>
      <c r="D7" s="99"/>
      <c r="E7" s="99"/>
    </row>
    <row r="8" spans="1:7" ht="20.100000000000001" customHeight="1" x14ac:dyDescent="0.3">
      <c r="B8" s="48" t="s">
        <v>450</v>
      </c>
      <c r="C8" s="99"/>
      <c r="D8" s="99"/>
      <c r="E8" s="99"/>
    </row>
    <row r="9" spans="1:7" ht="20.100000000000001" customHeight="1" x14ac:dyDescent="0.3">
      <c r="B9" s="48" t="s">
        <v>451</v>
      </c>
      <c r="C9" s="99"/>
      <c r="D9" s="99"/>
      <c r="E9" s="99"/>
    </row>
    <row r="10" spans="1:7" ht="8.1" customHeight="1" x14ac:dyDescent="0.3">
      <c r="B10" s="21"/>
      <c r="C10" s="21"/>
      <c r="D10" s="21"/>
      <c r="E10" s="21"/>
    </row>
    <row r="11" spans="1:7" ht="18" customHeight="1" x14ac:dyDescent="0.3">
      <c r="B11" s="128"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○○○○학교(주소지 전북 )가 시행하는 교복 ‘학교주관구매’가 원만히 추진될 수 있도록 20○○.00.00. 일자로 공고한 입찰에 참가하기에 신고합니다.</v>
      </c>
      <c r="C11" s="128"/>
      <c r="D11" s="128"/>
      <c r="E11" s="128"/>
    </row>
    <row r="12" spans="1:7" ht="18" customHeight="1" x14ac:dyDescent="0.3">
      <c r="B12" s="128"/>
      <c r="C12" s="128"/>
      <c r="D12" s="128"/>
      <c r="E12" s="128"/>
    </row>
    <row r="13" spans="1:7" ht="18" customHeight="1" x14ac:dyDescent="0.3">
      <c r="B13" s="128"/>
      <c r="C13" s="128"/>
      <c r="D13" s="128"/>
      <c r="E13" s="128"/>
    </row>
    <row r="14" spans="1:7" ht="8.1" customHeight="1" x14ac:dyDescent="0.3">
      <c r="B14" s="49"/>
      <c r="C14" s="49"/>
      <c r="D14" s="49"/>
      <c r="E14" s="49"/>
    </row>
    <row r="15" spans="1:7" ht="21.95" customHeight="1" x14ac:dyDescent="0.3">
      <c r="B15" s="128" t="s">
        <v>452</v>
      </c>
      <c r="C15" s="128"/>
      <c r="D15" s="128"/>
      <c r="E15" s="128"/>
    </row>
    <row r="16" spans="1:7" ht="21.95" customHeight="1" x14ac:dyDescent="0.3">
      <c r="B16" s="128"/>
      <c r="C16" s="128"/>
      <c r="D16" s="128"/>
      <c r="E16" s="128"/>
    </row>
    <row r="17" spans="2:5" ht="8.1" customHeight="1" x14ac:dyDescent="0.3">
      <c r="B17" s="21"/>
      <c r="C17" s="21"/>
      <c r="D17" s="21"/>
      <c r="E17" s="21"/>
    </row>
    <row r="18" spans="2:5" ht="20.100000000000001" customHeight="1" x14ac:dyDescent="0.3">
      <c r="B18" s="110" t="str">
        <f>IF(기초자료입력!$C$5="","20○○. ○○. ○○","20"&amp;RIGHT(기초자료입력!$C$5,2)&amp;". ○○. ○○")</f>
        <v>20○○. ○○. ○○</v>
      </c>
      <c r="C18" s="110"/>
      <c r="D18" s="110"/>
      <c r="E18" s="110"/>
    </row>
    <row r="19" spans="2:5" ht="20.100000000000001" customHeight="1" x14ac:dyDescent="0.3">
      <c r="B19" s="110" t="s">
        <v>453</v>
      </c>
      <c r="C19" s="110"/>
      <c r="D19" s="110"/>
      <c r="E19" s="110"/>
    </row>
    <row r="20" spans="2:5" ht="20.100000000000001" customHeight="1" x14ac:dyDescent="0.3">
      <c r="B20" s="110" t="str">
        <f>IF(기초자료입력!$C$4="","○○○○학교장 귀하",기초자료입력!$C$4&amp;"장 귀하")</f>
        <v>○○○○학교장 귀하</v>
      </c>
      <c r="C20" s="110"/>
      <c r="D20" s="110"/>
      <c r="E20" s="110"/>
    </row>
  </sheetData>
  <mergeCells count="10">
    <mergeCell ref="B15:E16"/>
    <mergeCell ref="B18:E18"/>
    <mergeCell ref="B19:E19"/>
    <mergeCell ref="B20:E20"/>
    <mergeCell ref="B3:E4"/>
    <mergeCell ref="B5:E5"/>
    <mergeCell ref="C7:E7"/>
    <mergeCell ref="C8:E8"/>
    <mergeCell ref="C9:E9"/>
    <mergeCell ref="B11:E13"/>
  </mergeCells>
  <phoneticPr fontId="6" type="noConversion"/>
  <pageMargins left="0.39370138888888889" right="0.39370138888888889" top="0.31496111111111108" bottom="0.31496111111111108" header="0.19685069444444445" footer="0.19685069444444445"/>
  <pageSetup paperSize="9" fitToWidth="0" fitToHeight="0"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670CE-1840-4A64-A5C0-905DA3537A99}">
  <sheetPr codeName="Sheet44"/>
  <dimension ref="A1:N25"/>
  <sheetViews>
    <sheetView workbookViewId="0"/>
  </sheetViews>
  <sheetFormatPr defaultRowHeight="16.5" x14ac:dyDescent="0.3"/>
  <cols>
    <col min="1" max="1" width="2.625" customWidth="1"/>
    <col min="2" max="3" width="5.625" customWidth="1"/>
    <col min="4" max="5" width="8.625" customWidth="1"/>
    <col min="6" max="7" width="10.625" customWidth="1"/>
    <col min="8" max="8" width="8.625" customWidth="1"/>
    <col min="9" max="9" width="9.625" customWidth="1"/>
    <col min="10" max="12" width="8.625" customWidth="1"/>
  </cols>
  <sheetData>
    <row r="1" spans="1:14" ht="9.9499999999999993" customHeight="1" x14ac:dyDescent="0.3">
      <c r="A1" s="20" t="s">
        <v>427</v>
      </c>
    </row>
    <row r="2" spans="1:14" ht="9.9499999999999993" customHeight="1" x14ac:dyDescent="0.3">
      <c r="N2" s="36" t="s">
        <v>338</v>
      </c>
    </row>
    <row r="3" spans="1:14" ht="30" customHeight="1" x14ac:dyDescent="0.3">
      <c r="B3" s="137" t="s">
        <v>428</v>
      </c>
      <c r="C3" s="85"/>
      <c r="D3" s="85"/>
      <c r="E3" s="85"/>
      <c r="F3" s="85"/>
      <c r="G3" s="85"/>
      <c r="H3" s="85"/>
      <c r="I3" s="85"/>
      <c r="J3" s="85"/>
      <c r="K3" s="85" t="s">
        <v>429</v>
      </c>
      <c r="L3" s="85"/>
      <c r="N3">
        <v>1</v>
      </c>
    </row>
    <row r="4" spans="1:14" ht="24" customHeight="1" x14ac:dyDescent="0.3">
      <c r="B4" s="85"/>
      <c r="C4" s="85"/>
      <c r="D4" s="85"/>
      <c r="E4" s="85"/>
      <c r="F4" s="85"/>
      <c r="G4" s="85"/>
      <c r="H4" s="85"/>
      <c r="I4" s="85"/>
      <c r="J4" s="85"/>
      <c r="K4" s="85"/>
      <c r="L4" s="85"/>
    </row>
    <row r="5" spans="1:14" x14ac:dyDescent="0.3">
      <c r="B5" s="31"/>
      <c r="C5" s="31"/>
      <c r="D5" s="31"/>
      <c r="E5" s="31"/>
      <c r="F5" s="31"/>
      <c r="G5" s="31"/>
      <c r="H5" s="31"/>
      <c r="I5" s="31"/>
      <c r="J5" s="31"/>
      <c r="K5" s="31"/>
      <c r="L5" s="31"/>
    </row>
    <row r="6" spans="1:14" ht="23.1" customHeight="1" x14ac:dyDescent="0.3">
      <c r="B6" s="85" t="s">
        <v>430</v>
      </c>
      <c r="C6" s="85"/>
      <c r="D6" s="85" t="s">
        <v>431</v>
      </c>
      <c r="E6" s="84"/>
      <c r="F6" s="84" t="str">
        <f>IFERROR(IF(INDEX(기초자료입력!$B$44:$B$53,$N$3)=0,"",INDEX(기초자료입력!$B$44:$B$53,$N$3)),"")</f>
        <v/>
      </c>
      <c r="G6" s="84"/>
      <c r="H6" s="84"/>
      <c r="I6" s="29" t="s">
        <v>432</v>
      </c>
      <c r="J6" s="84"/>
      <c r="K6" s="84"/>
      <c r="L6" s="84"/>
    </row>
    <row r="7" spans="1:14" ht="23.1" customHeight="1" x14ac:dyDescent="0.3">
      <c r="B7" s="85"/>
      <c r="C7" s="85"/>
      <c r="D7" s="84" t="s">
        <v>433</v>
      </c>
      <c r="E7" s="84"/>
      <c r="F7" s="84"/>
      <c r="G7" s="84"/>
      <c r="H7" s="84"/>
      <c r="I7" s="29" t="s">
        <v>434</v>
      </c>
      <c r="J7" s="84"/>
      <c r="K7" s="84"/>
      <c r="L7" s="84"/>
    </row>
    <row r="8" spans="1:14" ht="23.1" customHeight="1" x14ac:dyDescent="0.3">
      <c r="B8" s="85"/>
      <c r="C8" s="85"/>
      <c r="D8" s="84" t="s">
        <v>382</v>
      </c>
      <c r="E8" s="84"/>
      <c r="F8" s="84"/>
      <c r="G8" s="84"/>
      <c r="H8" s="84"/>
      <c r="I8" s="29" t="s">
        <v>435</v>
      </c>
      <c r="J8" s="84"/>
      <c r="K8" s="84"/>
      <c r="L8" s="84"/>
    </row>
    <row r="9" spans="1:14" ht="23.1" customHeight="1" x14ac:dyDescent="0.3">
      <c r="B9" s="47"/>
      <c r="C9" s="47"/>
      <c r="D9" s="47"/>
      <c r="E9" s="47"/>
      <c r="F9" s="47"/>
      <c r="G9" s="47"/>
      <c r="H9" s="47"/>
      <c r="I9" s="47"/>
      <c r="J9" s="47"/>
      <c r="K9" s="47"/>
      <c r="L9" s="47"/>
    </row>
    <row r="10" spans="1:14" ht="23.1" customHeight="1" x14ac:dyDescent="0.3">
      <c r="B10" s="85" t="s">
        <v>436</v>
      </c>
      <c r="C10" s="85"/>
      <c r="D10" s="85" t="s">
        <v>437</v>
      </c>
      <c r="E10" s="84"/>
      <c r="F10" s="84" t="str">
        <f>IF(기초자료입력!$C$4="","",기초자료입력!$C$4&amp;" 공고 제20○○-00호")</f>
        <v/>
      </c>
      <c r="G10" s="84"/>
      <c r="H10" s="84"/>
      <c r="I10" s="29" t="s">
        <v>438</v>
      </c>
      <c r="J10" s="84"/>
      <c r="K10" s="84"/>
      <c r="L10" s="84"/>
    </row>
    <row r="11" spans="1:14" ht="23.1" customHeight="1" x14ac:dyDescent="0.3">
      <c r="B11" s="85"/>
      <c r="C11" s="85"/>
      <c r="D11" s="84" t="s">
        <v>439</v>
      </c>
      <c r="E11" s="84"/>
      <c r="F11" s="84" t="str">
        <f>IF(OR(기초자료입력!$C$4="",기초자료입력!$C$5=""),"",기초자료입력!$C$4&amp;" "&amp;기초자료입력!$C$5&amp;"학년도 교복 학교주관 구매 입찰")</f>
        <v/>
      </c>
      <c r="G11" s="84"/>
      <c r="H11" s="84"/>
      <c r="I11" s="84"/>
      <c r="J11" s="84"/>
      <c r="K11" s="84"/>
      <c r="L11" s="84"/>
    </row>
    <row r="12" spans="1:14" x14ac:dyDescent="0.3">
      <c r="B12" s="47"/>
      <c r="C12" s="47"/>
      <c r="D12" s="47"/>
      <c r="E12" s="47"/>
      <c r="F12" s="47"/>
      <c r="G12" s="47"/>
      <c r="H12" s="47"/>
      <c r="I12" s="47"/>
      <c r="J12" s="47"/>
      <c r="K12" s="47"/>
      <c r="L12" s="47"/>
    </row>
    <row r="13" spans="1:14" ht="39.950000000000003" customHeight="1" x14ac:dyDescent="0.3">
      <c r="B13" s="84" t="s">
        <v>440</v>
      </c>
      <c r="C13" s="84"/>
      <c r="D13" s="85" t="s">
        <v>441</v>
      </c>
      <c r="E13" s="85"/>
      <c r="F13" s="85"/>
      <c r="G13" s="85"/>
      <c r="H13" s="85"/>
      <c r="I13" s="85"/>
      <c r="J13" s="85"/>
      <c r="K13" s="85"/>
      <c r="L13" s="85"/>
    </row>
    <row r="14" spans="1:14" x14ac:dyDescent="0.3">
      <c r="B14" s="47"/>
      <c r="C14" s="47"/>
      <c r="D14" s="47"/>
      <c r="E14" s="47"/>
      <c r="F14" s="47"/>
      <c r="G14" s="47"/>
      <c r="H14" s="47"/>
      <c r="I14" s="47"/>
      <c r="J14" s="47"/>
      <c r="K14" s="47"/>
      <c r="L14" s="47"/>
    </row>
    <row r="15" spans="1:14" ht="21.95" customHeight="1" x14ac:dyDescent="0.3">
      <c r="B15" s="85" t="s">
        <v>442</v>
      </c>
      <c r="C15" s="85"/>
      <c r="D15" s="85" t="s">
        <v>443</v>
      </c>
      <c r="E15" s="85"/>
      <c r="F15" s="85"/>
      <c r="G15" s="85"/>
      <c r="H15" s="85"/>
      <c r="I15" s="85" t="s">
        <v>444</v>
      </c>
      <c r="J15" s="85"/>
      <c r="K15" s="85"/>
      <c r="L15" s="85"/>
    </row>
    <row r="16" spans="1:14" ht="21.95" customHeight="1" x14ac:dyDescent="0.3">
      <c r="B16" s="85"/>
      <c r="C16" s="85"/>
      <c r="D16" s="85"/>
      <c r="E16" s="85"/>
      <c r="F16" s="85"/>
      <c r="G16" s="85"/>
      <c r="H16" s="85"/>
      <c r="I16" s="85"/>
      <c r="J16" s="85"/>
      <c r="K16" s="85"/>
      <c r="L16" s="85"/>
    </row>
    <row r="17" spans="2:12" ht="21.95" customHeight="1" x14ac:dyDescent="0.3">
      <c r="B17" s="85"/>
      <c r="C17" s="85"/>
      <c r="D17" s="85"/>
      <c r="E17" s="85"/>
      <c r="F17" s="85"/>
      <c r="G17" s="85"/>
      <c r="H17" s="85"/>
      <c r="I17" s="85"/>
      <c r="J17" s="85"/>
      <c r="K17" s="85"/>
      <c r="L17" s="85"/>
    </row>
    <row r="18" spans="2:12" ht="21.95" customHeight="1" x14ac:dyDescent="0.3">
      <c r="B18" s="85"/>
      <c r="C18" s="85"/>
      <c r="D18" s="85"/>
      <c r="E18" s="85"/>
      <c r="F18" s="85"/>
      <c r="G18" s="85"/>
      <c r="H18" s="85"/>
      <c r="I18" s="85"/>
      <c r="J18" s="85"/>
      <c r="K18" s="85"/>
      <c r="L18" s="85"/>
    </row>
    <row r="19" spans="2:12" x14ac:dyDescent="0.3">
      <c r="B19" s="31"/>
      <c r="C19" s="31"/>
      <c r="D19" s="31"/>
      <c r="E19" s="31"/>
      <c r="F19" s="31"/>
      <c r="G19" s="31"/>
      <c r="H19" s="31"/>
      <c r="I19" s="31"/>
      <c r="J19" s="31"/>
      <c r="K19" s="31"/>
      <c r="L19" s="31"/>
    </row>
    <row r="20" spans="2:12" ht="42" customHeight="1" x14ac:dyDescent="0.3">
      <c r="B20" s="91"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91"/>
      <c r="D20" s="91"/>
      <c r="E20" s="91"/>
      <c r="F20" s="91"/>
      <c r="G20" s="91"/>
      <c r="H20" s="91"/>
      <c r="I20" s="91"/>
      <c r="J20" s="91"/>
      <c r="K20" s="91"/>
      <c r="L20" s="91"/>
    </row>
    <row r="21" spans="2:12" x14ac:dyDescent="0.3">
      <c r="B21" s="136" t="s">
        <v>445</v>
      </c>
      <c r="C21" s="136"/>
      <c r="D21" s="136"/>
      <c r="E21" s="136"/>
      <c r="F21" s="136"/>
      <c r="G21" s="136"/>
      <c r="H21" s="136"/>
      <c r="I21" s="136"/>
      <c r="J21" s="136"/>
      <c r="K21" s="136"/>
      <c r="L21" s="136"/>
    </row>
    <row r="22" spans="2:12" x14ac:dyDescent="0.3">
      <c r="B22" s="31"/>
      <c r="C22" s="31"/>
      <c r="D22" s="31"/>
      <c r="E22" s="31"/>
      <c r="F22" s="31"/>
      <c r="G22" s="31"/>
      <c r="H22" s="31"/>
      <c r="I22" s="31"/>
      <c r="J22" s="31"/>
      <c r="K22" s="31"/>
      <c r="L22" s="31"/>
    </row>
    <row r="23" spans="2:12" x14ac:dyDescent="0.3">
      <c r="B23" s="136" t="str">
        <f>IF(OR(기초자료입력!$C$4="",기초자료입력!$C$5=""),"","20"&amp;RIGHT(기초자료입력!$C$5,2)&amp;". . .")</f>
        <v/>
      </c>
      <c r="C23" s="136"/>
      <c r="D23" s="136"/>
      <c r="E23" s="136"/>
      <c r="F23" s="136"/>
      <c r="G23" s="136"/>
      <c r="H23" s="136"/>
      <c r="I23" s="136"/>
      <c r="J23" s="136"/>
      <c r="K23" s="136"/>
      <c r="L23" s="136"/>
    </row>
    <row r="24" spans="2:12" x14ac:dyDescent="0.3">
      <c r="B24" s="136" t="str">
        <f>"업체명: "&amp;IFERROR(IF(INDEX(기초자료입력!$B$44:$B$53,$N$3)=0,"",INDEX(기초자료입력!$B$44:$B$53,$N$3)),"")&amp;"                 대표자:                         (인)"</f>
        <v>업체명:                  대표자:                         (인)</v>
      </c>
      <c r="C24" s="136"/>
      <c r="D24" s="136"/>
      <c r="E24" s="136"/>
      <c r="F24" s="136"/>
      <c r="G24" s="136"/>
      <c r="H24" s="136"/>
      <c r="I24" s="136"/>
      <c r="J24" s="136"/>
      <c r="K24" s="136"/>
      <c r="L24" s="136"/>
    </row>
    <row r="25" spans="2:12" x14ac:dyDescent="0.3">
      <c r="B25" s="136" t="str">
        <f>IF(기초자료입력!$C$4="","○○○○학교장 귀하",기초자료입력!$C$4&amp;"장 귀하")</f>
        <v>○○○○학교장 귀하</v>
      </c>
      <c r="C25" s="136"/>
      <c r="D25" s="136"/>
      <c r="E25" s="136"/>
      <c r="F25" s="136"/>
      <c r="G25" s="136"/>
      <c r="H25" s="136"/>
      <c r="I25" s="136"/>
      <c r="J25" s="136"/>
      <c r="K25" s="136"/>
      <c r="L25" s="136"/>
    </row>
  </sheetData>
  <mergeCells count="28">
    <mergeCell ref="B3:J4"/>
    <mergeCell ref="K3:L4"/>
    <mergeCell ref="B6:C8"/>
    <mergeCell ref="D6:E6"/>
    <mergeCell ref="F6:H6"/>
    <mergeCell ref="J6:L6"/>
    <mergeCell ref="D7:E7"/>
    <mergeCell ref="F7:H7"/>
    <mergeCell ref="J7:L7"/>
    <mergeCell ref="D8:E8"/>
    <mergeCell ref="F8:H8"/>
    <mergeCell ref="J8:L8"/>
    <mergeCell ref="B10:C11"/>
    <mergeCell ref="D10:E10"/>
    <mergeCell ref="F10:H10"/>
    <mergeCell ref="J10:L10"/>
    <mergeCell ref="D11:E11"/>
    <mergeCell ref="F11:L11"/>
    <mergeCell ref="B21:L21"/>
    <mergeCell ref="B23:L23"/>
    <mergeCell ref="B24:L24"/>
    <mergeCell ref="B25:L25"/>
    <mergeCell ref="B13:C13"/>
    <mergeCell ref="D13:L13"/>
    <mergeCell ref="B15:C18"/>
    <mergeCell ref="D15:H18"/>
    <mergeCell ref="I15:L18"/>
    <mergeCell ref="B20:L20"/>
  </mergeCells>
  <phoneticPr fontId="6" type="noConversion"/>
  <pageMargins left="0.31496111111111108" right="0.31496111111111108" top="0.31496111111111108" bottom="0.31496111111111108" header="0.19685069444444445" footer="0.19685069444444445"/>
  <pageSetup paperSize="9" fitToWidth="0" fitToHeight="0" orientation="landscape"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76CE-5D26-4234-B19D-EEC76C98889A}">
  <sheetPr codeName="Sheet45"/>
  <dimension ref="A1:I25"/>
  <sheetViews>
    <sheetView workbookViewId="0"/>
  </sheetViews>
  <sheetFormatPr defaultRowHeight="16.5" x14ac:dyDescent="0.3"/>
  <cols>
    <col min="1" max="1" width="3.125" customWidth="1"/>
    <col min="2" max="2" width="7.625" customWidth="1"/>
    <col min="3" max="3" width="21.625" customWidth="1"/>
    <col min="4" max="4" width="19.625" customWidth="1"/>
    <col min="5" max="5" width="7.625" customWidth="1"/>
    <col min="6" max="6" width="9.625" customWidth="1"/>
  </cols>
  <sheetData>
    <row r="1" spans="1:9" x14ac:dyDescent="0.3">
      <c r="A1" s="20" t="s">
        <v>415</v>
      </c>
    </row>
    <row r="2" spans="1:9" x14ac:dyDescent="0.3">
      <c r="I2" s="36" t="s">
        <v>338</v>
      </c>
    </row>
    <row r="3" spans="1:9" x14ac:dyDescent="0.3">
      <c r="B3" s="82" t="s">
        <v>416</v>
      </c>
      <c r="C3" s="83"/>
      <c r="D3" s="83"/>
      <c r="E3" s="83"/>
      <c r="F3" s="83"/>
      <c r="I3">
        <v>1</v>
      </c>
    </row>
    <row r="4" spans="1:9" ht="27.95" customHeight="1" x14ac:dyDescent="0.3">
      <c r="B4" s="91" t="s">
        <v>417</v>
      </c>
      <c r="C4" s="91"/>
      <c r="D4" s="91"/>
      <c r="E4" s="91"/>
      <c r="F4" s="91"/>
    </row>
    <row r="5" spans="1:9" x14ac:dyDescent="0.3">
      <c r="B5" s="29" t="s">
        <v>60</v>
      </c>
      <c r="C5" s="139" t="str">
        <f>IFERROR(IF(INDEX(기초자료입력!$B$44:$B$53,$I$3)=0,"",INDEX(기초자료입력!$B$44:$B$53,$I$3)),"")</f>
        <v/>
      </c>
      <c r="D5" s="139"/>
      <c r="E5" s="139"/>
      <c r="F5" s="84"/>
    </row>
    <row r="6" spans="1:9" x14ac:dyDescent="0.3">
      <c r="B6" s="31"/>
      <c r="C6" s="31"/>
      <c r="D6" s="31"/>
      <c r="E6" s="31"/>
      <c r="F6" s="31"/>
    </row>
    <row r="7" spans="1:9" x14ac:dyDescent="0.3">
      <c r="B7" s="32" t="s">
        <v>327</v>
      </c>
      <c r="C7" s="32" t="s">
        <v>81</v>
      </c>
      <c r="D7" s="32" t="s">
        <v>328</v>
      </c>
      <c r="E7" s="32" t="s">
        <v>82</v>
      </c>
      <c r="F7" s="32" t="s">
        <v>418</v>
      </c>
    </row>
    <row r="8" spans="1:9" ht="21.95" customHeight="1" x14ac:dyDescent="0.3">
      <c r="B8" s="85" t="s">
        <v>343</v>
      </c>
      <c r="C8" s="118" t="s">
        <v>419</v>
      </c>
      <c r="D8" s="33" t="s">
        <v>345</v>
      </c>
      <c r="E8" s="29">
        <v>10</v>
      </c>
      <c r="F8" s="84" t="str">
        <f>IFERROR(IF(INDEX(기초자료입력!$B$44:$B$53,$I$3)=0,"",INDEX(기초자료입력!$N$44:$N$53,$I$3)),"")</f>
        <v/>
      </c>
    </row>
    <row r="9" spans="1:9" ht="21.95" customHeight="1" x14ac:dyDescent="0.3">
      <c r="B9" s="85"/>
      <c r="C9" s="118"/>
      <c r="D9" s="33" t="s">
        <v>346</v>
      </c>
      <c r="E9" s="29">
        <v>8</v>
      </c>
      <c r="F9" s="84"/>
    </row>
    <row r="10" spans="1:9" ht="21.95" customHeight="1" x14ac:dyDescent="0.3">
      <c r="B10" s="85"/>
      <c r="C10" s="118"/>
      <c r="D10" s="33" t="s">
        <v>420</v>
      </c>
      <c r="E10" s="29">
        <v>6</v>
      </c>
      <c r="F10" s="84"/>
    </row>
    <row r="11" spans="1:9" ht="21.95" customHeight="1" x14ac:dyDescent="0.3">
      <c r="B11" s="85"/>
      <c r="C11" s="118"/>
      <c r="D11" s="33" t="s">
        <v>348</v>
      </c>
      <c r="E11" s="29">
        <v>4</v>
      </c>
      <c r="F11" s="84"/>
    </row>
    <row r="12" spans="1:9" ht="21.95" customHeight="1" x14ac:dyDescent="0.3">
      <c r="B12" s="85"/>
      <c r="C12" s="118" t="s">
        <v>421</v>
      </c>
      <c r="D12" s="33" t="s">
        <v>350</v>
      </c>
      <c r="E12" s="29">
        <v>10</v>
      </c>
      <c r="F12" s="84" t="str">
        <f>IFERROR(IF(INDEX(기초자료입력!$B$44:$B$53,$I$3)=0,"",INDEX(기초자료입력!$O$44:$O$53,$I$3)),"")</f>
        <v/>
      </c>
    </row>
    <row r="13" spans="1:9" ht="21.95" customHeight="1" x14ac:dyDescent="0.3">
      <c r="B13" s="85"/>
      <c r="C13" s="118"/>
      <c r="D13" s="33" t="s">
        <v>351</v>
      </c>
      <c r="E13" s="29">
        <v>8</v>
      </c>
      <c r="F13" s="84"/>
    </row>
    <row r="14" spans="1:9" ht="21.95" customHeight="1" x14ac:dyDescent="0.3">
      <c r="B14" s="85"/>
      <c r="C14" s="118"/>
      <c r="D14" s="33" t="s">
        <v>352</v>
      </c>
      <c r="E14" s="29">
        <v>5</v>
      </c>
      <c r="F14" s="84"/>
    </row>
    <row r="15" spans="1:9" ht="21.95" customHeight="1" x14ac:dyDescent="0.3">
      <c r="B15" s="85"/>
      <c r="C15" s="118" t="s">
        <v>422</v>
      </c>
      <c r="D15" s="33" t="s">
        <v>354</v>
      </c>
      <c r="E15" s="29">
        <v>15</v>
      </c>
      <c r="F15" s="84" t="str">
        <f>IFERROR(IF(INDEX(기초자료입력!$B$44:$B$53,$I$3)=0,"",INDEX(기초자료입력!$P$44:$P$53,$I$3)),"")</f>
        <v/>
      </c>
    </row>
    <row r="16" spans="1:9" ht="21.95" customHeight="1" x14ac:dyDescent="0.3">
      <c r="B16" s="85"/>
      <c r="C16" s="118"/>
      <c r="D16" s="33" t="s">
        <v>423</v>
      </c>
      <c r="E16" s="29">
        <v>12</v>
      </c>
      <c r="F16" s="84"/>
    </row>
    <row r="17" spans="2:6" ht="21.95" customHeight="1" x14ac:dyDescent="0.3">
      <c r="B17" s="85"/>
      <c r="C17" s="118"/>
      <c r="D17" s="33" t="s">
        <v>424</v>
      </c>
      <c r="E17" s="29">
        <v>9</v>
      </c>
      <c r="F17" s="84"/>
    </row>
    <row r="18" spans="2:6" ht="21.95" customHeight="1" x14ac:dyDescent="0.3">
      <c r="B18" s="85"/>
      <c r="C18" s="118"/>
      <c r="D18" s="33" t="s">
        <v>425</v>
      </c>
      <c r="E18" s="29">
        <v>5</v>
      </c>
      <c r="F18" s="84"/>
    </row>
    <row r="19" spans="2:6" ht="21.95" customHeight="1" x14ac:dyDescent="0.3">
      <c r="B19" s="85"/>
      <c r="C19" s="118" t="s">
        <v>358</v>
      </c>
      <c r="D19" s="33" t="s">
        <v>359</v>
      </c>
      <c r="E19" s="29">
        <v>15</v>
      </c>
      <c r="F19" s="84" t="str">
        <f>IFERROR(IF(INDEX(기초자료입력!$B$44:$B$53,$I$3)=0,"",INDEX(기초자료입력!$Q$44:$Q$53,$I$3)),"")</f>
        <v/>
      </c>
    </row>
    <row r="20" spans="2:6" ht="21.95" customHeight="1" x14ac:dyDescent="0.3">
      <c r="B20" s="85"/>
      <c r="C20" s="118"/>
      <c r="D20" s="33" t="s">
        <v>360</v>
      </c>
      <c r="E20" s="29">
        <v>0</v>
      </c>
      <c r="F20" s="84"/>
    </row>
    <row r="21" spans="2:6" x14ac:dyDescent="0.3">
      <c r="B21" s="80" t="s">
        <v>295</v>
      </c>
      <c r="C21" s="138"/>
      <c r="D21" s="138" t="s">
        <v>361</v>
      </c>
      <c r="E21" s="80"/>
      <c r="F21" s="32" t="str">
        <f>IF(OR(F8="",F12="",F15="",F19=""),"",F8+F12+F15+F19)</f>
        <v/>
      </c>
    </row>
    <row r="22" spans="2:6" x14ac:dyDescent="0.3">
      <c r="B22" s="31"/>
      <c r="C22" s="31"/>
      <c r="D22" s="31"/>
      <c r="E22" s="31"/>
      <c r="F22" s="31"/>
    </row>
    <row r="23" spans="2:6" ht="27.95" customHeight="1" x14ac:dyDescent="0.3">
      <c r="B23" s="91" t="s">
        <v>426</v>
      </c>
      <c r="C23" s="91"/>
      <c r="D23" s="91"/>
      <c r="E23" s="91"/>
      <c r="F23" s="91"/>
    </row>
    <row r="24" spans="2:6" x14ac:dyDescent="0.3">
      <c r="B24" s="31"/>
      <c r="C24" s="31"/>
      <c r="D24" s="31"/>
      <c r="E24" s="31"/>
      <c r="F24" s="31"/>
    </row>
    <row r="25" spans="2:6" x14ac:dyDescent="0.3">
      <c r="B25" s="136" t="str">
        <f>"업체명: "&amp;IFERROR(IF(INDEX(기초자료입력!$B$44:$B$53,$I$3)=0,"",INDEX(기초자료입력!$B$44:$B$53,$I$3)),"")&amp;"     작성자:                         대표자:                         (인)"</f>
        <v>업체명:      작성자:                         대표자:                         (인)</v>
      </c>
      <c r="C25" s="136"/>
      <c r="D25" s="136"/>
      <c r="E25" s="136"/>
      <c r="F25" s="136"/>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C612F-73DE-4150-AECA-BF7B6A397800}">
  <sheetPr codeName="Sheet46"/>
  <dimension ref="A1:G30"/>
  <sheetViews>
    <sheetView workbookViewId="0"/>
  </sheetViews>
  <sheetFormatPr defaultRowHeight="16.5" x14ac:dyDescent="0.3"/>
  <cols>
    <col min="1" max="1" width="3.125" customWidth="1"/>
    <col min="2" max="2" width="24.625" customWidth="1"/>
    <col min="3" max="4" width="10.625" customWidth="1"/>
    <col min="5" max="5" width="25.625" customWidth="1"/>
  </cols>
  <sheetData>
    <row r="1" spans="1:7" x14ac:dyDescent="0.3">
      <c r="A1" s="20" t="s">
        <v>380</v>
      </c>
    </row>
    <row r="2" spans="1:7" x14ac:dyDescent="0.3">
      <c r="G2" s="36" t="s">
        <v>338</v>
      </c>
    </row>
    <row r="3" spans="1:7" x14ac:dyDescent="0.3">
      <c r="B3" s="140" t="str">
        <f>IF(기초자료입력!C5&lt;&gt;"",기초자료입력!C5,"20○○")&amp;"년도 신입생 교복 제출서류 자기확인서"</f>
        <v>20○○년도 신입생 교복 제출서류 자기확인서</v>
      </c>
      <c r="C3" s="141"/>
      <c r="D3" s="141"/>
      <c r="E3" s="141"/>
      <c r="G3">
        <v>1</v>
      </c>
    </row>
    <row r="4" spans="1:7" x14ac:dyDescent="0.3">
      <c r="B4" s="39"/>
      <c r="C4" s="39"/>
      <c r="D4" s="39"/>
      <c r="E4" s="39"/>
    </row>
    <row r="5" spans="1:7" ht="20.100000000000001" customHeight="1" x14ac:dyDescent="0.3">
      <c r="B5" s="135" t="s">
        <v>381</v>
      </c>
      <c r="C5" s="135"/>
      <c r="D5" s="135"/>
      <c r="E5" s="135"/>
    </row>
    <row r="6" spans="1:7" x14ac:dyDescent="0.3">
      <c r="B6" s="39"/>
      <c r="C6" s="39"/>
      <c r="D6" s="39"/>
      <c r="E6" s="39"/>
    </row>
    <row r="7" spans="1:7" ht="24" customHeight="1" x14ac:dyDescent="0.3">
      <c r="B7" s="40" t="s">
        <v>60</v>
      </c>
      <c r="C7" s="40" t="s">
        <v>382</v>
      </c>
      <c r="D7" s="40" t="s">
        <v>383</v>
      </c>
      <c r="E7" s="40" t="s">
        <v>384</v>
      </c>
    </row>
    <row r="8" spans="1:7" ht="20.100000000000001" customHeight="1" x14ac:dyDescent="0.3">
      <c r="B8" s="41" t="str">
        <f>IFERROR(IF(INDEX(기초자료입력!$B$44:$B$53,$G$3)=0,"",INDEX(기초자료입력!$B$44:$B$53,$G$3)),"")</f>
        <v/>
      </c>
      <c r="C8" s="42"/>
      <c r="D8" s="42"/>
      <c r="E8" s="41"/>
    </row>
    <row r="9" spans="1:7" x14ac:dyDescent="0.3">
      <c r="B9" s="43"/>
      <c r="C9" s="44"/>
      <c r="D9" s="44"/>
      <c r="E9" s="43"/>
    </row>
    <row r="10" spans="1:7" ht="24" customHeight="1" x14ac:dyDescent="0.3">
      <c r="B10" s="40" t="s">
        <v>385</v>
      </c>
      <c r="C10" s="40" t="s">
        <v>55</v>
      </c>
      <c r="D10" s="40" t="s">
        <v>386</v>
      </c>
      <c r="E10" s="40" t="s">
        <v>387</v>
      </c>
    </row>
    <row r="11" spans="1:7" ht="15.95" customHeight="1" x14ac:dyDescent="0.3">
      <c r="B11" s="45" t="s">
        <v>388</v>
      </c>
      <c r="C11" s="46" t="s">
        <v>389</v>
      </c>
      <c r="D11" s="46"/>
      <c r="E11" s="45"/>
    </row>
    <row r="12" spans="1:7" ht="15.95" customHeight="1" x14ac:dyDescent="0.3">
      <c r="B12" s="45" t="s">
        <v>390</v>
      </c>
      <c r="C12" s="46" t="s">
        <v>389</v>
      </c>
      <c r="D12" s="46"/>
      <c r="E12" s="45"/>
    </row>
    <row r="13" spans="1:7" ht="15.95" customHeight="1" x14ac:dyDescent="0.3">
      <c r="B13" s="45" t="s">
        <v>391</v>
      </c>
      <c r="C13" s="46" t="s">
        <v>389</v>
      </c>
      <c r="D13" s="46"/>
      <c r="E13" s="45"/>
    </row>
    <row r="14" spans="1:7" ht="15.95" customHeight="1" x14ac:dyDescent="0.3">
      <c r="B14" s="45" t="s">
        <v>392</v>
      </c>
      <c r="C14" s="46" t="s">
        <v>389</v>
      </c>
      <c r="D14" s="46"/>
      <c r="E14" s="45" t="s">
        <v>393</v>
      </c>
    </row>
    <row r="15" spans="1:7" ht="15.95" customHeight="1" x14ac:dyDescent="0.3">
      <c r="B15" s="45" t="s">
        <v>394</v>
      </c>
      <c r="C15" s="46" t="s">
        <v>389</v>
      </c>
      <c r="D15" s="46"/>
      <c r="E15" s="45"/>
    </row>
    <row r="16" spans="1:7" ht="15.95" customHeight="1" x14ac:dyDescent="0.3">
      <c r="B16" s="45" t="s">
        <v>395</v>
      </c>
      <c r="C16" s="46" t="s">
        <v>389</v>
      </c>
      <c r="D16" s="46"/>
      <c r="E16" s="45"/>
    </row>
    <row r="17" spans="2:5" ht="15.95" customHeight="1" x14ac:dyDescent="0.3">
      <c r="B17" s="45" t="s">
        <v>396</v>
      </c>
      <c r="C17" s="46" t="s">
        <v>389</v>
      </c>
      <c r="D17" s="46"/>
      <c r="E17" s="45"/>
    </row>
    <row r="18" spans="2:5" ht="15.95" customHeight="1" x14ac:dyDescent="0.3">
      <c r="B18" s="45" t="s">
        <v>397</v>
      </c>
      <c r="C18" s="46" t="s">
        <v>389</v>
      </c>
      <c r="D18" s="46"/>
      <c r="E18" s="45"/>
    </row>
    <row r="19" spans="2:5" ht="15.95" customHeight="1" x14ac:dyDescent="0.3">
      <c r="B19" s="45" t="s">
        <v>398</v>
      </c>
      <c r="C19" s="46" t="s">
        <v>389</v>
      </c>
      <c r="D19" s="46"/>
      <c r="E19" s="45"/>
    </row>
    <row r="20" spans="2:5" ht="15.95" customHeight="1" x14ac:dyDescent="0.3">
      <c r="B20" s="45" t="s">
        <v>399</v>
      </c>
      <c r="C20" s="46" t="s">
        <v>389</v>
      </c>
      <c r="D20" s="46"/>
      <c r="E20" s="45"/>
    </row>
    <row r="21" spans="2:5" ht="15.95" customHeight="1" x14ac:dyDescent="0.3">
      <c r="B21" s="45" t="s">
        <v>400</v>
      </c>
      <c r="C21" s="46" t="s">
        <v>389</v>
      </c>
      <c r="D21" s="46"/>
      <c r="E21" s="45"/>
    </row>
    <row r="22" spans="2:5" ht="24" customHeight="1" x14ac:dyDescent="0.3">
      <c r="B22" s="45" t="s">
        <v>401</v>
      </c>
      <c r="C22" s="46" t="s">
        <v>389</v>
      </c>
      <c r="D22" s="46"/>
      <c r="E22" s="45" t="s">
        <v>402</v>
      </c>
    </row>
    <row r="23" spans="2:5" ht="15.95" customHeight="1" x14ac:dyDescent="0.3">
      <c r="B23" s="45" t="s">
        <v>403</v>
      </c>
      <c r="C23" s="46" t="s">
        <v>404</v>
      </c>
      <c r="D23" s="46"/>
      <c r="E23" s="45" t="s">
        <v>405</v>
      </c>
    </row>
    <row r="24" spans="2:5" ht="15.95" customHeight="1" x14ac:dyDescent="0.3">
      <c r="B24" s="45" t="s">
        <v>406</v>
      </c>
      <c r="C24" s="46" t="s">
        <v>404</v>
      </c>
      <c r="D24" s="46"/>
      <c r="E24" s="45" t="s">
        <v>405</v>
      </c>
    </row>
    <row r="25" spans="2:5" ht="15.95" customHeight="1" x14ac:dyDescent="0.3">
      <c r="B25" s="45" t="s">
        <v>407</v>
      </c>
      <c r="C25" s="46" t="s">
        <v>404</v>
      </c>
      <c r="D25" s="46"/>
      <c r="E25" s="45" t="s">
        <v>405</v>
      </c>
    </row>
    <row r="26" spans="2:5" ht="15.95" customHeight="1" x14ac:dyDescent="0.3">
      <c r="B26" s="45" t="s">
        <v>408</v>
      </c>
      <c r="C26" s="46" t="s">
        <v>404</v>
      </c>
      <c r="D26" s="46"/>
      <c r="E26" s="45" t="s">
        <v>405</v>
      </c>
    </row>
    <row r="27" spans="2:5" ht="15.95" customHeight="1" x14ac:dyDescent="0.3">
      <c r="B27" s="45" t="s">
        <v>409</v>
      </c>
      <c r="C27" s="46" t="s">
        <v>404</v>
      </c>
      <c r="D27" s="46"/>
      <c r="E27" s="45" t="s">
        <v>405</v>
      </c>
    </row>
    <row r="28" spans="2:5" ht="15.95" customHeight="1" x14ac:dyDescent="0.3">
      <c r="B28" s="45" t="s">
        <v>410</v>
      </c>
      <c r="C28" s="46" t="s">
        <v>404</v>
      </c>
      <c r="D28" s="46"/>
      <c r="E28" s="45" t="s">
        <v>405</v>
      </c>
    </row>
    <row r="29" spans="2:5" ht="15.95" customHeight="1" x14ac:dyDescent="0.3">
      <c r="B29" s="45" t="s">
        <v>411</v>
      </c>
      <c r="C29" s="46" t="s">
        <v>404</v>
      </c>
      <c r="D29" s="46"/>
      <c r="E29" s="45" t="s">
        <v>405</v>
      </c>
    </row>
    <row r="30" spans="2:5" ht="15.95" customHeight="1" x14ac:dyDescent="0.3">
      <c r="B30" s="45" t="s">
        <v>412</v>
      </c>
      <c r="C30" s="46" t="s">
        <v>413</v>
      </c>
      <c r="D30" s="46"/>
      <c r="E30" s="45" t="s">
        <v>414</v>
      </c>
    </row>
  </sheetData>
  <mergeCells count="2">
    <mergeCell ref="B3:E3"/>
    <mergeCell ref="B5:E5"/>
  </mergeCells>
  <phoneticPr fontId="6" type="noConversion"/>
  <pageMargins left="0.39370138888888889" right="0.39370138888888889" top="0.31496111111111108" bottom="0.31496111111111108" header="0.19685069444444445" footer="0.19685069444444445"/>
  <pageSetup paperSize="9" fitToWidth="0" fitToHeight="0"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C033A-22DD-4A48-97C6-8490DE766243}">
  <sheetPr codeName="Sheet47"/>
  <dimension ref="A1:I18"/>
  <sheetViews>
    <sheetView workbookViewId="0"/>
  </sheetViews>
  <sheetFormatPr defaultRowHeight="16.5" x14ac:dyDescent="0.3"/>
  <cols>
    <col min="1" max="1" width="3.125" customWidth="1"/>
    <col min="2" max="2" width="12.625" customWidth="1"/>
    <col min="3" max="3" width="14.625" customWidth="1"/>
    <col min="4" max="4" width="34.625" customWidth="1"/>
    <col min="5" max="6" width="8.625" customWidth="1"/>
  </cols>
  <sheetData>
    <row r="1" spans="1:9" x14ac:dyDescent="0.3">
      <c r="A1" s="20" t="s">
        <v>363</v>
      </c>
    </row>
    <row r="2" spans="1:9" x14ac:dyDescent="0.3">
      <c r="I2" s="36" t="s">
        <v>338</v>
      </c>
    </row>
    <row r="3" spans="1:9" x14ac:dyDescent="0.3">
      <c r="B3" s="82" t="s">
        <v>364</v>
      </c>
      <c r="C3" s="83"/>
      <c r="D3" s="83"/>
      <c r="E3" s="83"/>
      <c r="F3" s="83"/>
      <c r="I3">
        <v>1</v>
      </c>
    </row>
    <row r="4" spans="1:9" x14ac:dyDescent="0.3">
      <c r="B4" s="82" t="s">
        <v>365</v>
      </c>
      <c r="C4" s="83"/>
      <c r="D4" s="83"/>
      <c r="E4" s="83"/>
      <c r="F4" s="83"/>
    </row>
    <row r="5" spans="1:9" x14ac:dyDescent="0.3">
      <c r="B5" s="37" t="s">
        <v>87</v>
      </c>
      <c r="C5" s="37" t="str">
        <f>IF(기초자료입력!C4&lt;&gt;"",기초자료입력!C4,"")</f>
        <v/>
      </c>
      <c r="D5" s="37" t="s">
        <v>88</v>
      </c>
      <c r="E5" s="37" t="str">
        <f>IF(기초자료입력!C5&lt;&gt;"",기초자료입력!C5,"")</f>
        <v/>
      </c>
      <c r="F5" s="37" t="s">
        <v>366</v>
      </c>
    </row>
    <row r="6" spans="1:9" x14ac:dyDescent="0.3">
      <c r="B6" s="83">
        <f>IFERROR(INDEX(기초자료입력!$B$44:$B$53,I3),"")</f>
        <v>0</v>
      </c>
      <c r="C6" s="83"/>
      <c r="D6" s="83"/>
      <c r="E6" s="83"/>
      <c r="F6" s="83"/>
    </row>
    <row r="7" spans="1:9" ht="24" customHeight="1" x14ac:dyDescent="0.3">
      <c r="B7" s="91" t="s">
        <v>342</v>
      </c>
      <c r="C7" s="91"/>
      <c r="D7" s="91"/>
      <c r="E7" s="91"/>
      <c r="F7" s="91"/>
    </row>
    <row r="8" spans="1:9" x14ac:dyDescent="0.3">
      <c r="B8" s="32" t="s">
        <v>327</v>
      </c>
      <c r="C8" s="32" t="s">
        <v>81</v>
      </c>
      <c r="D8" s="32" t="s">
        <v>328</v>
      </c>
      <c r="E8" s="32" t="s">
        <v>82</v>
      </c>
      <c r="F8" s="32" t="s">
        <v>329</v>
      </c>
    </row>
    <row r="9" spans="1:9" ht="45" customHeight="1" x14ac:dyDescent="0.3">
      <c r="B9" s="85" t="s">
        <v>367</v>
      </c>
      <c r="C9" s="29" t="s">
        <v>368</v>
      </c>
      <c r="D9" s="33" t="s">
        <v>369</v>
      </c>
      <c r="E9" s="29">
        <v>15</v>
      </c>
      <c r="F9" s="29">
        <f>IFERROR(INDEX(기초자료입력!$H$44:$H$53,I3),"")</f>
        <v>0</v>
      </c>
    </row>
    <row r="10" spans="1:9" ht="45" customHeight="1" x14ac:dyDescent="0.3">
      <c r="B10" s="85"/>
      <c r="C10" s="29" t="s">
        <v>370</v>
      </c>
      <c r="D10" s="33" t="s">
        <v>371</v>
      </c>
      <c r="E10" s="29">
        <v>10</v>
      </c>
      <c r="F10" s="29">
        <f>IFERROR(INDEX(기초자료입력!$I$44:$I$53,I3),"")</f>
        <v>0</v>
      </c>
    </row>
    <row r="11" spans="1:9" ht="45" customHeight="1" x14ac:dyDescent="0.3">
      <c r="B11" s="85"/>
      <c r="C11" s="29" t="s">
        <v>372</v>
      </c>
      <c r="D11" s="33" t="s">
        <v>373</v>
      </c>
      <c r="E11" s="29">
        <v>15</v>
      </c>
      <c r="F11" s="29">
        <f>IFERROR(INDEX(기초자료입력!$J$44:$J$53,I3),"")</f>
        <v>0</v>
      </c>
    </row>
    <row r="12" spans="1:9" ht="45" customHeight="1" x14ac:dyDescent="0.3">
      <c r="B12" s="85"/>
      <c r="C12" s="29" t="s">
        <v>374</v>
      </c>
      <c r="D12" s="33" t="s">
        <v>375</v>
      </c>
      <c r="E12" s="29">
        <v>10</v>
      </c>
      <c r="F12" s="29">
        <f>IFERROR(INDEX(기초자료입력!$K$44:$K$53,I3),"")</f>
        <v>0</v>
      </c>
    </row>
    <row r="13" spans="1:9" ht="45" customHeight="1" x14ac:dyDescent="0.3">
      <c r="B13" s="85"/>
      <c r="C13" s="29" t="s">
        <v>376</v>
      </c>
      <c r="D13" s="33" t="s">
        <v>377</v>
      </c>
      <c r="E13" s="29" t="s">
        <v>378</v>
      </c>
      <c r="F13" s="29">
        <f>IFERROR(INDEX(기초자료입력!$L$44:$L$53,I3),"")</f>
        <v>0</v>
      </c>
    </row>
    <row r="14" spans="1:9" x14ac:dyDescent="0.3">
      <c r="B14" s="138" t="s">
        <v>295</v>
      </c>
      <c r="C14" s="138"/>
      <c r="D14" s="138" t="s">
        <v>361</v>
      </c>
      <c r="E14" s="80"/>
      <c r="F14" s="32">
        <f>IF(OR(F9="",F10="",F11="",F12="",F13=""),"",F9+F10+F11+F12+F13)</f>
        <v>0</v>
      </c>
    </row>
    <row r="15" spans="1:9" x14ac:dyDescent="0.3">
      <c r="B15" s="38"/>
      <c r="C15" s="38"/>
      <c r="D15" s="38"/>
      <c r="E15" s="38"/>
      <c r="F15" s="38"/>
    </row>
    <row r="16" spans="1:9" ht="30" customHeight="1" x14ac:dyDescent="0.3">
      <c r="B16" s="91"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16" s="91"/>
      <c r="D16" s="91"/>
      <c r="E16" s="91"/>
      <c r="F16" s="91"/>
    </row>
    <row r="17" spans="2:6" x14ac:dyDescent="0.3">
      <c r="B17" s="83" t="s">
        <v>320</v>
      </c>
      <c r="C17" s="83"/>
      <c r="D17" s="83"/>
      <c r="E17" s="83"/>
      <c r="F17" s="83"/>
    </row>
    <row r="18" spans="2:6" x14ac:dyDescent="0.3">
      <c r="B18" s="83" t="s">
        <v>379</v>
      </c>
      <c r="C18" s="83"/>
      <c r="D18" s="83"/>
      <c r="E18" s="83"/>
      <c r="F18" s="83"/>
    </row>
  </sheetData>
  <mergeCells count="10">
    <mergeCell ref="B16:F16"/>
    <mergeCell ref="B17:F17"/>
    <mergeCell ref="B18:F18"/>
    <mergeCell ref="B3:F3"/>
    <mergeCell ref="B4:F4"/>
    <mergeCell ref="B6:F6"/>
    <mergeCell ref="B7:F7"/>
    <mergeCell ref="B9:B13"/>
    <mergeCell ref="B14:C14"/>
    <mergeCell ref="D14:E14"/>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D65EF-75A2-43B0-9979-790BBD66C8F2}">
  <sheetPr codeName="Sheet48"/>
  <dimension ref="A1:I26"/>
  <sheetViews>
    <sheetView workbookViewId="0"/>
  </sheetViews>
  <sheetFormatPr defaultRowHeight="16.5" x14ac:dyDescent="0.3"/>
  <cols>
    <col min="1" max="1" width="3.125" customWidth="1"/>
    <col min="2" max="2" width="7.625" customWidth="1"/>
    <col min="3" max="3" width="20.625" customWidth="1"/>
    <col min="4" max="4" width="18.625" customWidth="1"/>
    <col min="5" max="5" width="6.625" customWidth="1"/>
    <col min="6" max="6" width="8.625" customWidth="1"/>
    <col min="7" max="7" width="6.625" customWidth="1"/>
  </cols>
  <sheetData>
    <row r="1" spans="1:9" x14ac:dyDescent="0.3">
      <c r="A1" s="20" t="s">
        <v>337</v>
      </c>
    </row>
    <row r="2" spans="1:9" x14ac:dyDescent="0.3">
      <c r="I2" s="36" t="s">
        <v>338</v>
      </c>
    </row>
    <row r="3" spans="1:9" x14ac:dyDescent="0.3">
      <c r="B3" s="82" t="s">
        <v>339</v>
      </c>
      <c r="C3" s="83"/>
      <c r="D3" s="83"/>
      <c r="E3" s="83"/>
      <c r="F3" s="83"/>
      <c r="G3" s="83"/>
      <c r="I3">
        <v>1</v>
      </c>
    </row>
    <row r="4" spans="1:9" x14ac:dyDescent="0.3">
      <c r="B4" s="82" t="s">
        <v>340</v>
      </c>
      <c r="C4" s="83"/>
      <c r="D4" s="83"/>
      <c r="E4" s="83"/>
      <c r="F4" s="83"/>
      <c r="G4" s="83"/>
    </row>
    <row r="5" spans="1:9" x14ac:dyDescent="0.3">
      <c r="B5" s="37" t="s">
        <v>87</v>
      </c>
      <c r="C5" s="37" t="str">
        <f>IF(기초자료입력!C4&lt;&gt;"",기초자료입력!C4,"")</f>
        <v/>
      </c>
      <c r="D5" s="37" t="s">
        <v>88</v>
      </c>
      <c r="E5" s="37" t="str">
        <f>IF(기초자료입력!C5&lt;&gt;"",기초자료입력!C5,"")</f>
        <v/>
      </c>
      <c r="F5" s="37" t="s">
        <v>341</v>
      </c>
      <c r="G5" s="37">
        <f>IFERROR(INDEX(기초자료입력!$B$44:$B$53,I3),"")</f>
        <v>0</v>
      </c>
    </row>
    <row r="6" spans="1:9" ht="24" customHeight="1" x14ac:dyDescent="0.3">
      <c r="B6" s="91" t="s">
        <v>342</v>
      </c>
      <c r="C6" s="91"/>
      <c r="D6" s="91"/>
      <c r="E6" s="91"/>
      <c r="F6" s="91"/>
      <c r="G6" s="91"/>
    </row>
    <row r="7" spans="1:9" x14ac:dyDescent="0.3">
      <c r="B7" s="38"/>
      <c r="C7" s="38"/>
      <c r="D7" s="38"/>
      <c r="E7" s="38"/>
      <c r="F7" s="38"/>
      <c r="G7" s="38"/>
    </row>
    <row r="8" spans="1:9" x14ac:dyDescent="0.3">
      <c r="B8" s="32" t="s">
        <v>327</v>
      </c>
      <c r="C8" s="32" t="s">
        <v>81</v>
      </c>
      <c r="D8" s="32" t="s">
        <v>328</v>
      </c>
      <c r="E8" s="32" t="s">
        <v>82</v>
      </c>
      <c r="F8" s="32" t="s">
        <v>329</v>
      </c>
      <c r="G8" s="37"/>
    </row>
    <row r="9" spans="1:9" ht="21.95" customHeight="1" x14ac:dyDescent="0.3">
      <c r="B9" s="85" t="s">
        <v>343</v>
      </c>
      <c r="C9" s="118" t="s">
        <v>344</v>
      </c>
      <c r="D9" s="33" t="s">
        <v>345</v>
      </c>
      <c r="E9" s="29">
        <v>10</v>
      </c>
      <c r="F9" s="84">
        <f>IFERROR(INDEX(기초자료입력!$C$44:$C$53,I3),"")</f>
        <v>0</v>
      </c>
      <c r="G9" s="30"/>
    </row>
    <row r="10" spans="1:9" ht="21.95" customHeight="1" x14ac:dyDescent="0.3">
      <c r="B10" s="85"/>
      <c r="C10" s="118"/>
      <c r="D10" s="33" t="s">
        <v>346</v>
      </c>
      <c r="E10" s="29">
        <v>8</v>
      </c>
      <c r="F10" s="84"/>
      <c r="G10" s="30"/>
    </row>
    <row r="11" spans="1:9" ht="21.95" customHeight="1" x14ac:dyDescent="0.3">
      <c r="B11" s="85"/>
      <c r="C11" s="118"/>
      <c r="D11" s="33" t="s">
        <v>347</v>
      </c>
      <c r="E11" s="29">
        <v>6</v>
      </c>
      <c r="F11" s="84"/>
      <c r="G11" s="30"/>
    </row>
    <row r="12" spans="1:9" ht="21.95" customHeight="1" x14ac:dyDescent="0.3">
      <c r="B12" s="85"/>
      <c r="C12" s="118"/>
      <c r="D12" s="33" t="s">
        <v>348</v>
      </c>
      <c r="E12" s="29">
        <v>4</v>
      </c>
      <c r="F12" s="84"/>
      <c r="G12" s="30"/>
    </row>
    <row r="13" spans="1:9" ht="21.95" customHeight="1" x14ac:dyDescent="0.3">
      <c r="B13" s="85"/>
      <c r="C13" s="118" t="s">
        <v>349</v>
      </c>
      <c r="D13" s="33" t="s">
        <v>350</v>
      </c>
      <c r="E13" s="29">
        <v>10</v>
      </c>
      <c r="F13" s="84">
        <f>IFERROR(INDEX(기초자료입력!$D$44:$D$53,I3),"")</f>
        <v>0</v>
      </c>
      <c r="G13" s="30"/>
    </row>
    <row r="14" spans="1:9" ht="21.95" customHeight="1" x14ac:dyDescent="0.3">
      <c r="B14" s="85"/>
      <c r="C14" s="118"/>
      <c r="D14" s="33" t="s">
        <v>351</v>
      </c>
      <c r="E14" s="29">
        <v>8</v>
      </c>
      <c r="F14" s="84"/>
      <c r="G14" s="30"/>
    </row>
    <row r="15" spans="1:9" ht="21.95" customHeight="1" x14ac:dyDescent="0.3">
      <c r="B15" s="85"/>
      <c r="C15" s="118"/>
      <c r="D15" s="33" t="s">
        <v>352</v>
      </c>
      <c r="E15" s="29">
        <v>5</v>
      </c>
      <c r="F15" s="84"/>
      <c r="G15" s="30"/>
    </row>
    <row r="16" spans="1:9" ht="21.95" customHeight="1" x14ac:dyDescent="0.3">
      <c r="B16" s="85"/>
      <c r="C16" s="118" t="s">
        <v>353</v>
      </c>
      <c r="D16" s="33" t="s">
        <v>354</v>
      </c>
      <c r="E16" s="29">
        <v>15</v>
      </c>
      <c r="F16" s="84">
        <f>IFERROR(INDEX(기초자료입력!$E$44:$E$53,I3),"")</f>
        <v>0</v>
      </c>
      <c r="G16" s="30"/>
    </row>
    <row r="17" spans="2:7" ht="21.95" customHeight="1" x14ac:dyDescent="0.3">
      <c r="B17" s="85"/>
      <c r="C17" s="118"/>
      <c r="D17" s="33" t="s">
        <v>355</v>
      </c>
      <c r="E17" s="29">
        <v>12</v>
      </c>
      <c r="F17" s="84"/>
      <c r="G17" s="30"/>
    </row>
    <row r="18" spans="2:7" ht="21.95" customHeight="1" x14ac:dyDescent="0.3">
      <c r="B18" s="85"/>
      <c r="C18" s="118"/>
      <c r="D18" s="33" t="s">
        <v>356</v>
      </c>
      <c r="E18" s="29">
        <v>9</v>
      </c>
      <c r="F18" s="84"/>
      <c r="G18" s="30"/>
    </row>
    <row r="19" spans="2:7" ht="21.95" customHeight="1" x14ac:dyDescent="0.3">
      <c r="B19" s="85"/>
      <c r="C19" s="118"/>
      <c r="D19" s="33" t="s">
        <v>357</v>
      </c>
      <c r="E19" s="29">
        <v>5</v>
      </c>
      <c r="F19" s="84"/>
      <c r="G19" s="30"/>
    </row>
    <row r="20" spans="2:7" ht="21.95" customHeight="1" x14ac:dyDescent="0.3">
      <c r="B20" s="85"/>
      <c r="C20" s="118" t="s">
        <v>358</v>
      </c>
      <c r="D20" s="33" t="s">
        <v>359</v>
      </c>
      <c r="E20" s="29">
        <v>15</v>
      </c>
      <c r="F20" s="84">
        <f>IFERROR(INDEX(기초자료입력!$F$44:$F$53,I3),"")</f>
        <v>0</v>
      </c>
      <c r="G20" s="30"/>
    </row>
    <row r="21" spans="2:7" ht="21.95" customHeight="1" x14ac:dyDescent="0.3">
      <c r="B21" s="85"/>
      <c r="C21" s="118"/>
      <c r="D21" s="33" t="s">
        <v>360</v>
      </c>
      <c r="E21" s="29">
        <v>0</v>
      </c>
      <c r="F21" s="84"/>
      <c r="G21" s="30"/>
    </row>
    <row r="22" spans="2:7" x14ac:dyDescent="0.3">
      <c r="B22" s="80" t="s">
        <v>295</v>
      </c>
      <c r="C22" s="138"/>
      <c r="D22" s="138" t="s">
        <v>361</v>
      </c>
      <c r="E22" s="80"/>
      <c r="F22" s="32">
        <f>IF(OR(F9="",F13="",F16="",F20=""),"",F9+F13+F16+F20)</f>
        <v>0</v>
      </c>
      <c r="G22" s="30"/>
    </row>
    <row r="23" spans="2:7" x14ac:dyDescent="0.3">
      <c r="B23" s="38"/>
      <c r="C23" s="38"/>
      <c r="D23" s="38"/>
      <c r="E23" s="38"/>
      <c r="F23" s="38"/>
      <c r="G23" s="38"/>
    </row>
    <row r="24" spans="2:7" ht="30" customHeight="1" x14ac:dyDescent="0.3">
      <c r="B24" s="91"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24" s="91"/>
      <c r="D24" s="91"/>
      <c r="E24" s="91"/>
      <c r="F24" s="91"/>
      <c r="G24" s="91"/>
    </row>
    <row r="25" spans="2:7" x14ac:dyDescent="0.3">
      <c r="B25" s="83" t="s">
        <v>320</v>
      </c>
      <c r="C25" s="83"/>
      <c r="D25" s="83"/>
      <c r="E25" s="83"/>
      <c r="F25" s="83"/>
      <c r="G25" s="83"/>
    </row>
    <row r="26" spans="2:7" x14ac:dyDescent="0.3">
      <c r="B26" s="83" t="s">
        <v>362</v>
      </c>
      <c r="C26" s="83"/>
      <c r="D26" s="83"/>
      <c r="E26" s="83"/>
      <c r="F26" s="83"/>
      <c r="G26" s="83"/>
    </row>
  </sheetData>
  <mergeCells count="17">
    <mergeCell ref="B3:G3"/>
    <mergeCell ref="B4:G4"/>
    <mergeCell ref="B6:G6"/>
    <mergeCell ref="B9:B21"/>
    <mergeCell ref="C9:C12"/>
    <mergeCell ref="F9:F12"/>
    <mergeCell ref="C13:C15"/>
    <mergeCell ref="F13:F15"/>
    <mergeCell ref="C16:C19"/>
    <mergeCell ref="F16:F19"/>
    <mergeCell ref="B26:G26"/>
    <mergeCell ref="C20:C21"/>
    <mergeCell ref="F20:F21"/>
    <mergeCell ref="B22:C22"/>
    <mergeCell ref="D22:E22"/>
    <mergeCell ref="B24:G24"/>
    <mergeCell ref="B25:G25"/>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266A4-A6CE-4D9A-BAD4-C85680FF0C1F}">
  <sheetPr codeName="Sheet49"/>
  <dimension ref="A1:G25"/>
  <sheetViews>
    <sheetView workbookViewId="0"/>
  </sheetViews>
  <sheetFormatPr defaultRowHeight="16.5" x14ac:dyDescent="0.3"/>
  <cols>
    <col min="1" max="1" width="3.125" customWidth="1"/>
    <col min="2" max="2" width="7.625" customWidth="1"/>
    <col min="3" max="4" width="18.625" customWidth="1"/>
    <col min="5" max="5" width="7.625" customWidth="1"/>
    <col min="6" max="6" width="9.625" customWidth="1"/>
    <col min="7" max="7" width="7.625" customWidth="1"/>
  </cols>
  <sheetData>
    <row r="1" spans="1:7" x14ac:dyDescent="0.3">
      <c r="A1" s="20" t="s">
        <v>322</v>
      </c>
    </row>
    <row r="3" spans="1:7" x14ac:dyDescent="0.3">
      <c r="B3" s="82" t="s">
        <v>323</v>
      </c>
      <c r="C3" s="83"/>
      <c r="D3" s="83"/>
      <c r="E3" s="83"/>
      <c r="F3" s="83"/>
      <c r="G3" s="83"/>
    </row>
    <row r="4" spans="1:7" x14ac:dyDescent="0.3">
      <c r="B4" s="83" t="s">
        <v>324</v>
      </c>
      <c r="C4" s="83"/>
      <c r="D4" s="83"/>
      <c r="E4" s="83"/>
      <c r="F4" s="83"/>
      <c r="G4" s="83"/>
    </row>
    <row r="5" spans="1:7" x14ac:dyDescent="0.3">
      <c r="B5" s="29" t="s">
        <v>87</v>
      </c>
      <c r="C5" s="30" t="str">
        <f>IF(기초자료입력!C4&lt;&gt;"",기초자료입력!C4,"")</f>
        <v/>
      </c>
      <c r="D5" s="30" t="s">
        <v>88</v>
      </c>
      <c r="E5" s="30" t="str">
        <f>IF(기초자료입력!C5&lt;&gt;"",기초자료입력!C5,"")</f>
        <v/>
      </c>
      <c r="F5" s="30" t="s">
        <v>325</v>
      </c>
      <c r="G5" s="29" t="str">
        <f>IF(COUNTA(기초자료입력!B72:B81)&gt;0,기초자료입력!D82,"")</f>
        <v/>
      </c>
    </row>
    <row r="6" spans="1:7" x14ac:dyDescent="0.3">
      <c r="B6" s="142" t="str">
        <f>IF(기초자료입력!C22&lt;&gt;"",기초자료입력!C22,"제안서 평가항목 및 배점기준")</f>
        <v>제안서 평가항목 및 배점기준</v>
      </c>
      <c r="C6" s="136"/>
      <c r="D6" s="136"/>
      <c r="E6" s="136"/>
      <c r="F6" s="136"/>
      <c r="G6" s="136"/>
    </row>
    <row r="7" spans="1:7" ht="30" customHeight="1" x14ac:dyDescent="0.3">
      <c r="B7" s="91" t="s">
        <v>326</v>
      </c>
      <c r="C7" s="91"/>
      <c r="D7" s="91"/>
      <c r="E7" s="91"/>
      <c r="F7" s="91"/>
      <c r="G7" s="91"/>
    </row>
    <row r="8" spans="1:7" x14ac:dyDescent="0.3">
      <c r="B8" s="31"/>
      <c r="C8" s="31"/>
      <c r="D8" s="31"/>
      <c r="E8" s="31"/>
      <c r="F8" s="31"/>
      <c r="G8" s="31"/>
    </row>
    <row r="9" spans="1:7" x14ac:dyDescent="0.3">
      <c r="B9" s="32" t="s">
        <v>327</v>
      </c>
      <c r="C9" s="32" t="s">
        <v>81</v>
      </c>
      <c r="D9" s="32" t="s">
        <v>328</v>
      </c>
      <c r="E9" s="32" t="s">
        <v>82</v>
      </c>
      <c r="F9" s="32" t="s">
        <v>329</v>
      </c>
      <c r="G9" s="32" t="s">
        <v>316</v>
      </c>
    </row>
    <row r="10" spans="1:7" ht="24" customHeight="1" x14ac:dyDescent="0.3">
      <c r="B10" s="29" t="str">
        <f>IF(기초자료입력!B72&lt;&gt;"","평가","")</f>
        <v/>
      </c>
      <c r="C10" s="33" t="str">
        <f>IF(기초자료입력!B72&lt;&gt;"",기초자료입력!B72,"")</f>
        <v/>
      </c>
      <c r="D10" s="30" t="s">
        <v>330</v>
      </c>
      <c r="E10" s="34" t="str">
        <f>IF(기초자료입력!C72&lt;&gt;"",기초자료입력!C72,"")</f>
        <v/>
      </c>
      <c r="F10" s="34" t="str">
        <f>IF(기초자료입력!D72&lt;&gt;"",기초자료입력!D72,"")</f>
        <v/>
      </c>
      <c r="G10" s="29" t="str">
        <f>IF(AND(기초자료입력!B72&lt;&gt;"",기초자료입력!D72&lt;=기초자료입력!C72),"정상","")</f>
        <v/>
      </c>
    </row>
    <row r="11" spans="1:7" ht="24" customHeight="1" x14ac:dyDescent="0.3">
      <c r="B11" s="29" t="str">
        <f>IF(기초자료입력!B73&lt;&gt;"","평가","")</f>
        <v/>
      </c>
      <c r="C11" s="33" t="str">
        <f>IF(기초자료입력!B73&lt;&gt;"",기초자료입력!B73,"")</f>
        <v/>
      </c>
      <c r="D11" s="30" t="s">
        <v>330</v>
      </c>
      <c r="E11" s="34" t="str">
        <f>IF(기초자료입력!C73&lt;&gt;"",기초자료입력!C73,"")</f>
        <v/>
      </c>
      <c r="F11" s="34" t="str">
        <f>IF(기초자료입력!D73&lt;&gt;"",기초자료입력!D73,"")</f>
        <v/>
      </c>
      <c r="G11" s="29" t="str">
        <f>IF(AND(기초자료입력!B73&lt;&gt;"",기초자료입력!D73&lt;=기초자료입력!C73),"정상","")</f>
        <v/>
      </c>
    </row>
    <row r="12" spans="1:7" ht="24" customHeight="1" x14ac:dyDescent="0.3">
      <c r="B12" s="29" t="str">
        <f>IF(기초자료입력!B74&lt;&gt;"","평가","")</f>
        <v/>
      </c>
      <c r="C12" s="33" t="str">
        <f>IF(기초자료입력!B74&lt;&gt;"",기초자료입력!B74,"")</f>
        <v/>
      </c>
      <c r="D12" s="30" t="s">
        <v>330</v>
      </c>
      <c r="E12" s="34" t="str">
        <f>IF(기초자료입력!C74&lt;&gt;"",기초자료입력!C74,"")</f>
        <v/>
      </c>
      <c r="F12" s="34" t="str">
        <f>IF(기초자료입력!D74&lt;&gt;"",기초자료입력!D74,"")</f>
        <v/>
      </c>
      <c r="G12" s="29" t="str">
        <f>IF(AND(기초자료입력!B74&lt;&gt;"",기초자료입력!D74&lt;=기초자료입력!C74),"정상","")</f>
        <v/>
      </c>
    </row>
    <row r="13" spans="1:7" ht="24" customHeight="1" x14ac:dyDescent="0.3">
      <c r="B13" s="29" t="str">
        <f>IF(기초자료입력!B75&lt;&gt;"","평가","")</f>
        <v/>
      </c>
      <c r="C13" s="33" t="str">
        <f>IF(기초자료입력!B75&lt;&gt;"",기초자료입력!B75,"")</f>
        <v/>
      </c>
      <c r="D13" s="30" t="s">
        <v>330</v>
      </c>
      <c r="E13" s="34" t="str">
        <f>IF(기초자료입력!C75&lt;&gt;"",기초자료입력!C75,"")</f>
        <v/>
      </c>
      <c r="F13" s="34" t="str">
        <f>IF(기초자료입력!D75&lt;&gt;"",기초자료입력!D75,"")</f>
        <v/>
      </c>
      <c r="G13" s="29" t="str">
        <f>IF(AND(기초자료입력!B75&lt;&gt;"",기초자료입력!D75&lt;=기초자료입력!C75),"정상","")</f>
        <v/>
      </c>
    </row>
    <row r="14" spans="1:7" ht="24" customHeight="1" x14ac:dyDescent="0.3">
      <c r="B14" s="29" t="str">
        <f>IF(기초자료입력!B76&lt;&gt;"","평가","")</f>
        <v/>
      </c>
      <c r="C14" s="33" t="str">
        <f>IF(기초자료입력!B76&lt;&gt;"",기초자료입력!B76,"")</f>
        <v/>
      </c>
      <c r="D14" s="30" t="s">
        <v>330</v>
      </c>
      <c r="E14" s="34" t="str">
        <f>IF(기초자료입력!C76&lt;&gt;"",기초자료입력!C76,"")</f>
        <v/>
      </c>
      <c r="F14" s="34" t="str">
        <f>IF(기초자료입력!D76&lt;&gt;"",기초자료입력!D76,"")</f>
        <v/>
      </c>
      <c r="G14" s="29" t="str">
        <f>IF(AND(기초자료입력!B76&lt;&gt;"",기초자료입력!D76&lt;=기초자료입력!C76),"정상","")</f>
        <v/>
      </c>
    </row>
    <row r="15" spans="1:7" ht="24" customHeight="1" x14ac:dyDescent="0.3">
      <c r="B15" s="29" t="str">
        <f>IF(기초자료입력!B77&lt;&gt;"","평가","")</f>
        <v/>
      </c>
      <c r="C15" s="33" t="str">
        <f>IF(기초자료입력!B77&lt;&gt;"",기초자료입력!B77,"")</f>
        <v/>
      </c>
      <c r="D15" s="30" t="s">
        <v>330</v>
      </c>
      <c r="E15" s="34" t="str">
        <f>IF(기초자료입력!C77&lt;&gt;"",기초자료입력!C77,"")</f>
        <v/>
      </c>
      <c r="F15" s="34" t="str">
        <f>IF(기초자료입력!D77&lt;&gt;"",기초자료입력!D77,"")</f>
        <v/>
      </c>
      <c r="G15" s="29" t="str">
        <f>IF(AND(기초자료입력!B77&lt;&gt;"",기초자료입력!D77&lt;=기초자료입력!C77),"정상","")</f>
        <v/>
      </c>
    </row>
    <row r="16" spans="1:7" ht="24" customHeight="1" x14ac:dyDescent="0.3">
      <c r="B16" s="29" t="str">
        <f>IF(기초자료입력!B78&lt;&gt;"","평가","")</f>
        <v/>
      </c>
      <c r="C16" s="33" t="str">
        <f>IF(기초자료입력!B78&lt;&gt;"",기초자료입력!B78,"")</f>
        <v/>
      </c>
      <c r="D16" s="30" t="s">
        <v>330</v>
      </c>
      <c r="E16" s="34" t="str">
        <f>IF(기초자료입력!C78&lt;&gt;"",기초자료입력!C78,"")</f>
        <v/>
      </c>
      <c r="F16" s="34" t="str">
        <f>IF(기초자료입력!D78&lt;&gt;"",기초자료입력!D78,"")</f>
        <v/>
      </c>
      <c r="G16" s="29" t="str">
        <f>IF(AND(기초자료입력!B78&lt;&gt;"",기초자료입력!D78&lt;=기초자료입력!C78),"정상","")</f>
        <v/>
      </c>
    </row>
    <row r="17" spans="2:7" ht="24" customHeight="1" x14ac:dyDescent="0.3">
      <c r="B17" s="29" t="str">
        <f>IF(기초자료입력!B79&lt;&gt;"","평가","")</f>
        <v/>
      </c>
      <c r="C17" s="33" t="str">
        <f>IF(기초자료입력!B79&lt;&gt;"",기초자료입력!B79,"")</f>
        <v/>
      </c>
      <c r="D17" s="30" t="s">
        <v>330</v>
      </c>
      <c r="E17" s="34" t="str">
        <f>IF(기초자료입력!C79&lt;&gt;"",기초자료입력!C79,"")</f>
        <v/>
      </c>
      <c r="F17" s="34" t="str">
        <f>IF(기초자료입력!D79&lt;&gt;"",기초자료입력!D79,"")</f>
        <v/>
      </c>
      <c r="G17" s="29" t="str">
        <f>IF(AND(기초자료입력!B79&lt;&gt;"",기초자료입력!D79&lt;=기초자료입력!C79),"정상","")</f>
        <v/>
      </c>
    </row>
    <row r="18" spans="2:7" ht="24" customHeight="1" x14ac:dyDescent="0.3">
      <c r="B18" s="29" t="str">
        <f>IF(기초자료입력!B80&lt;&gt;"","평가","")</f>
        <v/>
      </c>
      <c r="C18" s="33" t="str">
        <f>IF(기초자료입력!B80&lt;&gt;"",기초자료입력!B80,"")</f>
        <v/>
      </c>
      <c r="D18" s="30" t="s">
        <v>330</v>
      </c>
      <c r="E18" s="34" t="str">
        <f>IF(기초자료입력!C80&lt;&gt;"",기초자료입력!C80,"")</f>
        <v/>
      </c>
      <c r="F18" s="34" t="str">
        <f>IF(기초자료입력!D80&lt;&gt;"",기초자료입력!D80,"")</f>
        <v/>
      </c>
      <c r="G18" s="29" t="str">
        <f>IF(AND(기초자료입력!B80&lt;&gt;"",기초자료입력!D80&lt;=기초자료입력!C80),"정상","")</f>
        <v/>
      </c>
    </row>
    <row r="19" spans="2:7" ht="24" customHeight="1" x14ac:dyDescent="0.3">
      <c r="B19" s="29" t="str">
        <f>IF(기초자료입력!B81&lt;&gt;"","평가","")</f>
        <v/>
      </c>
      <c r="C19" s="33" t="str">
        <f>IF(기초자료입력!B81&lt;&gt;"",기초자료입력!B81,"")</f>
        <v/>
      </c>
      <c r="D19" s="30" t="s">
        <v>330</v>
      </c>
      <c r="E19" s="34" t="str">
        <f>IF(기초자료입력!C81&lt;&gt;"",기초자료입력!C81,"")</f>
        <v/>
      </c>
      <c r="F19" s="34" t="str">
        <f>IF(기초자료입력!D81&lt;&gt;"",기초자료입력!D81,"")</f>
        <v/>
      </c>
      <c r="G19" s="29" t="str">
        <f>IF(AND(기초자료입력!B81&lt;&gt;"",기초자료입력!D81&lt;=기초자료입력!C81),"정상","")</f>
        <v/>
      </c>
    </row>
    <row r="20" spans="2:7" x14ac:dyDescent="0.3">
      <c r="B20" s="80" t="s">
        <v>331</v>
      </c>
      <c r="C20" s="138"/>
      <c r="D20" s="138"/>
      <c r="E20" s="35">
        <f>SUM(E10:E19)</f>
        <v>0</v>
      </c>
      <c r="F20" s="35">
        <f>기초자료입력!D82</f>
        <v>0</v>
      </c>
      <c r="G20" s="32" t="s">
        <v>332</v>
      </c>
    </row>
    <row r="21" spans="2:7" x14ac:dyDescent="0.3">
      <c r="B21" s="31"/>
      <c r="C21" s="31"/>
      <c r="D21" s="31"/>
      <c r="E21" s="31"/>
      <c r="F21" s="31"/>
      <c r="G21" s="31"/>
    </row>
    <row r="22" spans="2:7" x14ac:dyDescent="0.3">
      <c r="B22" s="114" t="s">
        <v>333</v>
      </c>
      <c r="C22" s="91"/>
      <c r="D22" s="91"/>
      <c r="E22" s="91"/>
      <c r="F22" s="91"/>
      <c r="G22" s="91"/>
    </row>
    <row r="23" spans="2:7" ht="30" customHeight="1" x14ac:dyDescent="0.3">
      <c r="B23" s="91" t="s">
        <v>334</v>
      </c>
      <c r="C23" s="91"/>
      <c r="D23" s="91"/>
      <c r="E23" s="91"/>
      <c r="F23" s="91"/>
      <c r="G23" s="91"/>
    </row>
    <row r="24" spans="2:7" ht="30" customHeight="1" x14ac:dyDescent="0.3">
      <c r="B24" s="91" t="s">
        <v>335</v>
      </c>
      <c r="C24" s="91"/>
      <c r="D24" s="91"/>
      <c r="E24" s="91"/>
      <c r="F24" s="91"/>
      <c r="G24" s="91"/>
    </row>
    <row r="25" spans="2:7" ht="30" customHeight="1" x14ac:dyDescent="0.3">
      <c r="B25" s="91" t="s">
        <v>336</v>
      </c>
      <c r="C25" s="91"/>
      <c r="D25" s="91"/>
      <c r="E25" s="91"/>
      <c r="F25" s="91"/>
      <c r="G25" s="91"/>
    </row>
  </sheetData>
  <mergeCells count="9">
    <mergeCell ref="B23:G23"/>
    <mergeCell ref="B24:G24"/>
    <mergeCell ref="B25:G25"/>
    <mergeCell ref="B3:G3"/>
    <mergeCell ref="B4:G4"/>
    <mergeCell ref="B6:G6"/>
    <mergeCell ref="B7:G7"/>
    <mergeCell ref="B20:D20"/>
    <mergeCell ref="B22:G22"/>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A6E3B-CB3C-4223-B469-62310E391B8F}">
  <sheetPr codeName="Sheet50"/>
  <dimension ref="A1:G19"/>
  <sheetViews>
    <sheetView workbookViewId="0"/>
  </sheetViews>
  <sheetFormatPr defaultRowHeight="16.5" x14ac:dyDescent="0.3"/>
  <cols>
    <col min="1" max="1" width="3.125" customWidth="1"/>
    <col min="2" max="2" width="9.625" customWidth="1"/>
    <col min="3" max="3" width="16.625" customWidth="1"/>
    <col min="4" max="4" width="9.625" customWidth="1"/>
    <col min="5" max="5" width="14.625" customWidth="1"/>
    <col min="6" max="6" width="17.625" customWidth="1"/>
    <col min="7" max="7" width="10.625" customWidth="1"/>
  </cols>
  <sheetData>
    <row r="1" spans="1:7" x14ac:dyDescent="0.3">
      <c r="A1" s="20" t="s">
        <v>296</v>
      </c>
    </row>
    <row r="3" spans="1:7" ht="30" customHeight="1" x14ac:dyDescent="0.3">
      <c r="B3" s="79" t="s">
        <v>312</v>
      </c>
      <c r="C3" s="78"/>
      <c r="D3" s="78"/>
      <c r="E3" s="78"/>
      <c r="F3" s="78"/>
      <c r="G3" s="78"/>
    </row>
    <row r="4" spans="1:7" x14ac:dyDescent="0.3">
      <c r="B4" s="78" t="s">
        <v>313</v>
      </c>
      <c r="C4" s="78"/>
      <c r="D4" s="78"/>
      <c r="E4" s="78"/>
      <c r="F4" s="78"/>
      <c r="G4" s="78"/>
    </row>
    <row r="5" spans="1:7" x14ac:dyDescent="0.3">
      <c r="B5" s="21"/>
      <c r="C5" s="21"/>
      <c r="D5" s="21"/>
      <c r="E5" s="21"/>
      <c r="F5" s="21"/>
      <c r="G5" s="21"/>
    </row>
    <row r="6" spans="1:7" x14ac:dyDescent="0.3">
      <c r="B6" s="22" t="s">
        <v>87</v>
      </c>
      <c r="C6" s="22" t="str">
        <f>IF(기초자료입력!C4&lt;&gt;"",기초자료입력!C4,"")</f>
        <v/>
      </c>
      <c r="D6" s="22" t="s">
        <v>88</v>
      </c>
      <c r="E6" s="22" t="str">
        <f>IF(기초자료입력!C5&lt;&gt;"",기초자료입력!C5,"")</f>
        <v/>
      </c>
      <c r="F6" s="22" t="s">
        <v>91</v>
      </c>
      <c r="G6" s="22" t="str">
        <f>IF(기초자료입력!C12&lt;&gt;"",기초자료입력!C12,"")</f>
        <v/>
      </c>
    </row>
    <row r="7" spans="1:7" x14ac:dyDescent="0.3">
      <c r="B7" s="21"/>
      <c r="C7" s="21"/>
      <c r="D7" s="21"/>
      <c r="E7" s="21"/>
      <c r="F7" s="21"/>
      <c r="G7" s="21"/>
    </row>
    <row r="8" spans="1:7" x14ac:dyDescent="0.3">
      <c r="B8" s="102" t="s">
        <v>314</v>
      </c>
      <c r="C8" s="102"/>
      <c r="D8" s="26" t="s">
        <v>55</v>
      </c>
      <c r="E8" s="26" t="s">
        <v>315</v>
      </c>
      <c r="F8" s="102" t="s">
        <v>316</v>
      </c>
      <c r="G8" s="102"/>
    </row>
    <row r="9" spans="1:7" x14ac:dyDescent="0.3">
      <c r="B9" s="119" t="s">
        <v>317</v>
      </c>
      <c r="C9" s="22" t="str">
        <f>IF(기초자료입력!B29&lt;&gt;"",기초자료입력!B29,"후드 점퍼")</f>
        <v>후드 점퍼</v>
      </c>
      <c r="D9" s="22">
        <f>IF(기초자료입력!C29&lt;&gt;"",기초자료입력!C29,1)</f>
        <v>1</v>
      </c>
      <c r="E9" s="22" t="str">
        <f>IF(SUM(기초자료입력!$D$29:$D$34)=0,"",TEXT(기초자료입력!D29/SUM(기초자료입력!$D$29:$D$34)*100,"0.0")&amp;"%")</f>
        <v/>
      </c>
      <c r="F9" s="128" t="s">
        <v>319</v>
      </c>
      <c r="G9" s="128"/>
    </row>
    <row r="10" spans="1:7" x14ac:dyDescent="0.3">
      <c r="B10" s="119"/>
      <c r="C10" s="22" t="str">
        <f>IF(기초자료입력!B30&lt;&gt;"",기초자료입력!B30,"집업티")</f>
        <v>집업티</v>
      </c>
      <c r="D10" s="22">
        <f>IF(기초자료입력!C30&lt;&gt;"",기초자료입력!C30,1)</f>
        <v>1</v>
      </c>
      <c r="E10" s="22" t="str">
        <f>IF(SUM(기초자료입력!$D$29:$D$34)=0,"",TEXT(기초자료입력!D30/SUM(기초자료입력!$D$29:$D$34)*100,"0.0")&amp;"%")</f>
        <v/>
      </c>
      <c r="F10" s="128"/>
      <c r="G10" s="128"/>
    </row>
    <row r="11" spans="1:7" x14ac:dyDescent="0.3">
      <c r="B11" s="119"/>
      <c r="C11" s="22" t="str">
        <f>IF(기초자료입력!B31&lt;&gt;"",기초자료입력!B31,"맨투맨티")</f>
        <v>맨투맨티</v>
      </c>
      <c r="D11" s="22">
        <f>IF(기초자료입력!C31&lt;&gt;"",기초자료입력!C31,1)</f>
        <v>1</v>
      </c>
      <c r="E11" s="22" t="str">
        <f>IF(SUM(기초자료입력!$D$29:$D$34)=0,"",TEXT(기초자료입력!D31/SUM(기초자료입력!$D$29:$D$34)*100,"0.0")&amp;"%")</f>
        <v/>
      </c>
      <c r="F11" s="128"/>
      <c r="G11" s="128"/>
    </row>
    <row r="12" spans="1:7" x14ac:dyDescent="0.3">
      <c r="B12" s="119"/>
      <c r="C12" s="22" t="str">
        <f>IF(기초자료입력!B32&lt;&gt;"",기초자료입력!B32,"긴바지(치마)")</f>
        <v>긴바지(치마)</v>
      </c>
      <c r="D12" s="22">
        <f>IF(기초자료입력!C32&lt;&gt;"",기초자료입력!C32,1)</f>
        <v>1</v>
      </c>
      <c r="E12" s="22" t="str">
        <f>IF(SUM(기초자료입력!$D$29:$D$34)=0,"",TEXT(기초자료입력!D32/SUM(기초자료입력!$D$29:$D$34)*100,"0.0")&amp;"%")</f>
        <v/>
      </c>
      <c r="F12" s="128"/>
      <c r="G12" s="128"/>
    </row>
    <row r="13" spans="1:7" x14ac:dyDescent="0.3">
      <c r="B13" s="119" t="s">
        <v>318</v>
      </c>
      <c r="C13" s="22" t="str">
        <f>IF(기초자료입력!B33&lt;&gt;"",기초자료입력!B33,"반팔티")</f>
        <v>반팔티</v>
      </c>
      <c r="D13" s="22">
        <f>IF(기초자료입력!C33&lt;&gt;"",기초자료입력!C33,1)</f>
        <v>1</v>
      </c>
      <c r="E13" s="22" t="str">
        <f>IF(SUM(기초자료입력!$D$29:$D$34)=0,"",TEXT(기초자료입력!D33/SUM(기초자료입력!$D$29:$D$34)*100,"0.0")&amp;"%")</f>
        <v/>
      </c>
      <c r="F13" s="128"/>
      <c r="G13" s="128"/>
    </row>
    <row r="14" spans="1:7" x14ac:dyDescent="0.3">
      <c r="B14" s="119"/>
      <c r="C14" s="22" t="str">
        <f>IF(기초자료입력!B34&lt;&gt;"",기초자료입력!B34,"반바지")</f>
        <v>반바지</v>
      </c>
      <c r="D14" s="22">
        <f>IF(기초자료입력!C34&lt;&gt;"",기초자료입력!C34,1)</f>
        <v>1</v>
      </c>
      <c r="E14" s="22" t="str">
        <f>IF(SUM(기초자료입력!$D$29:$D$34)=0,"",TEXT(기초자료입력!D34/SUM(기초자료입력!$D$29:$D$34)*100,"0.0")&amp;"%")</f>
        <v/>
      </c>
      <c r="F14" s="128"/>
      <c r="G14" s="128"/>
    </row>
    <row r="15" spans="1:7" x14ac:dyDescent="0.3">
      <c r="B15" s="120" t="s">
        <v>295</v>
      </c>
      <c r="C15" s="120"/>
      <c r="D15" s="25">
        <f>SUM(D9:D14)</f>
        <v>6</v>
      </c>
      <c r="E15" s="25" t="str">
        <f>"100%"</f>
        <v>100%</v>
      </c>
      <c r="F15" s="120"/>
      <c r="G15" s="120"/>
    </row>
    <row r="16" spans="1:7" x14ac:dyDescent="0.3">
      <c r="B16" s="21"/>
      <c r="C16" s="21"/>
      <c r="D16" s="21"/>
      <c r="E16" s="21"/>
      <c r="F16" s="21"/>
      <c r="G16" s="21"/>
    </row>
    <row r="17" spans="2:7" x14ac:dyDescent="0.3">
      <c r="B17" s="88" t="s">
        <v>320</v>
      </c>
      <c r="C17" s="88"/>
      <c r="D17" s="88"/>
      <c r="E17" s="88"/>
      <c r="F17" s="88"/>
      <c r="G17" s="88"/>
    </row>
    <row r="18" spans="2:7" x14ac:dyDescent="0.3">
      <c r="B18" s="88" t="s">
        <v>321</v>
      </c>
      <c r="C18" s="88"/>
      <c r="D18" s="88"/>
      <c r="E18" s="88"/>
      <c r="F18" s="88"/>
      <c r="G18" s="88"/>
    </row>
    <row r="19" spans="2:7" x14ac:dyDescent="0.3">
      <c r="B19" s="88" t="str">
        <f>IF(기초자료입력!C4&lt;&gt;"",기초자료입력!C4,"○○○○학교")&amp;"장 귀하"</f>
        <v>○○○○학교장 귀하</v>
      </c>
      <c r="C19" s="88"/>
      <c r="D19" s="88"/>
      <c r="E19" s="88"/>
      <c r="F19" s="88"/>
      <c r="G19" s="88"/>
    </row>
  </sheetData>
  <mergeCells count="12">
    <mergeCell ref="B13:B14"/>
    <mergeCell ref="F9:G14"/>
    <mergeCell ref="B3:G3"/>
    <mergeCell ref="B4:G4"/>
    <mergeCell ref="B8:C8"/>
    <mergeCell ref="F8:G8"/>
    <mergeCell ref="B9:B12"/>
    <mergeCell ref="B15:C15"/>
    <mergeCell ref="F15:G15"/>
    <mergeCell ref="B17:G17"/>
    <mergeCell ref="B18:G18"/>
    <mergeCell ref="B19:G19"/>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6DB94-0EAE-4622-9ECB-F36E43ED6E55}">
  <sheetPr codeName="Sheet51"/>
  <dimension ref="A1:H33"/>
  <sheetViews>
    <sheetView workbookViewId="0"/>
  </sheetViews>
  <sheetFormatPr defaultRowHeight="16.5" x14ac:dyDescent="0.3"/>
  <cols>
    <col min="1" max="1" width="3.125" customWidth="1"/>
    <col min="2" max="2" width="11.625" customWidth="1"/>
    <col min="3" max="8" width="9.625" customWidth="1"/>
  </cols>
  <sheetData>
    <row r="1" spans="1:8" x14ac:dyDescent="0.3">
      <c r="A1" s="20" t="s">
        <v>296</v>
      </c>
    </row>
    <row r="3" spans="1:8" ht="30" customHeight="1" x14ac:dyDescent="0.3">
      <c r="B3" s="143" t="s">
        <v>288</v>
      </c>
      <c r="C3" s="93"/>
      <c r="D3" s="93"/>
      <c r="E3" s="93"/>
      <c r="F3" s="93"/>
      <c r="G3" s="93"/>
      <c r="H3" s="93"/>
    </row>
    <row r="5" spans="1:8" x14ac:dyDescent="0.3">
      <c r="B5" s="25" t="s">
        <v>25</v>
      </c>
      <c r="C5" s="22" t="str">
        <f>IF(기초자료입력!C9&lt;&gt;"",기초자료입력!C9,"")</f>
        <v/>
      </c>
      <c r="D5" s="22"/>
      <c r="E5" s="25" t="s">
        <v>289</v>
      </c>
      <c r="F5" s="22" t="str">
        <f>IF(기초자료입력!C8&lt;&gt;"",TEXT(기초자료입력!C8,"yyyy-mm-dd"),"")</f>
        <v/>
      </c>
      <c r="G5" s="22"/>
      <c r="H5" s="22"/>
    </row>
    <row r="6" spans="1:8" x14ac:dyDescent="0.3">
      <c r="B6" s="22"/>
      <c r="C6" s="22"/>
      <c r="D6" s="22"/>
      <c r="E6" s="22"/>
      <c r="F6" s="22"/>
      <c r="G6" s="22"/>
      <c r="H6" s="22"/>
    </row>
    <row r="7" spans="1:8" x14ac:dyDescent="0.3">
      <c r="B7" s="25" t="s">
        <v>290</v>
      </c>
      <c r="C7" s="119" t="str">
        <f>IF(기초자료입력!C21&lt;&gt;"",기초자료입력!C21,"내부결재")</f>
        <v>내부결재</v>
      </c>
      <c r="D7" s="119"/>
      <c r="E7" s="119"/>
      <c r="F7" s="119"/>
      <c r="G7" s="119"/>
      <c r="H7" s="119"/>
    </row>
    <row r="8" spans="1:8" x14ac:dyDescent="0.3">
      <c r="B8" s="25" t="s">
        <v>297</v>
      </c>
      <c r="C8" s="119"/>
      <c r="D8" s="119"/>
      <c r="E8" s="119"/>
      <c r="F8" s="119"/>
      <c r="G8" s="119"/>
      <c r="H8" s="119"/>
    </row>
    <row r="9" spans="1:8" x14ac:dyDescent="0.3">
      <c r="B9" s="25" t="s">
        <v>291</v>
      </c>
      <c r="C9" s="120" t="str">
        <f>IF(기초자료입력!C22&lt;&gt;"",기초자료입력!C22,기초자료입력!C5&amp;"학년도 "&amp;기초자료입력!C12&amp;" 구매 요청")</f>
        <v>학년도  구매 요청</v>
      </c>
      <c r="D9" s="119"/>
      <c r="E9" s="119"/>
      <c r="F9" s="119"/>
      <c r="G9" s="119"/>
      <c r="H9" s="119"/>
    </row>
    <row r="10" spans="1:8" ht="39.950000000000003" customHeight="1" x14ac:dyDescent="0.3">
      <c r="B10" s="22"/>
      <c r="C10" s="22"/>
      <c r="D10" s="22"/>
      <c r="E10" s="22"/>
      <c r="F10" s="22"/>
      <c r="G10" s="22"/>
      <c r="H10" s="22"/>
    </row>
    <row r="11" spans="1:8" x14ac:dyDescent="0.3">
      <c r="B11" s="25" t="s">
        <v>298</v>
      </c>
      <c r="C11" s="119" t="str">
        <f>IF(기초자료입력!C23&lt;&gt;"",기초자료입력!C23,"")</f>
        <v/>
      </c>
      <c r="D11" s="119"/>
      <c r="E11" s="119"/>
      <c r="F11" s="119"/>
      <c r="G11" s="119"/>
      <c r="H11" s="119"/>
    </row>
    <row r="12" spans="1:8" x14ac:dyDescent="0.3">
      <c r="B12" s="22"/>
      <c r="C12" s="22"/>
      <c r="D12" s="22"/>
      <c r="E12" s="22"/>
      <c r="F12" s="22"/>
      <c r="G12" s="22"/>
      <c r="H12" s="22"/>
    </row>
    <row r="13" spans="1:8" x14ac:dyDescent="0.3">
      <c r="B13" s="128"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학년도 을 위하여 교복 구매 계획에 대한 학교운영위원회 심의가 완료되어, 아래와 같이 구매 요청을 하고자 합니다.</v>
      </c>
      <c r="C13" s="128"/>
      <c r="D13" s="128"/>
      <c r="E13" s="128"/>
      <c r="F13" s="128"/>
      <c r="G13" s="128"/>
      <c r="H13" s="128"/>
    </row>
    <row r="14" spans="1:8" x14ac:dyDescent="0.3">
      <c r="B14" s="22"/>
      <c r="C14" s="22"/>
      <c r="D14" s="22"/>
      <c r="E14" s="22"/>
      <c r="F14" s="22"/>
      <c r="G14" s="22"/>
      <c r="H14" s="22"/>
    </row>
    <row r="15" spans="1:8" x14ac:dyDescent="0.3">
      <c r="B15" s="25" t="s">
        <v>299</v>
      </c>
      <c r="C15" s="22" t="str">
        <f>기초자료입력!C5&amp;"학년도 신입생 중 학교주관구매 참여자 "&amp;IF(기초자료입력!C16&lt;&gt;"",기초자료입력!C16,"○○")&amp;"명"</f>
        <v>학년도 신입생 중 학교주관구매 참여자 ○○명</v>
      </c>
      <c r="D15" s="22"/>
      <c r="E15" s="22"/>
      <c r="F15" s="22"/>
      <c r="G15" s="22"/>
      <c r="H15" s="22"/>
    </row>
    <row r="16" spans="1:8" x14ac:dyDescent="0.3">
      <c r="B16" s="25" t="s">
        <v>300</v>
      </c>
      <c r="C16" s="22" t="str">
        <f>"동복 "&amp;IF(SUM(기초자료입력!D29:D32)=0,"○○○,○○○",TEXT(SUM(기초자료입력!D29:D32),"#,##0"))&amp;"원, 하복 "&amp;IF(SUM(기초자료입력!D33:D34)=0,"○○,○○○",TEXT(SUM(기초자료입력!D33:D34),"#,##0"))&amp;"원"</f>
        <v>동복 ○○○,○○○원, 하복 ○○,○○○원</v>
      </c>
      <c r="D16" s="22"/>
      <c r="E16" s="22"/>
      <c r="F16" s="22"/>
      <c r="G16" s="22"/>
      <c r="H16" s="22"/>
    </row>
    <row r="17" spans="2:8" x14ac:dyDescent="0.3">
      <c r="B17" s="25" t="s">
        <v>301</v>
      </c>
      <c r="C17" s="22" t="s">
        <v>303</v>
      </c>
      <c r="D17" s="22"/>
      <c r="E17" s="22"/>
      <c r="F17" s="22"/>
      <c r="G17" s="22"/>
      <c r="H17" s="22"/>
    </row>
    <row r="18" spans="2:8" x14ac:dyDescent="0.3">
      <c r="B18" s="25" t="s">
        <v>302</v>
      </c>
      <c r="C18" s="22" t="str">
        <f>IF(기초자료입력!C17&lt;&gt;"",IFERROR(TEXT(기초자료입력!C17,"yyyy-mm-dd"),기초자료입력!C17),"")</f>
        <v/>
      </c>
      <c r="D18" s="22"/>
      <c r="E18" s="22"/>
      <c r="F18" s="22"/>
      <c r="G18" s="22"/>
      <c r="H18" s="22"/>
    </row>
    <row r="19" spans="2:8" x14ac:dyDescent="0.3">
      <c r="B19" s="22"/>
      <c r="C19" s="22"/>
      <c r="D19" s="22"/>
      <c r="E19" s="22"/>
      <c r="F19" s="22"/>
      <c r="G19" s="22"/>
      <c r="H19" s="22"/>
    </row>
    <row r="20" spans="2:8" x14ac:dyDescent="0.3">
      <c r="B20" s="25" t="s">
        <v>292</v>
      </c>
      <c r="C20" s="22" t="str">
        <f>IF(기초자료입력!C24&lt;&gt;"",기초자료입력!C24,"교복 사양서 1부")&amp;"  끝."</f>
        <v>교복 사양서 1부  끝.</v>
      </c>
      <c r="D20" s="22"/>
      <c r="E20" s="22"/>
      <c r="F20" s="22"/>
      <c r="G20" s="22"/>
      <c r="H20" s="22"/>
    </row>
    <row r="21" spans="2:8" x14ac:dyDescent="0.3">
      <c r="B21" s="22"/>
      <c r="C21" s="22"/>
      <c r="D21" s="22"/>
      <c r="E21" s="22"/>
      <c r="F21" s="22"/>
      <c r="G21" s="22"/>
      <c r="H21" s="22"/>
    </row>
    <row r="22" spans="2:8" x14ac:dyDescent="0.3">
      <c r="B22" s="22"/>
      <c r="C22" s="22"/>
      <c r="D22" s="22"/>
      <c r="E22" s="22"/>
      <c r="F22" s="22"/>
      <c r="G22" s="22"/>
      <c r="H22" s="22"/>
    </row>
    <row r="23" spans="2:8" x14ac:dyDescent="0.3">
      <c r="B23" s="22"/>
      <c r="C23" s="22"/>
      <c r="D23" s="22"/>
      <c r="E23" s="22"/>
      <c r="F23" s="22" t="s">
        <v>293</v>
      </c>
      <c r="G23" s="22" t="s">
        <v>304</v>
      </c>
      <c r="H23" s="22" t="s">
        <v>294</v>
      </c>
    </row>
    <row r="24" spans="2:8" x14ac:dyDescent="0.3">
      <c r="B24" s="25" t="s">
        <v>305</v>
      </c>
      <c r="C24" s="119" t="str">
        <f>IF(기초자료입력!C9&lt;&gt;"",기초자료입력!C9,"")</f>
        <v/>
      </c>
      <c r="D24" s="119"/>
      <c r="E24" s="119"/>
      <c r="F24" s="25" t="s">
        <v>306</v>
      </c>
      <c r="G24" s="119"/>
      <c r="H24" s="119"/>
    </row>
    <row r="25" spans="2:8" x14ac:dyDescent="0.3">
      <c r="B25" s="25" t="s">
        <v>307</v>
      </c>
      <c r="C25" s="22"/>
      <c r="D25" s="25" t="s">
        <v>308</v>
      </c>
      <c r="E25" s="119"/>
      <c r="F25" s="119"/>
      <c r="G25" s="119"/>
      <c r="H25" s="119"/>
    </row>
    <row r="26" spans="2:8" x14ac:dyDescent="0.3">
      <c r="B26" s="25" t="s">
        <v>309</v>
      </c>
      <c r="C26" s="22"/>
      <c r="D26" s="25" t="s">
        <v>310</v>
      </c>
      <c r="E26" s="22"/>
      <c r="F26" s="25" t="s">
        <v>311</v>
      </c>
      <c r="G26" s="119"/>
      <c r="H26" s="119"/>
    </row>
    <row r="29" spans="2:8" ht="5.0999999999999996" customHeight="1" x14ac:dyDescent="0.3"/>
    <row r="30" spans="2:8" ht="18" customHeight="1" x14ac:dyDescent="0.3"/>
    <row r="31" spans="2:8" ht="18" customHeight="1" x14ac:dyDescent="0.3"/>
    <row r="32" spans="2:8" ht="18" customHeight="1" x14ac:dyDescent="0.3"/>
    <row r="33" ht="18" customHeight="1" x14ac:dyDescent="0.3"/>
  </sheetData>
  <mergeCells count="10">
    <mergeCell ref="B3:H3"/>
    <mergeCell ref="C7:H7"/>
    <mergeCell ref="C8:H8"/>
    <mergeCell ref="E25:H25"/>
    <mergeCell ref="G26:H26"/>
    <mergeCell ref="C9:H9"/>
    <mergeCell ref="C11:H11"/>
    <mergeCell ref="B13:H13"/>
    <mergeCell ref="C24:E24"/>
    <mergeCell ref="G24:H24"/>
  </mergeCells>
  <phoneticPr fontId="6" type="noConversion"/>
  <pageMargins left="0.50000076388888881" right="0.50000076388888881" top="0.50000076388888881" bottom="0.50000076388888881" header="0.31496111111111108" footer="0.31496111111111108"/>
  <pageSetup paperSize="9" fitToWidth="0" fitToHeight="0" orientation="portrait"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D369-1572-4C81-A43F-2CAB37D5F185}">
  <sheetPr codeName="Sheet52"/>
  <dimension ref="A1:H56"/>
  <sheetViews>
    <sheetView workbookViewId="0"/>
  </sheetViews>
  <sheetFormatPr defaultRowHeight="16.5" x14ac:dyDescent="0.3"/>
  <cols>
    <col min="1" max="1" width="8.625" customWidth="1"/>
    <col min="2" max="2" width="10.625" customWidth="1"/>
    <col min="3" max="3" width="32.625" customWidth="1"/>
    <col min="4" max="5" width="10.625" customWidth="1"/>
    <col min="6" max="6" width="26.625" customWidth="1"/>
    <col min="7" max="8" width="11.625" customWidth="1"/>
  </cols>
  <sheetData>
    <row r="1" spans="1:8" ht="19.5" x14ac:dyDescent="0.3">
      <c r="A1" s="16" t="s">
        <v>118</v>
      </c>
    </row>
    <row r="2" spans="1:8" x14ac:dyDescent="0.3">
      <c r="A2" t="s">
        <v>119</v>
      </c>
    </row>
    <row r="4" spans="1:8" x14ac:dyDescent="0.3">
      <c r="A4" s="17" t="s">
        <v>120</v>
      </c>
      <c r="B4" s="17" t="s">
        <v>121</v>
      </c>
      <c r="C4" s="17" t="s">
        <v>122</v>
      </c>
      <c r="D4" s="17" t="s">
        <v>123</v>
      </c>
      <c r="E4" s="17" t="s">
        <v>124</v>
      </c>
      <c r="F4" s="17" t="s">
        <v>125</v>
      </c>
      <c r="G4" s="17" t="s">
        <v>126</v>
      </c>
      <c r="H4" s="17" t="s">
        <v>127</v>
      </c>
    </row>
    <row r="5" spans="1:8" ht="18" customHeight="1" x14ac:dyDescent="0.3">
      <c r="A5" s="19" t="b">
        <v>0</v>
      </c>
      <c r="B5" s="18" t="s">
        <v>128</v>
      </c>
      <c r="C5" s="18" t="s">
        <v>129</v>
      </c>
      <c r="D5" s="18" t="s">
        <v>130</v>
      </c>
      <c r="E5" s="18" t="s">
        <v>131</v>
      </c>
      <c r="F5" s="18" t="s">
        <v>132</v>
      </c>
      <c r="G5" s="18"/>
      <c r="H5" s="18"/>
    </row>
    <row r="6" spans="1:8" ht="18" customHeight="1" x14ac:dyDescent="0.3">
      <c r="A6" s="19" t="b">
        <v>0</v>
      </c>
      <c r="B6" s="18" t="s">
        <v>133</v>
      </c>
      <c r="C6" s="18" t="s">
        <v>134</v>
      </c>
      <c r="D6" s="18" t="s">
        <v>130</v>
      </c>
      <c r="E6" s="18" t="s">
        <v>131</v>
      </c>
      <c r="F6" s="18" t="s">
        <v>135</v>
      </c>
      <c r="G6" s="18"/>
      <c r="H6" s="18"/>
    </row>
    <row r="7" spans="1:8" ht="18" customHeight="1" x14ac:dyDescent="0.3">
      <c r="A7" s="19" t="b">
        <v>0</v>
      </c>
      <c r="B7" s="18" t="s">
        <v>136</v>
      </c>
      <c r="C7" s="18" t="s">
        <v>137</v>
      </c>
      <c r="D7" s="18" t="s">
        <v>130</v>
      </c>
      <c r="E7" s="18" t="s">
        <v>131</v>
      </c>
      <c r="F7" s="18" t="s">
        <v>138</v>
      </c>
      <c r="G7" s="18"/>
      <c r="H7" s="18"/>
    </row>
    <row r="8" spans="1:8" ht="18" customHeight="1" x14ac:dyDescent="0.3">
      <c r="A8" s="19" t="b">
        <v>0</v>
      </c>
      <c r="B8" s="18" t="s">
        <v>139</v>
      </c>
      <c r="C8" s="18" t="s">
        <v>140</v>
      </c>
      <c r="D8" s="18" t="s">
        <v>130</v>
      </c>
      <c r="E8" s="18" t="s">
        <v>131</v>
      </c>
      <c r="F8" s="18" t="s">
        <v>141</v>
      </c>
      <c r="G8" s="18"/>
      <c r="H8" s="18"/>
    </row>
    <row r="9" spans="1:8" ht="18" customHeight="1" x14ac:dyDescent="0.3">
      <c r="A9" s="19" t="b">
        <v>0</v>
      </c>
      <c r="B9" s="18" t="s">
        <v>142</v>
      </c>
      <c r="C9" s="18" t="s">
        <v>143</v>
      </c>
      <c r="D9" s="18" t="s">
        <v>130</v>
      </c>
      <c r="E9" s="18" t="s">
        <v>131</v>
      </c>
      <c r="F9" s="18" t="s">
        <v>144</v>
      </c>
      <c r="G9" s="18"/>
      <c r="H9" s="18"/>
    </row>
    <row r="10" spans="1:8" ht="18" customHeight="1" x14ac:dyDescent="0.3">
      <c r="A10" s="19" t="b">
        <v>0</v>
      </c>
      <c r="B10" s="18" t="s">
        <v>145</v>
      </c>
      <c r="C10" s="18" t="s">
        <v>146</v>
      </c>
      <c r="D10" s="18" t="s">
        <v>130</v>
      </c>
      <c r="E10" s="18" t="s">
        <v>131</v>
      </c>
      <c r="F10" s="18" t="s">
        <v>147</v>
      </c>
      <c r="G10" s="18"/>
      <c r="H10" s="18"/>
    </row>
    <row r="11" spans="1:8" ht="18" customHeight="1" x14ac:dyDescent="0.3">
      <c r="A11" s="19" t="b">
        <v>0</v>
      </c>
      <c r="B11" s="18" t="s">
        <v>148</v>
      </c>
      <c r="C11" s="18" t="s">
        <v>149</v>
      </c>
      <c r="D11" s="18" t="s">
        <v>150</v>
      </c>
      <c r="E11" s="18" t="s">
        <v>131</v>
      </c>
      <c r="F11" s="18" t="s">
        <v>151</v>
      </c>
      <c r="G11" s="18"/>
      <c r="H11" s="18"/>
    </row>
    <row r="12" spans="1:8" ht="18" customHeight="1" x14ac:dyDescent="0.3">
      <c r="A12" s="19" t="b">
        <v>0</v>
      </c>
      <c r="B12" s="18" t="s">
        <v>152</v>
      </c>
      <c r="C12" s="18" t="s">
        <v>153</v>
      </c>
      <c r="D12" s="18" t="s">
        <v>150</v>
      </c>
      <c r="E12" s="18" t="s">
        <v>131</v>
      </c>
      <c r="F12" s="18" t="s">
        <v>154</v>
      </c>
      <c r="G12" s="18"/>
      <c r="H12" s="18"/>
    </row>
    <row r="13" spans="1:8" ht="18" customHeight="1" x14ac:dyDescent="0.3">
      <c r="A13" s="19" t="b">
        <v>0</v>
      </c>
      <c r="B13" s="18" t="s">
        <v>155</v>
      </c>
      <c r="C13" s="18" t="s">
        <v>156</v>
      </c>
      <c r="D13" s="18" t="s">
        <v>150</v>
      </c>
      <c r="E13" s="18" t="s">
        <v>131</v>
      </c>
      <c r="F13" s="18" t="s">
        <v>157</v>
      </c>
      <c r="G13" s="18"/>
      <c r="H13" s="18"/>
    </row>
    <row r="14" spans="1:8" ht="18" customHeight="1" x14ac:dyDescent="0.3">
      <c r="A14" s="19" t="b">
        <v>0</v>
      </c>
      <c r="B14" s="18" t="s">
        <v>158</v>
      </c>
      <c r="C14" s="18" t="s">
        <v>159</v>
      </c>
      <c r="D14" s="18" t="s">
        <v>150</v>
      </c>
      <c r="E14" s="18" t="s">
        <v>131</v>
      </c>
      <c r="F14" s="18" t="s">
        <v>160</v>
      </c>
      <c r="G14" s="18"/>
      <c r="H14" s="18"/>
    </row>
    <row r="15" spans="1:8" ht="18" customHeight="1" x14ac:dyDescent="0.3">
      <c r="A15" s="19" t="b">
        <v>0</v>
      </c>
      <c r="B15" s="18" t="s">
        <v>161</v>
      </c>
      <c r="C15" s="18" t="s">
        <v>162</v>
      </c>
      <c r="D15" s="18" t="s">
        <v>150</v>
      </c>
      <c r="E15" s="18" t="s">
        <v>131</v>
      </c>
      <c r="F15" s="18" t="s">
        <v>163</v>
      </c>
      <c r="G15" s="18"/>
      <c r="H15" s="18"/>
    </row>
    <row r="16" spans="1:8" ht="18" customHeight="1" x14ac:dyDescent="0.3">
      <c r="A16" s="19" t="b">
        <v>0</v>
      </c>
      <c r="B16" s="18" t="s">
        <v>164</v>
      </c>
      <c r="C16" s="18" t="s">
        <v>165</v>
      </c>
      <c r="D16" s="18" t="s">
        <v>150</v>
      </c>
      <c r="E16" s="18" t="s">
        <v>131</v>
      </c>
      <c r="F16" s="18" t="s">
        <v>166</v>
      </c>
      <c r="G16" s="18"/>
      <c r="H16" s="18"/>
    </row>
    <row r="17" spans="1:8" ht="18" customHeight="1" x14ac:dyDescent="0.3">
      <c r="A17" s="19" t="b">
        <v>0</v>
      </c>
      <c r="B17" s="18" t="s">
        <v>167</v>
      </c>
      <c r="C17" s="18" t="s">
        <v>168</v>
      </c>
      <c r="D17" s="18" t="s">
        <v>150</v>
      </c>
      <c r="E17" s="18" t="s">
        <v>169</v>
      </c>
      <c r="F17" s="18" t="s">
        <v>170</v>
      </c>
      <c r="G17" s="18"/>
      <c r="H17" s="18"/>
    </row>
    <row r="18" spans="1:8" ht="18" customHeight="1" x14ac:dyDescent="0.3">
      <c r="A18" s="19" t="b">
        <v>0</v>
      </c>
      <c r="B18" s="18" t="s">
        <v>171</v>
      </c>
      <c r="C18" s="18" t="s">
        <v>172</v>
      </c>
      <c r="D18" s="18" t="s">
        <v>173</v>
      </c>
      <c r="E18" s="18" t="s">
        <v>131</v>
      </c>
      <c r="F18" s="18" t="s">
        <v>174</v>
      </c>
      <c r="G18" s="18"/>
      <c r="H18" s="18"/>
    </row>
    <row r="19" spans="1:8" ht="18" customHeight="1" x14ac:dyDescent="0.3">
      <c r="A19" s="19" t="b">
        <v>0</v>
      </c>
      <c r="B19" s="18" t="s">
        <v>175</v>
      </c>
      <c r="C19" s="18" t="s">
        <v>176</v>
      </c>
      <c r="D19" s="18" t="s">
        <v>173</v>
      </c>
      <c r="E19" s="18" t="s">
        <v>131</v>
      </c>
      <c r="F19" s="18" t="s">
        <v>177</v>
      </c>
      <c r="G19" s="18"/>
      <c r="H19" s="18"/>
    </row>
    <row r="20" spans="1:8" ht="18" customHeight="1" x14ac:dyDescent="0.3">
      <c r="A20" s="19" t="b">
        <v>0</v>
      </c>
      <c r="B20" s="18" t="s">
        <v>178</v>
      </c>
      <c r="C20" s="18" t="s">
        <v>179</v>
      </c>
      <c r="D20" s="18" t="s">
        <v>173</v>
      </c>
      <c r="E20" s="18" t="s">
        <v>131</v>
      </c>
      <c r="F20" s="18" t="s">
        <v>180</v>
      </c>
      <c r="G20" s="18"/>
      <c r="H20" s="18"/>
    </row>
    <row r="21" spans="1:8" ht="18" customHeight="1" x14ac:dyDescent="0.3">
      <c r="A21" s="19" t="b">
        <v>0</v>
      </c>
      <c r="B21" s="18" t="s">
        <v>181</v>
      </c>
      <c r="C21" s="18" t="s">
        <v>182</v>
      </c>
      <c r="D21" s="18" t="s">
        <v>150</v>
      </c>
      <c r="E21" s="18" t="s">
        <v>131</v>
      </c>
      <c r="F21" s="18" t="s">
        <v>183</v>
      </c>
      <c r="G21" s="18"/>
      <c r="H21" s="18"/>
    </row>
    <row r="22" spans="1:8" ht="18" customHeight="1" x14ac:dyDescent="0.3">
      <c r="A22" s="19" t="b">
        <v>0</v>
      </c>
      <c r="B22" s="18" t="s">
        <v>184</v>
      </c>
      <c r="C22" s="18" t="s">
        <v>185</v>
      </c>
      <c r="D22" s="18" t="s">
        <v>150</v>
      </c>
      <c r="E22" s="18" t="s">
        <v>131</v>
      </c>
      <c r="F22" s="18" t="s">
        <v>186</v>
      </c>
      <c r="G22" s="18"/>
      <c r="H22" s="18"/>
    </row>
    <row r="23" spans="1:8" ht="18" customHeight="1" x14ac:dyDescent="0.3">
      <c r="A23" s="19" t="b">
        <v>0</v>
      </c>
      <c r="B23" s="18" t="s">
        <v>187</v>
      </c>
      <c r="C23" s="18" t="s">
        <v>188</v>
      </c>
      <c r="D23" s="18" t="s">
        <v>150</v>
      </c>
      <c r="E23" s="18" t="s">
        <v>131</v>
      </c>
      <c r="F23" s="18" t="s">
        <v>189</v>
      </c>
      <c r="G23" s="18"/>
      <c r="H23" s="18"/>
    </row>
    <row r="24" spans="1:8" ht="18" customHeight="1" x14ac:dyDescent="0.3">
      <c r="A24" s="19" t="b">
        <v>0</v>
      </c>
      <c r="B24" s="18" t="s">
        <v>190</v>
      </c>
      <c r="C24" s="18" t="s">
        <v>191</v>
      </c>
      <c r="D24" s="18" t="s">
        <v>150</v>
      </c>
      <c r="E24" s="18" t="s">
        <v>131</v>
      </c>
      <c r="F24" s="18" t="s">
        <v>192</v>
      </c>
      <c r="G24" s="18"/>
      <c r="H24" s="18"/>
    </row>
    <row r="25" spans="1:8" ht="18" customHeight="1" x14ac:dyDescent="0.3">
      <c r="A25" s="19" t="b">
        <v>0</v>
      </c>
      <c r="B25" s="18" t="s">
        <v>193</v>
      </c>
      <c r="C25" s="18" t="s">
        <v>194</v>
      </c>
      <c r="D25" s="18" t="s">
        <v>150</v>
      </c>
      <c r="E25" s="18" t="s">
        <v>131</v>
      </c>
      <c r="F25" s="18" t="s">
        <v>195</v>
      </c>
      <c r="G25" s="18"/>
      <c r="H25" s="18"/>
    </row>
    <row r="26" spans="1:8" ht="18" customHeight="1" x14ac:dyDescent="0.3">
      <c r="A26" s="19" t="b">
        <v>0</v>
      </c>
      <c r="B26" s="18" t="s">
        <v>196</v>
      </c>
      <c r="C26" s="18" t="s">
        <v>197</v>
      </c>
      <c r="D26" s="18" t="s">
        <v>150</v>
      </c>
      <c r="E26" s="18" t="s">
        <v>131</v>
      </c>
      <c r="F26" s="18" t="s">
        <v>198</v>
      </c>
      <c r="G26" s="18"/>
      <c r="H26" s="18"/>
    </row>
    <row r="27" spans="1:8" ht="18" customHeight="1" x14ac:dyDescent="0.3">
      <c r="A27" s="19" t="b">
        <v>0</v>
      </c>
      <c r="B27" s="18" t="s">
        <v>199</v>
      </c>
      <c r="C27" s="18" t="s">
        <v>200</v>
      </c>
      <c r="D27" s="18" t="s">
        <v>150</v>
      </c>
      <c r="E27" s="18" t="s">
        <v>131</v>
      </c>
      <c r="F27" s="18" t="s">
        <v>201</v>
      </c>
      <c r="G27" s="18"/>
      <c r="H27" s="18"/>
    </row>
    <row r="28" spans="1:8" ht="18" customHeight="1" x14ac:dyDescent="0.3">
      <c r="A28" s="19" t="b">
        <v>0</v>
      </c>
      <c r="B28" s="18" t="s">
        <v>202</v>
      </c>
      <c r="C28" s="18" t="s">
        <v>203</v>
      </c>
      <c r="D28" s="18" t="s">
        <v>150</v>
      </c>
      <c r="E28" s="18" t="s">
        <v>131</v>
      </c>
      <c r="F28" s="18" t="s">
        <v>204</v>
      </c>
      <c r="G28" s="18"/>
      <c r="H28" s="18"/>
    </row>
    <row r="29" spans="1:8" ht="18" customHeight="1" x14ac:dyDescent="0.3">
      <c r="A29" s="19" t="b">
        <v>0</v>
      </c>
      <c r="B29" s="18" t="s">
        <v>205</v>
      </c>
      <c r="C29" s="18" t="s">
        <v>206</v>
      </c>
      <c r="D29" s="18" t="s">
        <v>150</v>
      </c>
      <c r="E29" s="18" t="s">
        <v>131</v>
      </c>
      <c r="F29" s="18" t="s">
        <v>207</v>
      </c>
      <c r="G29" s="18"/>
      <c r="H29" s="18"/>
    </row>
    <row r="30" spans="1:8" ht="18" customHeight="1" x14ac:dyDescent="0.3">
      <c r="A30" s="19" t="b">
        <v>0</v>
      </c>
      <c r="B30" s="18" t="s">
        <v>208</v>
      </c>
      <c r="C30" s="18" t="s">
        <v>209</v>
      </c>
      <c r="D30" s="18" t="s">
        <v>150</v>
      </c>
      <c r="E30" s="18" t="s">
        <v>210</v>
      </c>
      <c r="F30" s="18"/>
      <c r="G30" s="18"/>
      <c r="H30" s="18"/>
    </row>
    <row r="31" spans="1:8" ht="18" customHeight="1" x14ac:dyDescent="0.3">
      <c r="A31" s="19" t="b">
        <v>0</v>
      </c>
      <c r="B31" s="18" t="s">
        <v>211</v>
      </c>
      <c r="C31" s="18" t="s">
        <v>212</v>
      </c>
      <c r="D31" s="18" t="s">
        <v>150</v>
      </c>
      <c r="E31" s="18" t="s">
        <v>131</v>
      </c>
      <c r="F31" s="18" t="s">
        <v>213</v>
      </c>
      <c r="G31" s="18"/>
      <c r="H31" s="18"/>
    </row>
    <row r="32" spans="1:8" ht="18" customHeight="1" x14ac:dyDescent="0.3">
      <c r="A32" s="19" t="b">
        <v>0</v>
      </c>
      <c r="B32" s="18" t="s">
        <v>214</v>
      </c>
      <c r="C32" s="18" t="s">
        <v>215</v>
      </c>
      <c r="D32" s="18" t="s">
        <v>150</v>
      </c>
      <c r="E32" s="18" t="s">
        <v>210</v>
      </c>
      <c r="F32" s="18"/>
      <c r="G32" s="18"/>
      <c r="H32" s="18"/>
    </row>
    <row r="33" spans="1:8" ht="18" customHeight="1" x14ac:dyDescent="0.3">
      <c r="A33" s="19" t="b">
        <v>0</v>
      </c>
      <c r="B33" s="18" t="s">
        <v>216</v>
      </c>
      <c r="C33" s="18" t="s">
        <v>217</v>
      </c>
      <c r="D33" s="18" t="s">
        <v>150</v>
      </c>
      <c r="E33" s="18" t="s">
        <v>131</v>
      </c>
      <c r="F33" s="18" t="s">
        <v>218</v>
      </c>
      <c r="G33" s="18"/>
      <c r="H33" s="18"/>
    </row>
    <row r="34" spans="1:8" ht="18" customHeight="1" x14ac:dyDescent="0.3">
      <c r="A34" s="19" t="b">
        <v>0</v>
      </c>
      <c r="B34" s="18" t="s">
        <v>219</v>
      </c>
      <c r="C34" s="18" t="s">
        <v>220</v>
      </c>
      <c r="D34" s="18" t="s">
        <v>150</v>
      </c>
      <c r="E34" s="18" t="s">
        <v>131</v>
      </c>
      <c r="F34" s="18" t="s">
        <v>221</v>
      </c>
      <c r="G34" s="18"/>
      <c r="H34" s="18"/>
    </row>
    <row r="35" spans="1:8" ht="18" customHeight="1" x14ac:dyDescent="0.3">
      <c r="A35" s="19" t="b">
        <v>0</v>
      </c>
      <c r="B35" s="18" t="s">
        <v>222</v>
      </c>
      <c r="C35" s="18" t="s">
        <v>223</v>
      </c>
      <c r="D35" s="18" t="s">
        <v>150</v>
      </c>
      <c r="E35" s="18" t="s">
        <v>131</v>
      </c>
      <c r="F35" s="18" t="s">
        <v>224</v>
      </c>
      <c r="G35" s="18"/>
      <c r="H35" s="18"/>
    </row>
    <row r="36" spans="1:8" ht="18" customHeight="1" x14ac:dyDescent="0.3">
      <c r="A36" s="19" t="b">
        <v>0</v>
      </c>
      <c r="B36" s="18" t="s">
        <v>225</v>
      </c>
      <c r="C36" s="18" t="s">
        <v>226</v>
      </c>
      <c r="D36" s="18" t="s">
        <v>173</v>
      </c>
      <c r="E36" s="18" t="s">
        <v>131</v>
      </c>
      <c r="F36" s="18" t="s">
        <v>227</v>
      </c>
      <c r="G36" s="18"/>
      <c r="H36" s="18"/>
    </row>
    <row r="37" spans="1:8" ht="18" customHeight="1" x14ac:dyDescent="0.3">
      <c r="A37" s="19" t="b">
        <v>0</v>
      </c>
      <c r="B37" s="18" t="s">
        <v>228</v>
      </c>
      <c r="C37" s="18" t="s">
        <v>229</v>
      </c>
      <c r="D37" s="18" t="s">
        <v>173</v>
      </c>
      <c r="E37" s="18" t="s">
        <v>131</v>
      </c>
      <c r="F37" s="18" t="s">
        <v>230</v>
      </c>
      <c r="G37" s="18"/>
      <c r="H37" s="18"/>
    </row>
    <row r="38" spans="1:8" ht="18" customHeight="1" x14ac:dyDescent="0.3">
      <c r="A38" s="19" t="b">
        <v>0</v>
      </c>
      <c r="B38" s="18" t="s">
        <v>231</v>
      </c>
      <c r="C38" s="18" t="s">
        <v>232</v>
      </c>
      <c r="D38" s="18" t="s">
        <v>173</v>
      </c>
      <c r="E38" s="18" t="s">
        <v>131</v>
      </c>
      <c r="F38" s="18" t="s">
        <v>233</v>
      </c>
      <c r="G38" s="18"/>
      <c r="H38" s="18"/>
    </row>
    <row r="39" spans="1:8" ht="18" customHeight="1" x14ac:dyDescent="0.3">
      <c r="A39" s="19" t="b">
        <v>0</v>
      </c>
      <c r="B39" s="18" t="s">
        <v>234</v>
      </c>
      <c r="C39" s="18" t="s">
        <v>235</v>
      </c>
      <c r="D39" s="18" t="s">
        <v>173</v>
      </c>
      <c r="E39" s="18" t="s">
        <v>131</v>
      </c>
      <c r="F39" s="18" t="s">
        <v>236</v>
      </c>
      <c r="G39" s="18"/>
      <c r="H39" s="18"/>
    </row>
    <row r="40" spans="1:8" ht="18" customHeight="1" x14ac:dyDescent="0.3">
      <c r="A40" s="19" t="b">
        <v>0</v>
      </c>
      <c r="B40" s="18" t="s">
        <v>237</v>
      </c>
      <c r="C40" s="18" t="s">
        <v>238</v>
      </c>
      <c r="D40" s="18" t="s">
        <v>173</v>
      </c>
      <c r="E40" s="18" t="s">
        <v>131</v>
      </c>
      <c r="F40" s="18" t="s">
        <v>239</v>
      </c>
      <c r="G40" s="18"/>
      <c r="H40" s="18"/>
    </row>
    <row r="41" spans="1:8" ht="18" customHeight="1" x14ac:dyDescent="0.3">
      <c r="A41" s="19" t="b">
        <v>0</v>
      </c>
      <c r="B41" s="18" t="s">
        <v>240</v>
      </c>
      <c r="C41" s="18" t="s">
        <v>241</v>
      </c>
      <c r="D41" s="18" t="s">
        <v>173</v>
      </c>
      <c r="E41" s="18" t="s">
        <v>131</v>
      </c>
      <c r="F41" s="18" t="s">
        <v>242</v>
      </c>
      <c r="G41" s="18"/>
      <c r="H41" s="18"/>
    </row>
    <row r="42" spans="1:8" ht="18" customHeight="1" x14ac:dyDescent="0.3">
      <c r="A42" s="19" t="b">
        <v>0</v>
      </c>
      <c r="B42" s="18" t="s">
        <v>243</v>
      </c>
      <c r="C42" s="18" t="s">
        <v>244</v>
      </c>
      <c r="D42" s="18" t="s">
        <v>173</v>
      </c>
      <c r="E42" s="18" t="s">
        <v>131</v>
      </c>
      <c r="F42" s="18" t="s">
        <v>245</v>
      </c>
      <c r="G42" s="18"/>
      <c r="H42" s="18"/>
    </row>
    <row r="43" spans="1:8" ht="18" customHeight="1" x14ac:dyDescent="0.3">
      <c r="A43" s="19" t="b">
        <v>0</v>
      </c>
      <c r="B43" s="18" t="s">
        <v>246</v>
      </c>
      <c r="C43" s="18" t="s">
        <v>247</v>
      </c>
      <c r="D43" s="18" t="s">
        <v>173</v>
      </c>
      <c r="E43" s="18" t="s">
        <v>131</v>
      </c>
      <c r="F43" s="18" t="s">
        <v>248</v>
      </c>
      <c r="G43" s="18"/>
      <c r="H43" s="18"/>
    </row>
    <row r="44" spans="1:8" ht="18" customHeight="1" x14ac:dyDescent="0.3">
      <c r="A44" s="19" t="b">
        <v>0</v>
      </c>
      <c r="B44" s="18" t="s">
        <v>249</v>
      </c>
      <c r="C44" s="18" t="s">
        <v>137</v>
      </c>
      <c r="D44" s="18" t="s">
        <v>173</v>
      </c>
      <c r="E44" s="18" t="s">
        <v>131</v>
      </c>
      <c r="F44" s="18" t="s">
        <v>250</v>
      </c>
      <c r="G44" s="18"/>
      <c r="H44" s="18"/>
    </row>
    <row r="45" spans="1:8" ht="18" customHeight="1" x14ac:dyDescent="0.3">
      <c r="A45" s="19" t="b">
        <v>0</v>
      </c>
      <c r="B45" s="18" t="s">
        <v>251</v>
      </c>
      <c r="C45" s="18" t="s">
        <v>252</v>
      </c>
      <c r="D45" s="18" t="s">
        <v>253</v>
      </c>
      <c r="E45" s="18" t="s">
        <v>131</v>
      </c>
      <c r="F45" s="18" t="s">
        <v>254</v>
      </c>
      <c r="G45" s="18"/>
      <c r="H45" s="18"/>
    </row>
    <row r="46" spans="1:8" ht="18" customHeight="1" x14ac:dyDescent="0.3">
      <c r="A46" s="19" t="b">
        <v>0</v>
      </c>
      <c r="B46" s="18" t="s">
        <v>255</v>
      </c>
      <c r="C46" s="18" t="s">
        <v>256</v>
      </c>
      <c r="D46" s="18" t="s">
        <v>253</v>
      </c>
      <c r="E46" s="18" t="s">
        <v>131</v>
      </c>
      <c r="F46" s="18" t="s">
        <v>257</v>
      </c>
      <c r="G46" s="18"/>
      <c r="H46" s="18"/>
    </row>
    <row r="47" spans="1:8" ht="18" customHeight="1" x14ac:dyDescent="0.3">
      <c r="A47" s="19" t="b">
        <v>0</v>
      </c>
      <c r="B47" s="18" t="s">
        <v>258</v>
      </c>
      <c r="C47" s="18" t="s">
        <v>259</v>
      </c>
      <c r="D47" s="18" t="s">
        <v>253</v>
      </c>
      <c r="E47" s="18" t="s">
        <v>131</v>
      </c>
      <c r="F47" s="18" t="s">
        <v>260</v>
      </c>
      <c r="G47" s="18"/>
      <c r="H47" s="18"/>
    </row>
    <row r="48" spans="1:8" ht="18" customHeight="1" x14ac:dyDescent="0.3">
      <c r="A48" s="19" t="b">
        <v>0</v>
      </c>
      <c r="B48" s="18" t="s">
        <v>261</v>
      </c>
      <c r="C48" s="18" t="s">
        <v>262</v>
      </c>
      <c r="D48" s="18" t="s">
        <v>263</v>
      </c>
      <c r="E48" s="18" t="s">
        <v>131</v>
      </c>
      <c r="F48" s="18" t="s">
        <v>264</v>
      </c>
      <c r="G48" s="18"/>
      <c r="H48" s="18"/>
    </row>
    <row r="49" spans="1:8" ht="18" customHeight="1" x14ac:dyDescent="0.3">
      <c r="A49" s="19" t="b">
        <v>0</v>
      </c>
      <c r="B49" s="18" t="s">
        <v>265</v>
      </c>
      <c r="C49" s="18" t="s">
        <v>266</v>
      </c>
      <c r="D49" s="18" t="s">
        <v>263</v>
      </c>
      <c r="E49" s="18" t="s">
        <v>131</v>
      </c>
      <c r="F49" s="18" t="s">
        <v>267</v>
      </c>
      <c r="G49" s="18"/>
      <c r="H49" s="18"/>
    </row>
    <row r="50" spans="1:8" ht="18" customHeight="1" x14ac:dyDescent="0.3">
      <c r="A50" s="19" t="b">
        <v>0</v>
      </c>
      <c r="B50" s="18" t="s">
        <v>268</v>
      </c>
      <c r="C50" s="18" t="s">
        <v>269</v>
      </c>
      <c r="D50" s="18" t="s">
        <v>263</v>
      </c>
      <c r="E50" s="18" t="s">
        <v>131</v>
      </c>
      <c r="F50" s="18" t="s">
        <v>270</v>
      </c>
      <c r="G50" s="18"/>
      <c r="H50" s="18"/>
    </row>
    <row r="51" spans="1:8" ht="18" customHeight="1" x14ac:dyDescent="0.3">
      <c r="A51" s="19" t="b">
        <v>0</v>
      </c>
      <c r="B51" s="18" t="s">
        <v>271</v>
      </c>
      <c r="C51" s="18" t="s">
        <v>272</v>
      </c>
      <c r="D51" s="18" t="s">
        <v>263</v>
      </c>
      <c r="E51" s="18" t="s">
        <v>131</v>
      </c>
      <c r="F51" s="18" t="s">
        <v>273</v>
      </c>
      <c r="G51" s="18"/>
      <c r="H51" s="18"/>
    </row>
    <row r="52" spans="1:8" ht="18" customHeight="1" x14ac:dyDescent="0.3">
      <c r="A52" s="19" t="b">
        <v>0</v>
      </c>
      <c r="B52" s="18" t="s">
        <v>274</v>
      </c>
      <c r="C52" s="18" t="s">
        <v>275</v>
      </c>
      <c r="D52" s="18" t="s">
        <v>263</v>
      </c>
      <c r="E52" s="18" t="s">
        <v>131</v>
      </c>
      <c r="F52" s="18" t="s">
        <v>276</v>
      </c>
      <c r="G52" s="18"/>
      <c r="H52" s="18"/>
    </row>
    <row r="53" spans="1:8" ht="18" customHeight="1" x14ac:dyDescent="0.3">
      <c r="A53" s="19" t="b">
        <v>0</v>
      </c>
      <c r="B53" s="18" t="s">
        <v>277</v>
      </c>
      <c r="C53" s="18" t="s">
        <v>278</v>
      </c>
      <c r="D53" s="18" t="s">
        <v>279</v>
      </c>
      <c r="E53" s="18" t="s">
        <v>131</v>
      </c>
      <c r="F53" s="18" t="s">
        <v>280</v>
      </c>
      <c r="G53" s="18"/>
      <c r="H53" s="18"/>
    </row>
    <row r="54" spans="1:8" ht="18" customHeight="1" x14ac:dyDescent="0.3">
      <c r="A54" s="19" t="b">
        <v>0</v>
      </c>
      <c r="B54" s="18" t="s">
        <v>281</v>
      </c>
      <c r="C54" s="18" t="s">
        <v>282</v>
      </c>
      <c r="D54" s="18" t="s">
        <v>279</v>
      </c>
      <c r="E54" s="18" t="s">
        <v>131</v>
      </c>
      <c r="F54" s="18" t="s">
        <v>283</v>
      </c>
      <c r="G54" s="18"/>
      <c r="H54" s="18"/>
    </row>
    <row r="55" spans="1:8" ht="18" customHeight="1" x14ac:dyDescent="0.3">
      <c r="A55" s="19" t="b">
        <v>0</v>
      </c>
      <c r="B55" s="18" t="s">
        <v>284</v>
      </c>
      <c r="C55" s="18" t="s">
        <v>285</v>
      </c>
      <c r="D55" s="18" t="s">
        <v>279</v>
      </c>
      <c r="E55" s="18" t="s">
        <v>210</v>
      </c>
      <c r="F55" s="18"/>
      <c r="G55" s="18"/>
      <c r="H55" s="18"/>
    </row>
    <row r="56" spans="1:8" ht="18" customHeight="1" x14ac:dyDescent="0.3">
      <c r="A56" s="19" t="b">
        <v>0</v>
      </c>
      <c r="B56" s="18" t="s">
        <v>286</v>
      </c>
      <c r="C56" s="18" t="s">
        <v>287</v>
      </c>
      <c r="D56" s="18" t="s">
        <v>279</v>
      </c>
      <c r="E56" s="18" t="s">
        <v>210</v>
      </c>
      <c r="F56" s="18"/>
      <c r="G56" s="18"/>
      <c r="H56" s="18"/>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273" r:id="rId3" name="btn인쇄미리보기">
              <controlPr defaultSize="0" print="0" autoFill="0" autoPict="0" macro="선택서식_인쇄미리보기">
                <anchor moveWithCells="1" sizeWithCells="1">
                  <from>
                    <xdr:col>2</xdr:col>
                    <xdr:colOff>2343150</xdr:colOff>
                    <xdr:row>0</xdr:row>
                    <xdr:rowOff>123825</xdr:rowOff>
                  </from>
                  <to>
                    <xdr:col>5</xdr:col>
                    <xdr:colOff>266700</xdr:colOff>
                    <xdr:row>1</xdr:row>
                    <xdr:rowOff>180975</xdr:rowOff>
                  </to>
                </anchor>
              </controlPr>
            </control>
          </mc:Choice>
        </mc:AlternateContent>
        <mc:AlternateContent xmlns:mc="http://schemas.openxmlformats.org/markup-compatibility/2006">
          <mc:Choice Requires="x14">
            <control shapeId="54274" r:id="rId4" name="btnPDF저장">
              <controlPr defaultSize="0" print="0" autoFill="0" autoPict="0" macro="선택서식_PDF저장">
                <anchor moveWithCells="1" sizeWithCells="1">
                  <from>
                    <xdr:col>5</xdr:col>
                    <xdr:colOff>390525</xdr:colOff>
                    <xdr:row>0</xdr:row>
                    <xdr:rowOff>123825</xdr:rowOff>
                  </from>
                  <to>
                    <xdr:col>6</xdr:col>
                    <xdr:colOff>400050</xdr:colOff>
                    <xdr:row>1</xdr:row>
                    <xdr:rowOff>180975</xdr:rowOff>
                  </to>
                </anchor>
              </controlPr>
            </control>
          </mc:Choice>
        </mc:AlternateContent>
        <mc:AlternateContent xmlns:mc="http://schemas.openxmlformats.org/markup-compatibility/2006">
          <mc:Choice Requires="x14">
            <control shapeId="54275" r:id="rId5" name="btnPrev_F-001">
              <controlPr defaultSize="0" print="0" autoFill="0" autoPict="0" macro="행별_미리보기">
                <anchor moveWithCells="1" sizeWithCells="1">
                  <from>
                    <xdr:col>6</xdr:col>
                    <xdr:colOff>9525</xdr:colOff>
                    <xdr:row>4</xdr:row>
                    <xdr:rowOff>19050</xdr:rowOff>
                  </from>
                  <to>
                    <xdr:col>6</xdr:col>
                    <xdr:colOff>800100</xdr:colOff>
                    <xdr:row>4</xdr:row>
                    <xdr:rowOff>209550</xdr:rowOff>
                  </to>
                </anchor>
              </controlPr>
            </control>
          </mc:Choice>
        </mc:AlternateContent>
        <mc:AlternateContent xmlns:mc="http://schemas.openxmlformats.org/markup-compatibility/2006">
          <mc:Choice Requires="x14">
            <control shapeId="54276" r:id="rId6" name="btnPdf_F-001">
              <controlPr defaultSize="0" print="0" autoFill="0" autoPict="0" macro="행별_PDF저장">
                <anchor moveWithCells="1" sizeWithCells="1">
                  <from>
                    <xdr:col>7</xdr:col>
                    <xdr:colOff>9525</xdr:colOff>
                    <xdr:row>4</xdr:row>
                    <xdr:rowOff>19050</xdr:rowOff>
                  </from>
                  <to>
                    <xdr:col>7</xdr:col>
                    <xdr:colOff>800100</xdr:colOff>
                    <xdr:row>4</xdr:row>
                    <xdr:rowOff>209550</xdr:rowOff>
                  </to>
                </anchor>
              </controlPr>
            </control>
          </mc:Choice>
        </mc:AlternateContent>
        <mc:AlternateContent xmlns:mc="http://schemas.openxmlformats.org/markup-compatibility/2006">
          <mc:Choice Requires="x14">
            <control shapeId="54277" r:id="rId7" name="btnPrev_F-002">
              <controlPr defaultSize="0" print="0" autoFill="0" autoPict="0" macro="행별_미리보기">
                <anchor moveWithCells="1" sizeWithCells="1">
                  <from>
                    <xdr:col>6</xdr:col>
                    <xdr:colOff>9525</xdr:colOff>
                    <xdr:row>5</xdr:row>
                    <xdr:rowOff>19050</xdr:rowOff>
                  </from>
                  <to>
                    <xdr:col>6</xdr:col>
                    <xdr:colOff>800100</xdr:colOff>
                    <xdr:row>5</xdr:row>
                    <xdr:rowOff>209550</xdr:rowOff>
                  </to>
                </anchor>
              </controlPr>
            </control>
          </mc:Choice>
        </mc:AlternateContent>
        <mc:AlternateContent xmlns:mc="http://schemas.openxmlformats.org/markup-compatibility/2006">
          <mc:Choice Requires="x14">
            <control shapeId="54278" r:id="rId8" name="btnPdf_F-002">
              <controlPr defaultSize="0" print="0" autoFill="0" autoPict="0" macro="행별_PDF저장">
                <anchor moveWithCells="1" sizeWithCells="1">
                  <from>
                    <xdr:col>7</xdr:col>
                    <xdr:colOff>9525</xdr:colOff>
                    <xdr:row>5</xdr:row>
                    <xdr:rowOff>19050</xdr:rowOff>
                  </from>
                  <to>
                    <xdr:col>7</xdr:col>
                    <xdr:colOff>800100</xdr:colOff>
                    <xdr:row>5</xdr:row>
                    <xdr:rowOff>209550</xdr:rowOff>
                  </to>
                </anchor>
              </controlPr>
            </control>
          </mc:Choice>
        </mc:AlternateContent>
        <mc:AlternateContent xmlns:mc="http://schemas.openxmlformats.org/markup-compatibility/2006">
          <mc:Choice Requires="x14">
            <control shapeId="54279" r:id="rId9" name="btnPrev_F-003">
              <controlPr defaultSize="0" print="0" autoFill="0" autoPict="0" macro="행별_미리보기">
                <anchor moveWithCells="1" sizeWithCells="1">
                  <from>
                    <xdr:col>6</xdr:col>
                    <xdr:colOff>9525</xdr:colOff>
                    <xdr:row>6</xdr:row>
                    <xdr:rowOff>19050</xdr:rowOff>
                  </from>
                  <to>
                    <xdr:col>6</xdr:col>
                    <xdr:colOff>800100</xdr:colOff>
                    <xdr:row>6</xdr:row>
                    <xdr:rowOff>209550</xdr:rowOff>
                  </to>
                </anchor>
              </controlPr>
            </control>
          </mc:Choice>
        </mc:AlternateContent>
        <mc:AlternateContent xmlns:mc="http://schemas.openxmlformats.org/markup-compatibility/2006">
          <mc:Choice Requires="x14">
            <control shapeId="54280" r:id="rId10" name="btnPdf_F-003">
              <controlPr defaultSize="0" print="0" autoFill="0" autoPict="0" macro="행별_PDF저장">
                <anchor moveWithCells="1" sizeWithCells="1">
                  <from>
                    <xdr:col>7</xdr:col>
                    <xdr:colOff>9525</xdr:colOff>
                    <xdr:row>6</xdr:row>
                    <xdr:rowOff>19050</xdr:rowOff>
                  </from>
                  <to>
                    <xdr:col>7</xdr:col>
                    <xdr:colOff>800100</xdr:colOff>
                    <xdr:row>6</xdr:row>
                    <xdr:rowOff>209550</xdr:rowOff>
                  </to>
                </anchor>
              </controlPr>
            </control>
          </mc:Choice>
        </mc:AlternateContent>
        <mc:AlternateContent xmlns:mc="http://schemas.openxmlformats.org/markup-compatibility/2006">
          <mc:Choice Requires="x14">
            <control shapeId="54281" r:id="rId11" name="btnPrev_F-004">
              <controlPr defaultSize="0" print="0" autoFill="0" autoPict="0" macro="행별_미리보기">
                <anchor moveWithCells="1" sizeWithCells="1">
                  <from>
                    <xdr:col>6</xdr:col>
                    <xdr:colOff>9525</xdr:colOff>
                    <xdr:row>7</xdr:row>
                    <xdr:rowOff>19050</xdr:rowOff>
                  </from>
                  <to>
                    <xdr:col>6</xdr:col>
                    <xdr:colOff>800100</xdr:colOff>
                    <xdr:row>7</xdr:row>
                    <xdr:rowOff>209550</xdr:rowOff>
                  </to>
                </anchor>
              </controlPr>
            </control>
          </mc:Choice>
        </mc:AlternateContent>
        <mc:AlternateContent xmlns:mc="http://schemas.openxmlformats.org/markup-compatibility/2006">
          <mc:Choice Requires="x14">
            <control shapeId="54282" r:id="rId12" name="btnPdf_F-004">
              <controlPr defaultSize="0" print="0" autoFill="0" autoPict="0" macro="행별_PDF저장">
                <anchor moveWithCells="1" sizeWithCells="1">
                  <from>
                    <xdr:col>7</xdr:col>
                    <xdr:colOff>9525</xdr:colOff>
                    <xdr:row>7</xdr:row>
                    <xdr:rowOff>19050</xdr:rowOff>
                  </from>
                  <to>
                    <xdr:col>7</xdr:col>
                    <xdr:colOff>800100</xdr:colOff>
                    <xdr:row>7</xdr:row>
                    <xdr:rowOff>209550</xdr:rowOff>
                  </to>
                </anchor>
              </controlPr>
            </control>
          </mc:Choice>
        </mc:AlternateContent>
        <mc:AlternateContent xmlns:mc="http://schemas.openxmlformats.org/markup-compatibility/2006">
          <mc:Choice Requires="x14">
            <control shapeId="54283" r:id="rId13" name="btnPrev_F-005">
              <controlPr defaultSize="0" print="0" autoFill="0" autoPict="0" macro="행별_미리보기">
                <anchor moveWithCells="1" sizeWithCells="1">
                  <from>
                    <xdr:col>6</xdr:col>
                    <xdr:colOff>9525</xdr:colOff>
                    <xdr:row>8</xdr:row>
                    <xdr:rowOff>19050</xdr:rowOff>
                  </from>
                  <to>
                    <xdr:col>6</xdr:col>
                    <xdr:colOff>800100</xdr:colOff>
                    <xdr:row>8</xdr:row>
                    <xdr:rowOff>209550</xdr:rowOff>
                  </to>
                </anchor>
              </controlPr>
            </control>
          </mc:Choice>
        </mc:AlternateContent>
        <mc:AlternateContent xmlns:mc="http://schemas.openxmlformats.org/markup-compatibility/2006">
          <mc:Choice Requires="x14">
            <control shapeId="54284" r:id="rId14" name="btnPdf_F-005">
              <controlPr defaultSize="0" print="0" autoFill="0" autoPict="0" macro="행별_PDF저장">
                <anchor moveWithCells="1" sizeWithCells="1">
                  <from>
                    <xdr:col>7</xdr:col>
                    <xdr:colOff>9525</xdr:colOff>
                    <xdr:row>8</xdr:row>
                    <xdr:rowOff>19050</xdr:rowOff>
                  </from>
                  <to>
                    <xdr:col>7</xdr:col>
                    <xdr:colOff>800100</xdr:colOff>
                    <xdr:row>8</xdr:row>
                    <xdr:rowOff>209550</xdr:rowOff>
                  </to>
                </anchor>
              </controlPr>
            </control>
          </mc:Choice>
        </mc:AlternateContent>
        <mc:AlternateContent xmlns:mc="http://schemas.openxmlformats.org/markup-compatibility/2006">
          <mc:Choice Requires="x14">
            <control shapeId="54285" r:id="rId15" name="btnPrev_F-006">
              <controlPr defaultSize="0" print="0" autoFill="0" autoPict="0" macro="행별_미리보기">
                <anchor moveWithCells="1" sizeWithCells="1">
                  <from>
                    <xdr:col>6</xdr:col>
                    <xdr:colOff>9525</xdr:colOff>
                    <xdr:row>9</xdr:row>
                    <xdr:rowOff>19050</xdr:rowOff>
                  </from>
                  <to>
                    <xdr:col>6</xdr:col>
                    <xdr:colOff>800100</xdr:colOff>
                    <xdr:row>9</xdr:row>
                    <xdr:rowOff>209550</xdr:rowOff>
                  </to>
                </anchor>
              </controlPr>
            </control>
          </mc:Choice>
        </mc:AlternateContent>
        <mc:AlternateContent xmlns:mc="http://schemas.openxmlformats.org/markup-compatibility/2006">
          <mc:Choice Requires="x14">
            <control shapeId="54286" r:id="rId16" name="btnPdf_F-006">
              <controlPr defaultSize="0" print="0" autoFill="0" autoPict="0" macro="행별_PDF저장">
                <anchor moveWithCells="1" sizeWithCells="1">
                  <from>
                    <xdr:col>7</xdr:col>
                    <xdr:colOff>9525</xdr:colOff>
                    <xdr:row>9</xdr:row>
                    <xdr:rowOff>19050</xdr:rowOff>
                  </from>
                  <to>
                    <xdr:col>7</xdr:col>
                    <xdr:colOff>800100</xdr:colOff>
                    <xdr:row>9</xdr:row>
                    <xdr:rowOff>209550</xdr:rowOff>
                  </to>
                </anchor>
              </controlPr>
            </control>
          </mc:Choice>
        </mc:AlternateContent>
        <mc:AlternateContent xmlns:mc="http://schemas.openxmlformats.org/markup-compatibility/2006">
          <mc:Choice Requires="x14">
            <control shapeId="54287" r:id="rId17" name="btnPrev_F-007">
              <controlPr defaultSize="0" print="0" autoFill="0" autoPict="0" macro="행별_미리보기">
                <anchor moveWithCells="1" sizeWithCells="1">
                  <from>
                    <xdr:col>6</xdr:col>
                    <xdr:colOff>9525</xdr:colOff>
                    <xdr:row>10</xdr:row>
                    <xdr:rowOff>19050</xdr:rowOff>
                  </from>
                  <to>
                    <xdr:col>6</xdr:col>
                    <xdr:colOff>800100</xdr:colOff>
                    <xdr:row>10</xdr:row>
                    <xdr:rowOff>209550</xdr:rowOff>
                  </to>
                </anchor>
              </controlPr>
            </control>
          </mc:Choice>
        </mc:AlternateContent>
        <mc:AlternateContent xmlns:mc="http://schemas.openxmlformats.org/markup-compatibility/2006">
          <mc:Choice Requires="x14">
            <control shapeId="54288" r:id="rId18" name="btnPdf_F-007">
              <controlPr defaultSize="0" print="0" autoFill="0" autoPict="0" macro="행별_PDF저장">
                <anchor moveWithCells="1" sizeWithCells="1">
                  <from>
                    <xdr:col>7</xdr:col>
                    <xdr:colOff>9525</xdr:colOff>
                    <xdr:row>10</xdr:row>
                    <xdr:rowOff>19050</xdr:rowOff>
                  </from>
                  <to>
                    <xdr:col>7</xdr:col>
                    <xdr:colOff>800100</xdr:colOff>
                    <xdr:row>10</xdr:row>
                    <xdr:rowOff>209550</xdr:rowOff>
                  </to>
                </anchor>
              </controlPr>
            </control>
          </mc:Choice>
        </mc:AlternateContent>
        <mc:AlternateContent xmlns:mc="http://schemas.openxmlformats.org/markup-compatibility/2006">
          <mc:Choice Requires="x14">
            <control shapeId="54289" r:id="rId19" name="btnPrev_F-008">
              <controlPr defaultSize="0" print="0" autoFill="0" autoPict="0" macro="행별_미리보기">
                <anchor moveWithCells="1" sizeWithCells="1">
                  <from>
                    <xdr:col>6</xdr:col>
                    <xdr:colOff>9525</xdr:colOff>
                    <xdr:row>11</xdr:row>
                    <xdr:rowOff>19050</xdr:rowOff>
                  </from>
                  <to>
                    <xdr:col>6</xdr:col>
                    <xdr:colOff>800100</xdr:colOff>
                    <xdr:row>11</xdr:row>
                    <xdr:rowOff>209550</xdr:rowOff>
                  </to>
                </anchor>
              </controlPr>
            </control>
          </mc:Choice>
        </mc:AlternateContent>
        <mc:AlternateContent xmlns:mc="http://schemas.openxmlformats.org/markup-compatibility/2006">
          <mc:Choice Requires="x14">
            <control shapeId="54290" r:id="rId20" name="btnPdf_F-008">
              <controlPr defaultSize="0" print="0" autoFill="0" autoPict="0" macro="행별_PDF저장">
                <anchor moveWithCells="1" sizeWithCells="1">
                  <from>
                    <xdr:col>7</xdr:col>
                    <xdr:colOff>9525</xdr:colOff>
                    <xdr:row>11</xdr:row>
                    <xdr:rowOff>19050</xdr:rowOff>
                  </from>
                  <to>
                    <xdr:col>7</xdr:col>
                    <xdr:colOff>800100</xdr:colOff>
                    <xdr:row>11</xdr:row>
                    <xdr:rowOff>209550</xdr:rowOff>
                  </to>
                </anchor>
              </controlPr>
            </control>
          </mc:Choice>
        </mc:AlternateContent>
        <mc:AlternateContent xmlns:mc="http://schemas.openxmlformats.org/markup-compatibility/2006">
          <mc:Choice Requires="x14">
            <control shapeId="54291" r:id="rId21" name="btnPrev_F-009">
              <controlPr defaultSize="0" print="0" autoFill="0" autoPict="0" macro="행별_미리보기">
                <anchor moveWithCells="1" sizeWithCells="1">
                  <from>
                    <xdr:col>6</xdr:col>
                    <xdr:colOff>9525</xdr:colOff>
                    <xdr:row>12</xdr:row>
                    <xdr:rowOff>19050</xdr:rowOff>
                  </from>
                  <to>
                    <xdr:col>6</xdr:col>
                    <xdr:colOff>800100</xdr:colOff>
                    <xdr:row>12</xdr:row>
                    <xdr:rowOff>209550</xdr:rowOff>
                  </to>
                </anchor>
              </controlPr>
            </control>
          </mc:Choice>
        </mc:AlternateContent>
        <mc:AlternateContent xmlns:mc="http://schemas.openxmlformats.org/markup-compatibility/2006">
          <mc:Choice Requires="x14">
            <control shapeId="54292" r:id="rId22" name="btnPdf_F-009">
              <controlPr defaultSize="0" print="0" autoFill="0" autoPict="0" macro="행별_PDF저장">
                <anchor moveWithCells="1" sizeWithCells="1">
                  <from>
                    <xdr:col>7</xdr:col>
                    <xdr:colOff>9525</xdr:colOff>
                    <xdr:row>12</xdr:row>
                    <xdr:rowOff>19050</xdr:rowOff>
                  </from>
                  <to>
                    <xdr:col>7</xdr:col>
                    <xdr:colOff>800100</xdr:colOff>
                    <xdr:row>12</xdr:row>
                    <xdr:rowOff>209550</xdr:rowOff>
                  </to>
                </anchor>
              </controlPr>
            </control>
          </mc:Choice>
        </mc:AlternateContent>
        <mc:AlternateContent xmlns:mc="http://schemas.openxmlformats.org/markup-compatibility/2006">
          <mc:Choice Requires="x14">
            <control shapeId="54293" r:id="rId23" name="btnPrev_F-010">
              <controlPr defaultSize="0" print="0" autoFill="0" autoPict="0" macro="행별_미리보기">
                <anchor moveWithCells="1" sizeWithCells="1">
                  <from>
                    <xdr:col>6</xdr:col>
                    <xdr:colOff>9525</xdr:colOff>
                    <xdr:row>13</xdr:row>
                    <xdr:rowOff>19050</xdr:rowOff>
                  </from>
                  <to>
                    <xdr:col>6</xdr:col>
                    <xdr:colOff>800100</xdr:colOff>
                    <xdr:row>13</xdr:row>
                    <xdr:rowOff>209550</xdr:rowOff>
                  </to>
                </anchor>
              </controlPr>
            </control>
          </mc:Choice>
        </mc:AlternateContent>
        <mc:AlternateContent xmlns:mc="http://schemas.openxmlformats.org/markup-compatibility/2006">
          <mc:Choice Requires="x14">
            <control shapeId="54294" r:id="rId24" name="btnPdf_F-010">
              <controlPr defaultSize="0" print="0" autoFill="0" autoPict="0" macro="행별_PDF저장">
                <anchor moveWithCells="1" sizeWithCells="1">
                  <from>
                    <xdr:col>7</xdr:col>
                    <xdr:colOff>9525</xdr:colOff>
                    <xdr:row>13</xdr:row>
                    <xdr:rowOff>19050</xdr:rowOff>
                  </from>
                  <to>
                    <xdr:col>7</xdr:col>
                    <xdr:colOff>800100</xdr:colOff>
                    <xdr:row>13</xdr:row>
                    <xdr:rowOff>209550</xdr:rowOff>
                  </to>
                </anchor>
              </controlPr>
            </control>
          </mc:Choice>
        </mc:AlternateContent>
        <mc:AlternateContent xmlns:mc="http://schemas.openxmlformats.org/markup-compatibility/2006">
          <mc:Choice Requires="x14">
            <control shapeId="54295" r:id="rId25" name="btnPrev_F-011">
              <controlPr defaultSize="0" print="0" autoFill="0" autoPict="0" macro="행별_미리보기">
                <anchor moveWithCells="1" sizeWithCells="1">
                  <from>
                    <xdr:col>6</xdr:col>
                    <xdr:colOff>9525</xdr:colOff>
                    <xdr:row>14</xdr:row>
                    <xdr:rowOff>19050</xdr:rowOff>
                  </from>
                  <to>
                    <xdr:col>6</xdr:col>
                    <xdr:colOff>800100</xdr:colOff>
                    <xdr:row>14</xdr:row>
                    <xdr:rowOff>209550</xdr:rowOff>
                  </to>
                </anchor>
              </controlPr>
            </control>
          </mc:Choice>
        </mc:AlternateContent>
        <mc:AlternateContent xmlns:mc="http://schemas.openxmlformats.org/markup-compatibility/2006">
          <mc:Choice Requires="x14">
            <control shapeId="54296" r:id="rId26" name="btnPdf_F-011">
              <controlPr defaultSize="0" print="0" autoFill="0" autoPict="0" macro="행별_PDF저장">
                <anchor moveWithCells="1" sizeWithCells="1">
                  <from>
                    <xdr:col>7</xdr:col>
                    <xdr:colOff>9525</xdr:colOff>
                    <xdr:row>14</xdr:row>
                    <xdr:rowOff>19050</xdr:rowOff>
                  </from>
                  <to>
                    <xdr:col>7</xdr:col>
                    <xdr:colOff>800100</xdr:colOff>
                    <xdr:row>14</xdr:row>
                    <xdr:rowOff>209550</xdr:rowOff>
                  </to>
                </anchor>
              </controlPr>
            </control>
          </mc:Choice>
        </mc:AlternateContent>
        <mc:AlternateContent xmlns:mc="http://schemas.openxmlformats.org/markup-compatibility/2006">
          <mc:Choice Requires="x14">
            <control shapeId="54297" r:id="rId27" name="btnPrev_F-012">
              <controlPr defaultSize="0" print="0" autoFill="0" autoPict="0" macro="행별_미리보기">
                <anchor moveWithCells="1" sizeWithCells="1">
                  <from>
                    <xdr:col>6</xdr:col>
                    <xdr:colOff>9525</xdr:colOff>
                    <xdr:row>15</xdr:row>
                    <xdr:rowOff>19050</xdr:rowOff>
                  </from>
                  <to>
                    <xdr:col>6</xdr:col>
                    <xdr:colOff>800100</xdr:colOff>
                    <xdr:row>15</xdr:row>
                    <xdr:rowOff>209550</xdr:rowOff>
                  </to>
                </anchor>
              </controlPr>
            </control>
          </mc:Choice>
        </mc:AlternateContent>
        <mc:AlternateContent xmlns:mc="http://schemas.openxmlformats.org/markup-compatibility/2006">
          <mc:Choice Requires="x14">
            <control shapeId="54298" r:id="rId28" name="btnPdf_F-012">
              <controlPr defaultSize="0" print="0" autoFill="0" autoPict="0" macro="행별_PDF저장">
                <anchor moveWithCells="1" sizeWithCells="1">
                  <from>
                    <xdr:col>7</xdr:col>
                    <xdr:colOff>9525</xdr:colOff>
                    <xdr:row>15</xdr:row>
                    <xdr:rowOff>19050</xdr:rowOff>
                  </from>
                  <to>
                    <xdr:col>7</xdr:col>
                    <xdr:colOff>800100</xdr:colOff>
                    <xdr:row>15</xdr:row>
                    <xdr:rowOff>209550</xdr:rowOff>
                  </to>
                </anchor>
              </controlPr>
            </control>
          </mc:Choice>
        </mc:AlternateContent>
        <mc:AlternateContent xmlns:mc="http://schemas.openxmlformats.org/markup-compatibility/2006">
          <mc:Choice Requires="x14">
            <control shapeId="54299" r:id="rId29" name="btnPrev_F-014">
              <controlPr defaultSize="0" print="0" autoFill="0" autoPict="0" macro="행별_미리보기">
                <anchor moveWithCells="1" sizeWithCells="1">
                  <from>
                    <xdr:col>6</xdr:col>
                    <xdr:colOff>9525</xdr:colOff>
                    <xdr:row>17</xdr:row>
                    <xdr:rowOff>19050</xdr:rowOff>
                  </from>
                  <to>
                    <xdr:col>6</xdr:col>
                    <xdr:colOff>800100</xdr:colOff>
                    <xdr:row>17</xdr:row>
                    <xdr:rowOff>209550</xdr:rowOff>
                  </to>
                </anchor>
              </controlPr>
            </control>
          </mc:Choice>
        </mc:AlternateContent>
        <mc:AlternateContent xmlns:mc="http://schemas.openxmlformats.org/markup-compatibility/2006">
          <mc:Choice Requires="x14">
            <control shapeId="54300" r:id="rId30" name="btnPdf_F-014">
              <controlPr defaultSize="0" print="0" autoFill="0" autoPict="0" macro="행별_PDF저장">
                <anchor moveWithCells="1" sizeWithCells="1">
                  <from>
                    <xdr:col>7</xdr:col>
                    <xdr:colOff>9525</xdr:colOff>
                    <xdr:row>17</xdr:row>
                    <xdr:rowOff>19050</xdr:rowOff>
                  </from>
                  <to>
                    <xdr:col>7</xdr:col>
                    <xdr:colOff>800100</xdr:colOff>
                    <xdr:row>17</xdr:row>
                    <xdr:rowOff>209550</xdr:rowOff>
                  </to>
                </anchor>
              </controlPr>
            </control>
          </mc:Choice>
        </mc:AlternateContent>
        <mc:AlternateContent xmlns:mc="http://schemas.openxmlformats.org/markup-compatibility/2006">
          <mc:Choice Requires="x14">
            <control shapeId="54301" r:id="rId31" name="btnPrev_F-015">
              <controlPr defaultSize="0" print="0" autoFill="0" autoPict="0" macro="행별_미리보기">
                <anchor moveWithCells="1" sizeWithCells="1">
                  <from>
                    <xdr:col>6</xdr:col>
                    <xdr:colOff>9525</xdr:colOff>
                    <xdr:row>18</xdr:row>
                    <xdr:rowOff>19050</xdr:rowOff>
                  </from>
                  <to>
                    <xdr:col>6</xdr:col>
                    <xdr:colOff>800100</xdr:colOff>
                    <xdr:row>18</xdr:row>
                    <xdr:rowOff>209550</xdr:rowOff>
                  </to>
                </anchor>
              </controlPr>
            </control>
          </mc:Choice>
        </mc:AlternateContent>
        <mc:AlternateContent xmlns:mc="http://schemas.openxmlformats.org/markup-compatibility/2006">
          <mc:Choice Requires="x14">
            <control shapeId="54302" r:id="rId32" name="btnPdf_F-015">
              <controlPr defaultSize="0" print="0" autoFill="0" autoPict="0" macro="행별_PDF저장">
                <anchor moveWithCells="1" sizeWithCells="1">
                  <from>
                    <xdr:col>7</xdr:col>
                    <xdr:colOff>9525</xdr:colOff>
                    <xdr:row>18</xdr:row>
                    <xdr:rowOff>19050</xdr:rowOff>
                  </from>
                  <to>
                    <xdr:col>7</xdr:col>
                    <xdr:colOff>800100</xdr:colOff>
                    <xdr:row>18</xdr:row>
                    <xdr:rowOff>209550</xdr:rowOff>
                  </to>
                </anchor>
              </controlPr>
            </control>
          </mc:Choice>
        </mc:AlternateContent>
        <mc:AlternateContent xmlns:mc="http://schemas.openxmlformats.org/markup-compatibility/2006">
          <mc:Choice Requires="x14">
            <control shapeId="54303" r:id="rId33" name="btnPrev_F-016">
              <controlPr defaultSize="0" print="0" autoFill="0" autoPict="0" macro="행별_미리보기">
                <anchor moveWithCells="1" sizeWithCells="1">
                  <from>
                    <xdr:col>6</xdr:col>
                    <xdr:colOff>9525</xdr:colOff>
                    <xdr:row>19</xdr:row>
                    <xdr:rowOff>19050</xdr:rowOff>
                  </from>
                  <to>
                    <xdr:col>6</xdr:col>
                    <xdr:colOff>800100</xdr:colOff>
                    <xdr:row>19</xdr:row>
                    <xdr:rowOff>209550</xdr:rowOff>
                  </to>
                </anchor>
              </controlPr>
            </control>
          </mc:Choice>
        </mc:AlternateContent>
        <mc:AlternateContent xmlns:mc="http://schemas.openxmlformats.org/markup-compatibility/2006">
          <mc:Choice Requires="x14">
            <control shapeId="54304" r:id="rId34" name="btnPdf_F-016">
              <controlPr defaultSize="0" print="0" autoFill="0" autoPict="0" macro="행별_PDF저장">
                <anchor moveWithCells="1" sizeWithCells="1">
                  <from>
                    <xdr:col>7</xdr:col>
                    <xdr:colOff>9525</xdr:colOff>
                    <xdr:row>19</xdr:row>
                    <xdr:rowOff>19050</xdr:rowOff>
                  </from>
                  <to>
                    <xdr:col>7</xdr:col>
                    <xdr:colOff>800100</xdr:colOff>
                    <xdr:row>19</xdr:row>
                    <xdr:rowOff>209550</xdr:rowOff>
                  </to>
                </anchor>
              </controlPr>
            </control>
          </mc:Choice>
        </mc:AlternateContent>
        <mc:AlternateContent xmlns:mc="http://schemas.openxmlformats.org/markup-compatibility/2006">
          <mc:Choice Requires="x14">
            <control shapeId="54305" r:id="rId35" name="btnPrev_F-017">
              <controlPr defaultSize="0" print="0" autoFill="0" autoPict="0" macro="행별_미리보기">
                <anchor moveWithCells="1" sizeWithCells="1">
                  <from>
                    <xdr:col>6</xdr:col>
                    <xdr:colOff>9525</xdr:colOff>
                    <xdr:row>20</xdr:row>
                    <xdr:rowOff>19050</xdr:rowOff>
                  </from>
                  <to>
                    <xdr:col>6</xdr:col>
                    <xdr:colOff>800100</xdr:colOff>
                    <xdr:row>20</xdr:row>
                    <xdr:rowOff>209550</xdr:rowOff>
                  </to>
                </anchor>
              </controlPr>
            </control>
          </mc:Choice>
        </mc:AlternateContent>
        <mc:AlternateContent xmlns:mc="http://schemas.openxmlformats.org/markup-compatibility/2006">
          <mc:Choice Requires="x14">
            <control shapeId="54306" r:id="rId36" name="btnPdf_F-017">
              <controlPr defaultSize="0" print="0" autoFill="0" autoPict="0" macro="행별_PDF저장">
                <anchor moveWithCells="1" sizeWithCells="1">
                  <from>
                    <xdr:col>7</xdr:col>
                    <xdr:colOff>9525</xdr:colOff>
                    <xdr:row>20</xdr:row>
                    <xdr:rowOff>19050</xdr:rowOff>
                  </from>
                  <to>
                    <xdr:col>7</xdr:col>
                    <xdr:colOff>800100</xdr:colOff>
                    <xdr:row>20</xdr:row>
                    <xdr:rowOff>209550</xdr:rowOff>
                  </to>
                </anchor>
              </controlPr>
            </control>
          </mc:Choice>
        </mc:AlternateContent>
        <mc:AlternateContent xmlns:mc="http://schemas.openxmlformats.org/markup-compatibility/2006">
          <mc:Choice Requires="x14">
            <control shapeId="54307" r:id="rId37" name="btnPrev_F-018">
              <controlPr defaultSize="0" print="0" autoFill="0" autoPict="0" macro="행별_미리보기">
                <anchor moveWithCells="1" sizeWithCells="1">
                  <from>
                    <xdr:col>6</xdr:col>
                    <xdr:colOff>9525</xdr:colOff>
                    <xdr:row>21</xdr:row>
                    <xdr:rowOff>19050</xdr:rowOff>
                  </from>
                  <to>
                    <xdr:col>6</xdr:col>
                    <xdr:colOff>800100</xdr:colOff>
                    <xdr:row>21</xdr:row>
                    <xdr:rowOff>209550</xdr:rowOff>
                  </to>
                </anchor>
              </controlPr>
            </control>
          </mc:Choice>
        </mc:AlternateContent>
        <mc:AlternateContent xmlns:mc="http://schemas.openxmlformats.org/markup-compatibility/2006">
          <mc:Choice Requires="x14">
            <control shapeId="54308" r:id="rId38" name="btnPdf_F-018">
              <controlPr defaultSize="0" print="0" autoFill="0" autoPict="0" macro="행별_PDF저장">
                <anchor moveWithCells="1" sizeWithCells="1">
                  <from>
                    <xdr:col>7</xdr:col>
                    <xdr:colOff>9525</xdr:colOff>
                    <xdr:row>21</xdr:row>
                    <xdr:rowOff>19050</xdr:rowOff>
                  </from>
                  <to>
                    <xdr:col>7</xdr:col>
                    <xdr:colOff>800100</xdr:colOff>
                    <xdr:row>21</xdr:row>
                    <xdr:rowOff>209550</xdr:rowOff>
                  </to>
                </anchor>
              </controlPr>
            </control>
          </mc:Choice>
        </mc:AlternateContent>
        <mc:AlternateContent xmlns:mc="http://schemas.openxmlformats.org/markup-compatibility/2006">
          <mc:Choice Requires="x14">
            <control shapeId="54309" r:id="rId39" name="btnPrev_F-019">
              <controlPr defaultSize="0" print="0" autoFill="0" autoPict="0" macro="행별_미리보기">
                <anchor moveWithCells="1" sizeWithCells="1">
                  <from>
                    <xdr:col>6</xdr:col>
                    <xdr:colOff>9525</xdr:colOff>
                    <xdr:row>22</xdr:row>
                    <xdr:rowOff>19050</xdr:rowOff>
                  </from>
                  <to>
                    <xdr:col>6</xdr:col>
                    <xdr:colOff>800100</xdr:colOff>
                    <xdr:row>22</xdr:row>
                    <xdr:rowOff>209550</xdr:rowOff>
                  </to>
                </anchor>
              </controlPr>
            </control>
          </mc:Choice>
        </mc:AlternateContent>
        <mc:AlternateContent xmlns:mc="http://schemas.openxmlformats.org/markup-compatibility/2006">
          <mc:Choice Requires="x14">
            <control shapeId="54310" r:id="rId40" name="btnPdf_F-019">
              <controlPr defaultSize="0" print="0" autoFill="0" autoPict="0" macro="행별_PDF저장">
                <anchor moveWithCells="1" sizeWithCells="1">
                  <from>
                    <xdr:col>7</xdr:col>
                    <xdr:colOff>9525</xdr:colOff>
                    <xdr:row>22</xdr:row>
                    <xdr:rowOff>19050</xdr:rowOff>
                  </from>
                  <to>
                    <xdr:col>7</xdr:col>
                    <xdr:colOff>800100</xdr:colOff>
                    <xdr:row>22</xdr:row>
                    <xdr:rowOff>209550</xdr:rowOff>
                  </to>
                </anchor>
              </controlPr>
            </control>
          </mc:Choice>
        </mc:AlternateContent>
        <mc:AlternateContent xmlns:mc="http://schemas.openxmlformats.org/markup-compatibility/2006">
          <mc:Choice Requires="x14">
            <control shapeId="54311" r:id="rId41" name="btnPrev_F-020">
              <controlPr defaultSize="0" print="0" autoFill="0" autoPict="0" macro="행별_미리보기">
                <anchor moveWithCells="1" sizeWithCells="1">
                  <from>
                    <xdr:col>6</xdr:col>
                    <xdr:colOff>9525</xdr:colOff>
                    <xdr:row>23</xdr:row>
                    <xdr:rowOff>19050</xdr:rowOff>
                  </from>
                  <to>
                    <xdr:col>6</xdr:col>
                    <xdr:colOff>800100</xdr:colOff>
                    <xdr:row>23</xdr:row>
                    <xdr:rowOff>209550</xdr:rowOff>
                  </to>
                </anchor>
              </controlPr>
            </control>
          </mc:Choice>
        </mc:AlternateContent>
        <mc:AlternateContent xmlns:mc="http://schemas.openxmlformats.org/markup-compatibility/2006">
          <mc:Choice Requires="x14">
            <control shapeId="54312" r:id="rId42" name="btnPdf_F-020">
              <controlPr defaultSize="0" print="0" autoFill="0" autoPict="0" macro="행별_PDF저장">
                <anchor moveWithCells="1" sizeWithCells="1">
                  <from>
                    <xdr:col>7</xdr:col>
                    <xdr:colOff>9525</xdr:colOff>
                    <xdr:row>23</xdr:row>
                    <xdr:rowOff>19050</xdr:rowOff>
                  </from>
                  <to>
                    <xdr:col>7</xdr:col>
                    <xdr:colOff>800100</xdr:colOff>
                    <xdr:row>23</xdr:row>
                    <xdr:rowOff>209550</xdr:rowOff>
                  </to>
                </anchor>
              </controlPr>
            </control>
          </mc:Choice>
        </mc:AlternateContent>
        <mc:AlternateContent xmlns:mc="http://schemas.openxmlformats.org/markup-compatibility/2006">
          <mc:Choice Requires="x14">
            <control shapeId="54313" r:id="rId43" name="btnPrev_F-021">
              <controlPr defaultSize="0" print="0" autoFill="0" autoPict="0" macro="행별_미리보기">
                <anchor moveWithCells="1" sizeWithCells="1">
                  <from>
                    <xdr:col>6</xdr:col>
                    <xdr:colOff>9525</xdr:colOff>
                    <xdr:row>24</xdr:row>
                    <xdr:rowOff>19050</xdr:rowOff>
                  </from>
                  <to>
                    <xdr:col>6</xdr:col>
                    <xdr:colOff>800100</xdr:colOff>
                    <xdr:row>24</xdr:row>
                    <xdr:rowOff>209550</xdr:rowOff>
                  </to>
                </anchor>
              </controlPr>
            </control>
          </mc:Choice>
        </mc:AlternateContent>
        <mc:AlternateContent xmlns:mc="http://schemas.openxmlformats.org/markup-compatibility/2006">
          <mc:Choice Requires="x14">
            <control shapeId="54314" r:id="rId44" name="btnPdf_F-021">
              <controlPr defaultSize="0" print="0" autoFill="0" autoPict="0" macro="행별_PDF저장">
                <anchor moveWithCells="1" sizeWithCells="1">
                  <from>
                    <xdr:col>7</xdr:col>
                    <xdr:colOff>9525</xdr:colOff>
                    <xdr:row>24</xdr:row>
                    <xdr:rowOff>19050</xdr:rowOff>
                  </from>
                  <to>
                    <xdr:col>7</xdr:col>
                    <xdr:colOff>800100</xdr:colOff>
                    <xdr:row>24</xdr:row>
                    <xdr:rowOff>209550</xdr:rowOff>
                  </to>
                </anchor>
              </controlPr>
            </control>
          </mc:Choice>
        </mc:AlternateContent>
        <mc:AlternateContent xmlns:mc="http://schemas.openxmlformats.org/markup-compatibility/2006">
          <mc:Choice Requires="x14">
            <control shapeId="54315" r:id="rId45" name="btnPrev_F-022">
              <controlPr defaultSize="0" print="0" autoFill="0" autoPict="0" macro="행별_미리보기">
                <anchor moveWithCells="1" sizeWithCells="1">
                  <from>
                    <xdr:col>6</xdr:col>
                    <xdr:colOff>9525</xdr:colOff>
                    <xdr:row>25</xdr:row>
                    <xdr:rowOff>19050</xdr:rowOff>
                  </from>
                  <to>
                    <xdr:col>6</xdr:col>
                    <xdr:colOff>800100</xdr:colOff>
                    <xdr:row>25</xdr:row>
                    <xdr:rowOff>209550</xdr:rowOff>
                  </to>
                </anchor>
              </controlPr>
            </control>
          </mc:Choice>
        </mc:AlternateContent>
        <mc:AlternateContent xmlns:mc="http://schemas.openxmlformats.org/markup-compatibility/2006">
          <mc:Choice Requires="x14">
            <control shapeId="54316" r:id="rId46" name="btnPdf_F-022">
              <controlPr defaultSize="0" print="0" autoFill="0" autoPict="0" macro="행별_PDF저장">
                <anchor moveWithCells="1" sizeWithCells="1">
                  <from>
                    <xdr:col>7</xdr:col>
                    <xdr:colOff>9525</xdr:colOff>
                    <xdr:row>25</xdr:row>
                    <xdr:rowOff>19050</xdr:rowOff>
                  </from>
                  <to>
                    <xdr:col>7</xdr:col>
                    <xdr:colOff>800100</xdr:colOff>
                    <xdr:row>25</xdr:row>
                    <xdr:rowOff>209550</xdr:rowOff>
                  </to>
                </anchor>
              </controlPr>
            </control>
          </mc:Choice>
        </mc:AlternateContent>
        <mc:AlternateContent xmlns:mc="http://schemas.openxmlformats.org/markup-compatibility/2006">
          <mc:Choice Requires="x14">
            <control shapeId="54317" r:id="rId47" name="btnPrev_F-023">
              <controlPr defaultSize="0" print="0" autoFill="0" autoPict="0" macro="행별_미리보기">
                <anchor moveWithCells="1" sizeWithCells="1">
                  <from>
                    <xdr:col>6</xdr:col>
                    <xdr:colOff>9525</xdr:colOff>
                    <xdr:row>26</xdr:row>
                    <xdr:rowOff>19050</xdr:rowOff>
                  </from>
                  <to>
                    <xdr:col>6</xdr:col>
                    <xdr:colOff>800100</xdr:colOff>
                    <xdr:row>26</xdr:row>
                    <xdr:rowOff>209550</xdr:rowOff>
                  </to>
                </anchor>
              </controlPr>
            </control>
          </mc:Choice>
        </mc:AlternateContent>
        <mc:AlternateContent xmlns:mc="http://schemas.openxmlformats.org/markup-compatibility/2006">
          <mc:Choice Requires="x14">
            <control shapeId="54318" r:id="rId48" name="btnPdf_F-023">
              <controlPr defaultSize="0" print="0" autoFill="0" autoPict="0" macro="행별_PDF저장">
                <anchor moveWithCells="1" sizeWithCells="1">
                  <from>
                    <xdr:col>7</xdr:col>
                    <xdr:colOff>9525</xdr:colOff>
                    <xdr:row>26</xdr:row>
                    <xdr:rowOff>19050</xdr:rowOff>
                  </from>
                  <to>
                    <xdr:col>7</xdr:col>
                    <xdr:colOff>800100</xdr:colOff>
                    <xdr:row>26</xdr:row>
                    <xdr:rowOff>209550</xdr:rowOff>
                  </to>
                </anchor>
              </controlPr>
            </control>
          </mc:Choice>
        </mc:AlternateContent>
        <mc:AlternateContent xmlns:mc="http://schemas.openxmlformats.org/markup-compatibility/2006">
          <mc:Choice Requires="x14">
            <control shapeId="54319" r:id="rId49" name="btnPrev_F-024">
              <controlPr defaultSize="0" print="0" autoFill="0" autoPict="0" macro="행별_미리보기">
                <anchor moveWithCells="1" sizeWithCells="1">
                  <from>
                    <xdr:col>6</xdr:col>
                    <xdr:colOff>9525</xdr:colOff>
                    <xdr:row>27</xdr:row>
                    <xdr:rowOff>19050</xdr:rowOff>
                  </from>
                  <to>
                    <xdr:col>6</xdr:col>
                    <xdr:colOff>800100</xdr:colOff>
                    <xdr:row>27</xdr:row>
                    <xdr:rowOff>209550</xdr:rowOff>
                  </to>
                </anchor>
              </controlPr>
            </control>
          </mc:Choice>
        </mc:AlternateContent>
        <mc:AlternateContent xmlns:mc="http://schemas.openxmlformats.org/markup-compatibility/2006">
          <mc:Choice Requires="x14">
            <control shapeId="54320" r:id="rId50" name="btnPdf_F-024">
              <controlPr defaultSize="0" print="0" autoFill="0" autoPict="0" macro="행별_PDF저장">
                <anchor moveWithCells="1" sizeWithCells="1">
                  <from>
                    <xdr:col>7</xdr:col>
                    <xdr:colOff>9525</xdr:colOff>
                    <xdr:row>27</xdr:row>
                    <xdr:rowOff>19050</xdr:rowOff>
                  </from>
                  <to>
                    <xdr:col>7</xdr:col>
                    <xdr:colOff>800100</xdr:colOff>
                    <xdr:row>27</xdr:row>
                    <xdr:rowOff>209550</xdr:rowOff>
                  </to>
                </anchor>
              </controlPr>
            </control>
          </mc:Choice>
        </mc:AlternateContent>
        <mc:AlternateContent xmlns:mc="http://schemas.openxmlformats.org/markup-compatibility/2006">
          <mc:Choice Requires="x14">
            <control shapeId="54321" r:id="rId51" name="btnPrev_F-025">
              <controlPr defaultSize="0" print="0" autoFill="0" autoPict="0" macro="행별_미리보기">
                <anchor moveWithCells="1" sizeWithCells="1">
                  <from>
                    <xdr:col>6</xdr:col>
                    <xdr:colOff>9525</xdr:colOff>
                    <xdr:row>28</xdr:row>
                    <xdr:rowOff>19050</xdr:rowOff>
                  </from>
                  <to>
                    <xdr:col>6</xdr:col>
                    <xdr:colOff>800100</xdr:colOff>
                    <xdr:row>28</xdr:row>
                    <xdr:rowOff>209550</xdr:rowOff>
                  </to>
                </anchor>
              </controlPr>
            </control>
          </mc:Choice>
        </mc:AlternateContent>
        <mc:AlternateContent xmlns:mc="http://schemas.openxmlformats.org/markup-compatibility/2006">
          <mc:Choice Requires="x14">
            <control shapeId="54322" r:id="rId52" name="btnPdf_F-025">
              <controlPr defaultSize="0" print="0" autoFill="0" autoPict="0" macro="행별_PDF저장">
                <anchor moveWithCells="1" sizeWithCells="1">
                  <from>
                    <xdr:col>7</xdr:col>
                    <xdr:colOff>9525</xdr:colOff>
                    <xdr:row>28</xdr:row>
                    <xdr:rowOff>19050</xdr:rowOff>
                  </from>
                  <to>
                    <xdr:col>7</xdr:col>
                    <xdr:colOff>800100</xdr:colOff>
                    <xdr:row>28</xdr:row>
                    <xdr:rowOff>209550</xdr:rowOff>
                  </to>
                </anchor>
              </controlPr>
            </control>
          </mc:Choice>
        </mc:AlternateContent>
        <mc:AlternateContent xmlns:mc="http://schemas.openxmlformats.org/markup-compatibility/2006">
          <mc:Choice Requires="x14">
            <control shapeId="54323" r:id="rId53" name="btnPrev_F-027">
              <controlPr defaultSize="0" print="0" autoFill="0" autoPict="0" macro="행별_미리보기">
                <anchor moveWithCells="1" sizeWithCells="1">
                  <from>
                    <xdr:col>6</xdr:col>
                    <xdr:colOff>9525</xdr:colOff>
                    <xdr:row>30</xdr:row>
                    <xdr:rowOff>19050</xdr:rowOff>
                  </from>
                  <to>
                    <xdr:col>6</xdr:col>
                    <xdr:colOff>800100</xdr:colOff>
                    <xdr:row>30</xdr:row>
                    <xdr:rowOff>209550</xdr:rowOff>
                  </to>
                </anchor>
              </controlPr>
            </control>
          </mc:Choice>
        </mc:AlternateContent>
        <mc:AlternateContent xmlns:mc="http://schemas.openxmlformats.org/markup-compatibility/2006">
          <mc:Choice Requires="x14">
            <control shapeId="54324" r:id="rId54" name="btnPdf_F-027">
              <controlPr defaultSize="0" print="0" autoFill="0" autoPict="0" macro="행별_PDF저장">
                <anchor moveWithCells="1" sizeWithCells="1">
                  <from>
                    <xdr:col>7</xdr:col>
                    <xdr:colOff>9525</xdr:colOff>
                    <xdr:row>30</xdr:row>
                    <xdr:rowOff>19050</xdr:rowOff>
                  </from>
                  <to>
                    <xdr:col>7</xdr:col>
                    <xdr:colOff>800100</xdr:colOff>
                    <xdr:row>30</xdr:row>
                    <xdr:rowOff>209550</xdr:rowOff>
                  </to>
                </anchor>
              </controlPr>
            </control>
          </mc:Choice>
        </mc:AlternateContent>
        <mc:AlternateContent xmlns:mc="http://schemas.openxmlformats.org/markup-compatibility/2006">
          <mc:Choice Requires="x14">
            <control shapeId="54325" r:id="rId55" name="btnPrev_F-029">
              <controlPr defaultSize="0" print="0" autoFill="0" autoPict="0" macro="행별_미리보기">
                <anchor moveWithCells="1" sizeWithCells="1">
                  <from>
                    <xdr:col>6</xdr:col>
                    <xdr:colOff>9525</xdr:colOff>
                    <xdr:row>32</xdr:row>
                    <xdr:rowOff>19050</xdr:rowOff>
                  </from>
                  <to>
                    <xdr:col>6</xdr:col>
                    <xdr:colOff>800100</xdr:colOff>
                    <xdr:row>32</xdr:row>
                    <xdr:rowOff>209550</xdr:rowOff>
                  </to>
                </anchor>
              </controlPr>
            </control>
          </mc:Choice>
        </mc:AlternateContent>
        <mc:AlternateContent xmlns:mc="http://schemas.openxmlformats.org/markup-compatibility/2006">
          <mc:Choice Requires="x14">
            <control shapeId="54326" r:id="rId56" name="btnPdf_F-029">
              <controlPr defaultSize="0" print="0" autoFill="0" autoPict="0" macro="행별_PDF저장">
                <anchor moveWithCells="1" sizeWithCells="1">
                  <from>
                    <xdr:col>7</xdr:col>
                    <xdr:colOff>9525</xdr:colOff>
                    <xdr:row>32</xdr:row>
                    <xdr:rowOff>19050</xdr:rowOff>
                  </from>
                  <to>
                    <xdr:col>7</xdr:col>
                    <xdr:colOff>800100</xdr:colOff>
                    <xdr:row>32</xdr:row>
                    <xdr:rowOff>209550</xdr:rowOff>
                  </to>
                </anchor>
              </controlPr>
            </control>
          </mc:Choice>
        </mc:AlternateContent>
        <mc:AlternateContent xmlns:mc="http://schemas.openxmlformats.org/markup-compatibility/2006">
          <mc:Choice Requires="x14">
            <control shapeId="54327" r:id="rId57" name="btnPrev_F-030">
              <controlPr defaultSize="0" print="0" autoFill="0" autoPict="0" macro="행별_미리보기">
                <anchor moveWithCells="1" sizeWithCells="1">
                  <from>
                    <xdr:col>6</xdr:col>
                    <xdr:colOff>9525</xdr:colOff>
                    <xdr:row>33</xdr:row>
                    <xdr:rowOff>19050</xdr:rowOff>
                  </from>
                  <to>
                    <xdr:col>6</xdr:col>
                    <xdr:colOff>800100</xdr:colOff>
                    <xdr:row>33</xdr:row>
                    <xdr:rowOff>209550</xdr:rowOff>
                  </to>
                </anchor>
              </controlPr>
            </control>
          </mc:Choice>
        </mc:AlternateContent>
        <mc:AlternateContent xmlns:mc="http://schemas.openxmlformats.org/markup-compatibility/2006">
          <mc:Choice Requires="x14">
            <control shapeId="54328" r:id="rId58" name="btnPdf_F-030">
              <controlPr defaultSize="0" print="0" autoFill="0" autoPict="0" macro="행별_PDF저장">
                <anchor moveWithCells="1" sizeWithCells="1">
                  <from>
                    <xdr:col>7</xdr:col>
                    <xdr:colOff>9525</xdr:colOff>
                    <xdr:row>33</xdr:row>
                    <xdr:rowOff>19050</xdr:rowOff>
                  </from>
                  <to>
                    <xdr:col>7</xdr:col>
                    <xdr:colOff>800100</xdr:colOff>
                    <xdr:row>33</xdr:row>
                    <xdr:rowOff>209550</xdr:rowOff>
                  </to>
                </anchor>
              </controlPr>
            </control>
          </mc:Choice>
        </mc:AlternateContent>
        <mc:AlternateContent xmlns:mc="http://schemas.openxmlformats.org/markup-compatibility/2006">
          <mc:Choice Requires="x14">
            <control shapeId="54329" r:id="rId59" name="btnPrev_F-031">
              <controlPr defaultSize="0" print="0" autoFill="0" autoPict="0" macro="행별_미리보기">
                <anchor moveWithCells="1" sizeWithCells="1">
                  <from>
                    <xdr:col>6</xdr:col>
                    <xdr:colOff>9525</xdr:colOff>
                    <xdr:row>34</xdr:row>
                    <xdr:rowOff>19050</xdr:rowOff>
                  </from>
                  <to>
                    <xdr:col>6</xdr:col>
                    <xdr:colOff>800100</xdr:colOff>
                    <xdr:row>34</xdr:row>
                    <xdr:rowOff>209550</xdr:rowOff>
                  </to>
                </anchor>
              </controlPr>
            </control>
          </mc:Choice>
        </mc:AlternateContent>
        <mc:AlternateContent xmlns:mc="http://schemas.openxmlformats.org/markup-compatibility/2006">
          <mc:Choice Requires="x14">
            <control shapeId="54330" r:id="rId60" name="btnPdf_F-031">
              <controlPr defaultSize="0" print="0" autoFill="0" autoPict="0" macro="행별_PDF저장">
                <anchor moveWithCells="1" sizeWithCells="1">
                  <from>
                    <xdr:col>7</xdr:col>
                    <xdr:colOff>9525</xdr:colOff>
                    <xdr:row>34</xdr:row>
                    <xdr:rowOff>19050</xdr:rowOff>
                  </from>
                  <to>
                    <xdr:col>7</xdr:col>
                    <xdr:colOff>800100</xdr:colOff>
                    <xdr:row>34</xdr:row>
                    <xdr:rowOff>209550</xdr:rowOff>
                  </to>
                </anchor>
              </controlPr>
            </control>
          </mc:Choice>
        </mc:AlternateContent>
        <mc:AlternateContent xmlns:mc="http://schemas.openxmlformats.org/markup-compatibility/2006">
          <mc:Choice Requires="x14">
            <control shapeId="54331" r:id="rId61" name="btnPrev_F-032">
              <controlPr defaultSize="0" print="0" autoFill="0" autoPict="0" macro="행별_미리보기">
                <anchor moveWithCells="1" sizeWithCells="1">
                  <from>
                    <xdr:col>6</xdr:col>
                    <xdr:colOff>9525</xdr:colOff>
                    <xdr:row>35</xdr:row>
                    <xdr:rowOff>19050</xdr:rowOff>
                  </from>
                  <to>
                    <xdr:col>6</xdr:col>
                    <xdr:colOff>800100</xdr:colOff>
                    <xdr:row>35</xdr:row>
                    <xdr:rowOff>209550</xdr:rowOff>
                  </to>
                </anchor>
              </controlPr>
            </control>
          </mc:Choice>
        </mc:AlternateContent>
        <mc:AlternateContent xmlns:mc="http://schemas.openxmlformats.org/markup-compatibility/2006">
          <mc:Choice Requires="x14">
            <control shapeId="54332" r:id="rId62" name="btnPdf_F-032">
              <controlPr defaultSize="0" print="0" autoFill="0" autoPict="0" macro="행별_PDF저장">
                <anchor moveWithCells="1" sizeWithCells="1">
                  <from>
                    <xdr:col>7</xdr:col>
                    <xdr:colOff>9525</xdr:colOff>
                    <xdr:row>35</xdr:row>
                    <xdr:rowOff>19050</xdr:rowOff>
                  </from>
                  <to>
                    <xdr:col>7</xdr:col>
                    <xdr:colOff>800100</xdr:colOff>
                    <xdr:row>35</xdr:row>
                    <xdr:rowOff>209550</xdr:rowOff>
                  </to>
                </anchor>
              </controlPr>
            </control>
          </mc:Choice>
        </mc:AlternateContent>
        <mc:AlternateContent xmlns:mc="http://schemas.openxmlformats.org/markup-compatibility/2006">
          <mc:Choice Requires="x14">
            <control shapeId="54333" r:id="rId63" name="btnPrev_F-033">
              <controlPr defaultSize="0" print="0" autoFill="0" autoPict="0" macro="행별_미리보기">
                <anchor moveWithCells="1" sizeWithCells="1">
                  <from>
                    <xdr:col>6</xdr:col>
                    <xdr:colOff>9525</xdr:colOff>
                    <xdr:row>36</xdr:row>
                    <xdr:rowOff>19050</xdr:rowOff>
                  </from>
                  <to>
                    <xdr:col>6</xdr:col>
                    <xdr:colOff>800100</xdr:colOff>
                    <xdr:row>36</xdr:row>
                    <xdr:rowOff>209550</xdr:rowOff>
                  </to>
                </anchor>
              </controlPr>
            </control>
          </mc:Choice>
        </mc:AlternateContent>
        <mc:AlternateContent xmlns:mc="http://schemas.openxmlformats.org/markup-compatibility/2006">
          <mc:Choice Requires="x14">
            <control shapeId="54334" r:id="rId64" name="btnPdf_F-033">
              <controlPr defaultSize="0" print="0" autoFill="0" autoPict="0" macro="행별_PDF저장">
                <anchor moveWithCells="1" sizeWithCells="1">
                  <from>
                    <xdr:col>7</xdr:col>
                    <xdr:colOff>9525</xdr:colOff>
                    <xdr:row>36</xdr:row>
                    <xdr:rowOff>19050</xdr:rowOff>
                  </from>
                  <to>
                    <xdr:col>7</xdr:col>
                    <xdr:colOff>800100</xdr:colOff>
                    <xdr:row>36</xdr:row>
                    <xdr:rowOff>209550</xdr:rowOff>
                  </to>
                </anchor>
              </controlPr>
            </control>
          </mc:Choice>
        </mc:AlternateContent>
        <mc:AlternateContent xmlns:mc="http://schemas.openxmlformats.org/markup-compatibility/2006">
          <mc:Choice Requires="x14">
            <control shapeId="54335" r:id="rId65" name="btnPrev_F-034">
              <controlPr defaultSize="0" print="0" autoFill="0" autoPict="0" macro="행별_미리보기">
                <anchor moveWithCells="1" sizeWithCells="1">
                  <from>
                    <xdr:col>6</xdr:col>
                    <xdr:colOff>9525</xdr:colOff>
                    <xdr:row>37</xdr:row>
                    <xdr:rowOff>19050</xdr:rowOff>
                  </from>
                  <to>
                    <xdr:col>6</xdr:col>
                    <xdr:colOff>800100</xdr:colOff>
                    <xdr:row>37</xdr:row>
                    <xdr:rowOff>209550</xdr:rowOff>
                  </to>
                </anchor>
              </controlPr>
            </control>
          </mc:Choice>
        </mc:AlternateContent>
        <mc:AlternateContent xmlns:mc="http://schemas.openxmlformats.org/markup-compatibility/2006">
          <mc:Choice Requires="x14">
            <control shapeId="54336" r:id="rId66" name="btnPdf_F-034">
              <controlPr defaultSize="0" print="0" autoFill="0" autoPict="0" macro="행별_PDF저장">
                <anchor moveWithCells="1" sizeWithCells="1">
                  <from>
                    <xdr:col>7</xdr:col>
                    <xdr:colOff>9525</xdr:colOff>
                    <xdr:row>37</xdr:row>
                    <xdr:rowOff>19050</xdr:rowOff>
                  </from>
                  <to>
                    <xdr:col>7</xdr:col>
                    <xdr:colOff>800100</xdr:colOff>
                    <xdr:row>37</xdr:row>
                    <xdr:rowOff>209550</xdr:rowOff>
                  </to>
                </anchor>
              </controlPr>
            </control>
          </mc:Choice>
        </mc:AlternateContent>
        <mc:AlternateContent xmlns:mc="http://schemas.openxmlformats.org/markup-compatibility/2006">
          <mc:Choice Requires="x14">
            <control shapeId="54337" r:id="rId67" name="btnPrev_F-035">
              <controlPr defaultSize="0" print="0" autoFill="0" autoPict="0" macro="행별_미리보기">
                <anchor moveWithCells="1" sizeWithCells="1">
                  <from>
                    <xdr:col>6</xdr:col>
                    <xdr:colOff>9525</xdr:colOff>
                    <xdr:row>38</xdr:row>
                    <xdr:rowOff>19050</xdr:rowOff>
                  </from>
                  <to>
                    <xdr:col>6</xdr:col>
                    <xdr:colOff>800100</xdr:colOff>
                    <xdr:row>38</xdr:row>
                    <xdr:rowOff>209550</xdr:rowOff>
                  </to>
                </anchor>
              </controlPr>
            </control>
          </mc:Choice>
        </mc:AlternateContent>
        <mc:AlternateContent xmlns:mc="http://schemas.openxmlformats.org/markup-compatibility/2006">
          <mc:Choice Requires="x14">
            <control shapeId="54338" r:id="rId68" name="btnPdf_F-035">
              <controlPr defaultSize="0" print="0" autoFill="0" autoPict="0" macro="행별_PDF저장">
                <anchor moveWithCells="1" sizeWithCells="1">
                  <from>
                    <xdr:col>7</xdr:col>
                    <xdr:colOff>9525</xdr:colOff>
                    <xdr:row>38</xdr:row>
                    <xdr:rowOff>19050</xdr:rowOff>
                  </from>
                  <to>
                    <xdr:col>7</xdr:col>
                    <xdr:colOff>800100</xdr:colOff>
                    <xdr:row>38</xdr:row>
                    <xdr:rowOff>209550</xdr:rowOff>
                  </to>
                </anchor>
              </controlPr>
            </control>
          </mc:Choice>
        </mc:AlternateContent>
        <mc:AlternateContent xmlns:mc="http://schemas.openxmlformats.org/markup-compatibility/2006">
          <mc:Choice Requires="x14">
            <control shapeId="54339" r:id="rId69" name="btnPrev_F-036">
              <controlPr defaultSize="0" print="0" autoFill="0" autoPict="0" macro="행별_미리보기">
                <anchor moveWithCells="1" sizeWithCells="1">
                  <from>
                    <xdr:col>6</xdr:col>
                    <xdr:colOff>9525</xdr:colOff>
                    <xdr:row>39</xdr:row>
                    <xdr:rowOff>19050</xdr:rowOff>
                  </from>
                  <to>
                    <xdr:col>6</xdr:col>
                    <xdr:colOff>800100</xdr:colOff>
                    <xdr:row>39</xdr:row>
                    <xdr:rowOff>209550</xdr:rowOff>
                  </to>
                </anchor>
              </controlPr>
            </control>
          </mc:Choice>
        </mc:AlternateContent>
        <mc:AlternateContent xmlns:mc="http://schemas.openxmlformats.org/markup-compatibility/2006">
          <mc:Choice Requires="x14">
            <control shapeId="54340" r:id="rId70" name="btnPdf_F-036">
              <controlPr defaultSize="0" print="0" autoFill="0" autoPict="0" macro="행별_PDF저장">
                <anchor moveWithCells="1" sizeWithCells="1">
                  <from>
                    <xdr:col>7</xdr:col>
                    <xdr:colOff>9525</xdr:colOff>
                    <xdr:row>39</xdr:row>
                    <xdr:rowOff>19050</xdr:rowOff>
                  </from>
                  <to>
                    <xdr:col>7</xdr:col>
                    <xdr:colOff>800100</xdr:colOff>
                    <xdr:row>39</xdr:row>
                    <xdr:rowOff>209550</xdr:rowOff>
                  </to>
                </anchor>
              </controlPr>
            </control>
          </mc:Choice>
        </mc:AlternateContent>
        <mc:AlternateContent xmlns:mc="http://schemas.openxmlformats.org/markup-compatibility/2006">
          <mc:Choice Requires="x14">
            <control shapeId="54341" r:id="rId71" name="btnPrev_F-037">
              <controlPr defaultSize="0" print="0" autoFill="0" autoPict="0" macro="행별_미리보기">
                <anchor moveWithCells="1" sizeWithCells="1">
                  <from>
                    <xdr:col>6</xdr:col>
                    <xdr:colOff>9525</xdr:colOff>
                    <xdr:row>40</xdr:row>
                    <xdr:rowOff>19050</xdr:rowOff>
                  </from>
                  <to>
                    <xdr:col>6</xdr:col>
                    <xdr:colOff>800100</xdr:colOff>
                    <xdr:row>40</xdr:row>
                    <xdr:rowOff>209550</xdr:rowOff>
                  </to>
                </anchor>
              </controlPr>
            </control>
          </mc:Choice>
        </mc:AlternateContent>
        <mc:AlternateContent xmlns:mc="http://schemas.openxmlformats.org/markup-compatibility/2006">
          <mc:Choice Requires="x14">
            <control shapeId="54342" r:id="rId72" name="btnPdf_F-037">
              <controlPr defaultSize="0" print="0" autoFill="0" autoPict="0" macro="행별_PDF저장">
                <anchor moveWithCells="1" sizeWithCells="1">
                  <from>
                    <xdr:col>7</xdr:col>
                    <xdr:colOff>9525</xdr:colOff>
                    <xdr:row>40</xdr:row>
                    <xdr:rowOff>19050</xdr:rowOff>
                  </from>
                  <to>
                    <xdr:col>7</xdr:col>
                    <xdr:colOff>800100</xdr:colOff>
                    <xdr:row>40</xdr:row>
                    <xdr:rowOff>209550</xdr:rowOff>
                  </to>
                </anchor>
              </controlPr>
            </control>
          </mc:Choice>
        </mc:AlternateContent>
        <mc:AlternateContent xmlns:mc="http://schemas.openxmlformats.org/markup-compatibility/2006">
          <mc:Choice Requires="x14">
            <control shapeId="54343" r:id="rId73" name="btnPrev_F-038">
              <controlPr defaultSize="0" print="0" autoFill="0" autoPict="0" macro="행별_미리보기">
                <anchor moveWithCells="1" sizeWithCells="1">
                  <from>
                    <xdr:col>6</xdr:col>
                    <xdr:colOff>9525</xdr:colOff>
                    <xdr:row>41</xdr:row>
                    <xdr:rowOff>19050</xdr:rowOff>
                  </from>
                  <to>
                    <xdr:col>6</xdr:col>
                    <xdr:colOff>800100</xdr:colOff>
                    <xdr:row>41</xdr:row>
                    <xdr:rowOff>209550</xdr:rowOff>
                  </to>
                </anchor>
              </controlPr>
            </control>
          </mc:Choice>
        </mc:AlternateContent>
        <mc:AlternateContent xmlns:mc="http://schemas.openxmlformats.org/markup-compatibility/2006">
          <mc:Choice Requires="x14">
            <control shapeId="54344" r:id="rId74" name="btnPdf_F-038">
              <controlPr defaultSize="0" print="0" autoFill="0" autoPict="0" macro="행별_PDF저장">
                <anchor moveWithCells="1" sizeWithCells="1">
                  <from>
                    <xdr:col>7</xdr:col>
                    <xdr:colOff>9525</xdr:colOff>
                    <xdr:row>41</xdr:row>
                    <xdr:rowOff>19050</xdr:rowOff>
                  </from>
                  <to>
                    <xdr:col>7</xdr:col>
                    <xdr:colOff>800100</xdr:colOff>
                    <xdr:row>41</xdr:row>
                    <xdr:rowOff>209550</xdr:rowOff>
                  </to>
                </anchor>
              </controlPr>
            </control>
          </mc:Choice>
        </mc:AlternateContent>
        <mc:AlternateContent xmlns:mc="http://schemas.openxmlformats.org/markup-compatibility/2006">
          <mc:Choice Requires="x14">
            <control shapeId="54345" r:id="rId75" name="btnPrev_F-039">
              <controlPr defaultSize="0" print="0" autoFill="0" autoPict="0" macro="행별_미리보기">
                <anchor moveWithCells="1" sizeWithCells="1">
                  <from>
                    <xdr:col>6</xdr:col>
                    <xdr:colOff>9525</xdr:colOff>
                    <xdr:row>42</xdr:row>
                    <xdr:rowOff>19050</xdr:rowOff>
                  </from>
                  <to>
                    <xdr:col>6</xdr:col>
                    <xdr:colOff>800100</xdr:colOff>
                    <xdr:row>42</xdr:row>
                    <xdr:rowOff>209550</xdr:rowOff>
                  </to>
                </anchor>
              </controlPr>
            </control>
          </mc:Choice>
        </mc:AlternateContent>
        <mc:AlternateContent xmlns:mc="http://schemas.openxmlformats.org/markup-compatibility/2006">
          <mc:Choice Requires="x14">
            <control shapeId="54346" r:id="rId76" name="btnPdf_F-039">
              <controlPr defaultSize="0" print="0" autoFill="0" autoPict="0" macro="행별_PDF저장">
                <anchor moveWithCells="1" sizeWithCells="1">
                  <from>
                    <xdr:col>7</xdr:col>
                    <xdr:colOff>9525</xdr:colOff>
                    <xdr:row>42</xdr:row>
                    <xdr:rowOff>19050</xdr:rowOff>
                  </from>
                  <to>
                    <xdr:col>7</xdr:col>
                    <xdr:colOff>800100</xdr:colOff>
                    <xdr:row>42</xdr:row>
                    <xdr:rowOff>209550</xdr:rowOff>
                  </to>
                </anchor>
              </controlPr>
            </control>
          </mc:Choice>
        </mc:AlternateContent>
        <mc:AlternateContent xmlns:mc="http://schemas.openxmlformats.org/markup-compatibility/2006">
          <mc:Choice Requires="x14">
            <control shapeId="54347" r:id="rId77" name="btnPrev_F-040">
              <controlPr defaultSize="0" print="0" autoFill="0" autoPict="0" macro="행별_미리보기">
                <anchor moveWithCells="1" sizeWithCells="1">
                  <from>
                    <xdr:col>6</xdr:col>
                    <xdr:colOff>9525</xdr:colOff>
                    <xdr:row>43</xdr:row>
                    <xdr:rowOff>19050</xdr:rowOff>
                  </from>
                  <to>
                    <xdr:col>6</xdr:col>
                    <xdr:colOff>800100</xdr:colOff>
                    <xdr:row>43</xdr:row>
                    <xdr:rowOff>209550</xdr:rowOff>
                  </to>
                </anchor>
              </controlPr>
            </control>
          </mc:Choice>
        </mc:AlternateContent>
        <mc:AlternateContent xmlns:mc="http://schemas.openxmlformats.org/markup-compatibility/2006">
          <mc:Choice Requires="x14">
            <control shapeId="54348" r:id="rId78" name="btnPdf_F-040">
              <controlPr defaultSize="0" print="0" autoFill="0" autoPict="0" macro="행별_PDF저장">
                <anchor moveWithCells="1" sizeWithCells="1">
                  <from>
                    <xdr:col>7</xdr:col>
                    <xdr:colOff>9525</xdr:colOff>
                    <xdr:row>43</xdr:row>
                    <xdr:rowOff>19050</xdr:rowOff>
                  </from>
                  <to>
                    <xdr:col>7</xdr:col>
                    <xdr:colOff>800100</xdr:colOff>
                    <xdr:row>43</xdr:row>
                    <xdr:rowOff>209550</xdr:rowOff>
                  </to>
                </anchor>
              </controlPr>
            </control>
          </mc:Choice>
        </mc:AlternateContent>
        <mc:AlternateContent xmlns:mc="http://schemas.openxmlformats.org/markup-compatibility/2006">
          <mc:Choice Requires="x14">
            <control shapeId="54349" r:id="rId79" name="btnPrev_F-041">
              <controlPr defaultSize="0" print="0" autoFill="0" autoPict="0" macro="행별_미리보기">
                <anchor moveWithCells="1" sizeWithCells="1">
                  <from>
                    <xdr:col>6</xdr:col>
                    <xdr:colOff>9525</xdr:colOff>
                    <xdr:row>44</xdr:row>
                    <xdr:rowOff>19050</xdr:rowOff>
                  </from>
                  <to>
                    <xdr:col>6</xdr:col>
                    <xdr:colOff>800100</xdr:colOff>
                    <xdr:row>44</xdr:row>
                    <xdr:rowOff>209550</xdr:rowOff>
                  </to>
                </anchor>
              </controlPr>
            </control>
          </mc:Choice>
        </mc:AlternateContent>
        <mc:AlternateContent xmlns:mc="http://schemas.openxmlformats.org/markup-compatibility/2006">
          <mc:Choice Requires="x14">
            <control shapeId="54350" r:id="rId80" name="btnPdf_F-041">
              <controlPr defaultSize="0" print="0" autoFill="0" autoPict="0" macro="행별_PDF저장">
                <anchor moveWithCells="1" sizeWithCells="1">
                  <from>
                    <xdr:col>7</xdr:col>
                    <xdr:colOff>9525</xdr:colOff>
                    <xdr:row>44</xdr:row>
                    <xdr:rowOff>19050</xdr:rowOff>
                  </from>
                  <to>
                    <xdr:col>7</xdr:col>
                    <xdr:colOff>800100</xdr:colOff>
                    <xdr:row>44</xdr:row>
                    <xdr:rowOff>209550</xdr:rowOff>
                  </to>
                </anchor>
              </controlPr>
            </control>
          </mc:Choice>
        </mc:AlternateContent>
        <mc:AlternateContent xmlns:mc="http://schemas.openxmlformats.org/markup-compatibility/2006">
          <mc:Choice Requires="x14">
            <control shapeId="54351" r:id="rId81" name="btnPrev_F-042">
              <controlPr defaultSize="0" print="0" autoFill="0" autoPict="0" macro="행별_미리보기">
                <anchor moveWithCells="1" sizeWithCells="1">
                  <from>
                    <xdr:col>6</xdr:col>
                    <xdr:colOff>9525</xdr:colOff>
                    <xdr:row>45</xdr:row>
                    <xdr:rowOff>19050</xdr:rowOff>
                  </from>
                  <to>
                    <xdr:col>6</xdr:col>
                    <xdr:colOff>800100</xdr:colOff>
                    <xdr:row>45</xdr:row>
                    <xdr:rowOff>209550</xdr:rowOff>
                  </to>
                </anchor>
              </controlPr>
            </control>
          </mc:Choice>
        </mc:AlternateContent>
        <mc:AlternateContent xmlns:mc="http://schemas.openxmlformats.org/markup-compatibility/2006">
          <mc:Choice Requires="x14">
            <control shapeId="54352" r:id="rId82" name="btnPdf_F-042">
              <controlPr defaultSize="0" print="0" autoFill="0" autoPict="0" macro="행별_PDF저장">
                <anchor moveWithCells="1" sizeWithCells="1">
                  <from>
                    <xdr:col>7</xdr:col>
                    <xdr:colOff>9525</xdr:colOff>
                    <xdr:row>45</xdr:row>
                    <xdr:rowOff>19050</xdr:rowOff>
                  </from>
                  <to>
                    <xdr:col>7</xdr:col>
                    <xdr:colOff>800100</xdr:colOff>
                    <xdr:row>45</xdr:row>
                    <xdr:rowOff>209550</xdr:rowOff>
                  </to>
                </anchor>
              </controlPr>
            </control>
          </mc:Choice>
        </mc:AlternateContent>
        <mc:AlternateContent xmlns:mc="http://schemas.openxmlformats.org/markup-compatibility/2006">
          <mc:Choice Requires="x14">
            <control shapeId="54353" r:id="rId83" name="btnPrev_F-043">
              <controlPr defaultSize="0" print="0" autoFill="0" autoPict="0" macro="행별_미리보기">
                <anchor moveWithCells="1" sizeWithCells="1">
                  <from>
                    <xdr:col>6</xdr:col>
                    <xdr:colOff>9525</xdr:colOff>
                    <xdr:row>46</xdr:row>
                    <xdr:rowOff>19050</xdr:rowOff>
                  </from>
                  <to>
                    <xdr:col>6</xdr:col>
                    <xdr:colOff>800100</xdr:colOff>
                    <xdr:row>46</xdr:row>
                    <xdr:rowOff>209550</xdr:rowOff>
                  </to>
                </anchor>
              </controlPr>
            </control>
          </mc:Choice>
        </mc:AlternateContent>
        <mc:AlternateContent xmlns:mc="http://schemas.openxmlformats.org/markup-compatibility/2006">
          <mc:Choice Requires="x14">
            <control shapeId="54354" r:id="rId84" name="btnPdf_F-043">
              <controlPr defaultSize="0" print="0" autoFill="0" autoPict="0" macro="행별_PDF저장">
                <anchor moveWithCells="1" sizeWithCells="1">
                  <from>
                    <xdr:col>7</xdr:col>
                    <xdr:colOff>9525</xdr:colOff>
                    <xdr:row>46</xdr:row>
                    <xdr:rowOff>19050</xdr:rowOff>
                  </from>
                  <to>
                    <xdr:col>7</xdr:col>
                    <xdr:colOff>800100</xdr:colOff>
                    <xdr:row>46</xdr:row>
                    <xdr:rowOff>209550</xdr:rowOff>
                  </to>
                </anchor>
              </controlPr>
            </control>
          </mc:Choice>
        </mc:AlternateContent>
        <mc:AlternateContent xmlns:mc="http://schemas.openxmlformats.org/markup-compatibility/2006">
          <mc:Choice Requires="x14">
            <control shapeId="54355" r:id="rId85" name="btnPrev_F-044">
              <controlPr defaultSize="0" print="0" autoFill="0" autoPict="0" macro="행별_미리보기">
                <anchor moveWithCells="1" sizeWithCells="1">
                  <from>
                    <xdr:col>6</xdr:col>
                    <xdr:colOff>9525</xdr:colOff>
                    <xdr:row>47</xdr:row>
                    <xdr:rowOff>19050</xdr:rowOff>
                  </from>
                  <to>
                    <xdr:col>6</xdr:col>
                    <xdr:colOff>800100</xdr:colOff>
                    <xdr:row>47</xdr:row>
                    <xdr:rowOff>209550</xdr:rowOff>
                  </to>
                </anchor>
              </controlPr>
            </control>
          </mc:Choice>
        </mc:AlternateContent>
        <mc:AlternateContent xmlns:mc="http://schemas.openxmlformats.org/markup-compatibility/2006">
          <mc:Choice Requires="x14">
            <control shapeId="54356" r:id="rId86" name="btnPdf_F-044">
              <controlPr defaultSize="0" print="0" autoFill="0" autoPict="0" macro="행별_PDF저장">
                <anchor moveWithCells="1" sizeWithCells="1">
                  <from>
                    <xdr:col>7</xdr:col>
                    <xdr:colOff>9525</xdr:colOff>
                    <xdr:row>47</xdr:row>
                    <xdr:rowOff>19050</xdr:rowOff>
                  </from>
                  <to>
                    <xdr:col>7</xdr:col>
                    <xdr:colOff>800100</xdr:colOff>
                    <xdr:row>47</xdr:row>
                    <xdr:rowOff>209550</xdr:rowOff>
                  </to>
                </anchor>
              </controlPr>
            </control>
          </mc:Choice>
        </mc:AlternateContent>
        <mc:AlternateContent xmlns:mc="http://schemas.openxmlformats.org/markup-compatibility/2006">
          <mc:Choice Requires="x14">
            <control shapeId="54357" r:id="rId87" name="btnPrev_F-045">
              <controlPr defaultSize="0" print="0" autoFill="0" autoPict="0" macro="행별_미리보기">
                <anchor moveWithCells="1" sizeWithCells="1">
                  <from>
                    <xdr:col>6</xdr:col>
                    <xdr:colOff>9525</xdr:colOff>
                    <xdr:row>48</xdr:row>
                    <xdr:rowOff>19050</xdr:rowOff>
                  </from>
                  <to>
                    <xdr:col>6</xdr:col>
                    <xdr:colOff>800100</xdr:colOff>
                    <xdr:row>48</xdr:row>
                    <xdr:rowOff>209550</xdr:rowOff>
                  </to>
                </anchor>
              </controlPr>
            </control>
          </mc:Choice>
        </mc:AlternateContent>
        <mc:AlternateContent xmlns:mc="http://schemas.openxmlformats.org/markup-compatibility/2006">
          <mc:Choice Requires="x14">
            <control shapeId="54358" r:id="rId88" name="btnPdf_F-045">
              <controlPr defaultSize="0" print="0" autoFill="0" autoPict="0" macro="행별_PDF저장">
                <anchor moveWithCells="1" sizeWithCells="1">
                  <from>
                    <xdr:col>7</xdr:col>
                    <xdr:colOff>9525</xdr:colOff>
                    <xdr:row>48</xdr:row>
                    <xdr:rowOff>19050</xdr:rowOff>
                  </from>
                  <to>
                    <xdr:col>7</xdr:col>
                    <xdr:colOff>800100</xdr:colOff>
                    <xdr:row>48</xdr:row>
                    <xdr:rowOff>209550</xdr:rowOff>
                  </to>
                </anchor>
              </controlPr>
            </control>
          </mc:Choice>
        </mc:AlternateContent>
        <mc:AlternateContent xmlns:mc="http://schemas.openxmlformats.org/markup-compatibility/2006">
          <mc:Choice Requires="x14">
            <control shapeId="54359" r:id="rId89" name="btnPrev_F-046">
              <controlPr defaultSize="0" print="0" autoFill="0" autoPict="0" macro="행별_미리보기">
                <anchor moveWithCells="1" sizeWithCells="1">
                  <from>
                    <xdr:col>6</xdr:col>
                    <xdr:colOff>9525</xdr:colOff>
                    <xdr:row>49</xdr:row>
                    <xdr:rowOff>19050</xdr:rowOff>
                  </from>
                  <to>
                    <xdr:col>6</xdr:col>
                    <xdr:colOff>800100</xdr:colOff>
                    <xdr:row>49</xdr:row>
                    <xdr:rowOff>209550</xdr:rowOff>
                  </to>
                </anchor>
              </controlPr>
            </control>
          </mc:Choice>
        </mc:AlternateContent>
        <mc:AlternateContent xmlns:mc="http://schemas.openxmlformats.org/markup-compatibility/2006">
          <mc:Choice Requires="x14">
            <control shapeId="54360" r:id="rId90" name="btnPdf_F-046">
              <controlPr defaultSize="0" print="0" autoFill="0" autoPict="0" macro="행별_PDF저장">
                <anchor moveWithCells="1" sizeWithCells="1">
                  <from>
                    <xdr:col>7</xdr:col>
                    <xdr:colOff>9525</xdr:colOff>
                    <xdr:row>49</xdr:row>
                    <xdr:rowOff>19050</xdr:rowOff>
                  </from>
                  <to>
                    <xdr:col>7</xdr:col>
                    <xdr:colOff>800100</xdr:colOff>
                    <xdr:row>49</xdr:row>
                    <xdr:rowOff>209550</xdr:rowOff>
                  </to>
                </anchor>
              </controlPr>
            </control>
          </mc:Choice>
        </mc:AlternateContent>
        <mc:AlternateContent xmlns:mc="http://schemas.openxmlformats.org/markup-compatibility/2006">
          <mc:Choice Requires="x14">
            <control shapeId="54361" r:id="rId91" name="btnPrev_F-047">
              <controlPr defaultSize="0" print="0" autoFill="0" autoPict="0" macro="행별_미리보기">
                <anchor moveWithCells="1" sizeWithCells="1">
                  <from>
                    <xdr:col>6</xdr:col>
                    <xdr:colOff>9525</xdr:colOff>
                    <xdr:row>50</xdr:row>
                    <xdr:rowOff>19050</xdr:rowOff>
                  </from>
                  <to>
                    <xdr:col>6</xdr:col>
                    <xdr:colOff>800100</xdr:colOff>
                    <xdr:row>50</xdr:row>
                    <xdr:rowOff>209550</xdr:rowOff>
                  </to>
                </anchor>
              </controlPr>
            </control>
          </mc:Choice>
        </mc:AlternateContent>
        <mc:AlternateContent xmlns:mc="http://schemas.openxmlformats.org/markup-compatibility/2006">
          <mc:Choice Requires="x14">
            <control shapeId="54362" r:id="rId92" name="btnPdf_F-047">
              <controlPr defaultSize="0" print="0" autoFill="0" autoPict="0" macro="행별_PDF저장">
                <anchor moveWithCells="1" sizeWithCells="1">
                  <from>
                    <xdr:col>7</xdr:col>
                    <xdr:colOff>9525</xdr:colOff>
                    <xdr:row>50</xdr:row>
                    <xdr:rowOff>19050</xdr:rowOff>
                  </from>
                  <to>
                    <xdr:col>7</xdr:col>
                    <xdr:colOff>800100</xdr:colOff>
                    <xdr:row>50</xdr:row>
                    <xdr:rowOff>209550</xdr:rowOff>
                  </to>
                </anchor>
              </controlPr>
            </control>
          </mc:Choice>
        </mc:AlternateContent>
        <mc:AlternateContent xmlns:mc="http://schemas.openxmlformats.org/markup-compatibility/2006">
          <mc:Choice Requires="x14">
            <control shapeId="54363" r:id="rId93" name="btnPrev_F-048">
              <controlPr defaultSize="0" print="0" autoFill="0" autoPict="0" macro="행별_미리보기">
                <anchor moveWithCells="1" sizeWithCells="1">
                  <from>
                    <xdr:col>6</xdr:col>
                    <xdr:colOff>9525</xdr:colOff>
                    <xdr:row>51</xdr:row>
                    <xdr:rowOff>19050</xdr:rowOff>
                  </from>
                  <to>
                    <xdr:col>6</xdr:col>
                    <xdr:colOff>800100</xdr:colOff>
                    <xdr:row>51</xdr:row>
                    <xdr:rowOff>209550</xdr:rowOff>
                  </to>
                </anchor>
              </controlPr>
            </control>
          </mc:Choice>
        </mc:AlternateContent>
        <mc:AlternateContent xmlns:mc="http://schemas.openxmlformats.org/markup-compatibility/2006">
          <mc:Choice Requires="x14">
            <control shapeId="54364" r:id="rId94" name="btnPdf_F-048">
              <controlPr defaultSize="0" print="0" autoFill="0" autoPict="0" macro="행별_PDF저장">
                <anchor moveWithCells="1" sizeWithCells="1">
                  <from>
                    <xdr:col>7</xdr:col>
                    <xdr:colOff>9525</xdr:colOff>
                    <xdr:row>51</xdr:row>
                    <xdr:rowOff>19050</xdr:rowOff>
                  </from>
                  <to>
                    <xdr:col>7</xdr:col>
                    <xdr:colOff>800100</xdr:colOff>
                    <xdr:row>51</xdr:row>
                    <xdr:rowOff>209550</xdr:rowOff>
                  </to>
                </anchor>
              </controlPr>
            </control>
          </mc:Choice>
        </mc:AlternateContent>
        <mc:AlternateContent xmlns:mc="http://schemas.openxmlformats.org/markup-compatibility/2006">
          <mc:Choice Requires="x14">
            <control shapeId="54365" r:id="rId95" name="btnPrev_F-049">
              <controlPr defaultSize="0" print="0" autoFill="0" autoPict="0" macro="행별_미리보기">
                <anchor moveWithCells="1" sizeWithCells="1">
                  <from>
                    <xdr:col>6</xdr:col>
                    <xdr:colOff>9525</xdr:colOff>
                    <xdr:row>52</xdr:row>
                    <xdr:rowOff>19050</xdr:rowOff>
                  </from>
                  <to>
                    <xdr:col>6</xdr:col>
                    <xdr:colOff>800100</xdr:colOff>
                    <xdr:row>52</xdr:row>
                    <xdr:rowOff>209550</xdr:rowOff>
                  </to>
                </anchor>
              </controlPr>
            </control>
          </mc:Choice>
        </mc:AlternateContent>
        <mc:AlternateContent xmlns:mc="http://schemas.openxmlformats.org/markup-compatibility/2006">
          <mc:Choice Requires="x14">
            <control shapeId="54366" r:id="rId96" name="btnPdf_F-049">
              <controlPr defaultSize="0" print="0" autoFill="0" autoPict="0" macro="행별_PDF저장">
                <anchor moveWithCells="1" sizeWithCells="1">
                  <from>
                    <xdr:col>7</xdr:col>
                    <xdr:colOff>9525</xdr:colOff>
                    <xdr:row>52</xdr:row>
                    <xdr:rowOff>19050</xdr:rowOff>
                  </from>
                  <to>
                    <xdr:col>7</xdr:col>
                    <xdr:colOff>800100</xdr:colOff>
                    <xdr:row>52</xdr:row>
                    <xdr:rowOff>209550</xdr:rowOff>
                  </to>
                </anchor>
              </controlPr>
            </control>
          </mc:Choice>
        </mc:AlternateContent>
        <mc:AlternateContent xmlns:mc="http://schemas.openxmlformats.org/markup-compatibility/2006">
          <mc:Choice Requires="x14">
            <control shapeId="54367" r:id="rId97" name="btnPrev_F-050">
              <controlPr defaultSize="0" print="0" autoFill="0" autoPict="0" macro="행별_미리보기">
                <anchor moveWithCells="1" sizeWithCells="1">
                  <from>
                    <xdr:col>6</xdr:col>
                    <xdr:colOff>9525</xdr:colOff>
                    <xdr:row>53</xdr:row>
                    <xdr:rowOff>19050</xdr:rowOff>
                  </from>
                  <to>
                    <xdr:col>6</xdr:col>
                    <xdr:colOff>800100</xdr:colOff>
                    <xdr:row>53</xdr:row>
                    <xdr:rowOff>209550</xdr:rowOff>
                  </to>
                </anchor>
              </controlPr>
            </control>
          </mc:Choice>
        </mc:AlternateContent>
        <mc:AlternateContent xmlns:mc="http://schemas.openxmlformats.org/markup-compatibility/2006">
          <mc:Choice Requires="x14">
            <control shapeId="54368" r:id="rId98" name="btnPdf_F-050">
              <controlPr defaultSize="0" print="0" autoFill="0" autoPict="0" macro="행별_PDF저장">
                <anchor moveWithCells="1" sizeWithCells="1">
                  <from>
                    <xdr:col>7</xdr:col>
                    <xdr:colOff>9525</xdr:colOff>
                    <xdr:row>53</xdr:row>
                    <xdr:rowOff>19050</xdr:rowOff>
                  </from>
                  <to>
                    <xdr:col>7</xdr:col>
                    <xdr:colOff>800100</xdr:colOff>
                    <xdr:row>53</xdr:row>
                    <xdr:rowOff>209550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27B23-A941-46FC-B74E-7AF3DF925C0E}">
  <sheetPr codeName="Sheet53"/>
  <dimension ref="A1:F1"/>
  <sheetViews>
    <sheetView workbookViewId="0"/>
  </sheetViews>
  <sheetFormatPr defaultRowHeight="16.5" x14ac:dyDescent="0.3"/>
  <sheetData>
    <row r="1" spans="1:6" x14ac:dyDescent="0.3">
      <c r="A1" s="3" t="s">
        <v>99</v>
      </c>
      <c r="B1" s="3" t="s">
        <v>100</v>
      </c>
      <c r="C1" s="3" t="s">
        <v>114</v>
      </c>
      <c r="D1" s="3" t="s">
        <v>115</v>
      </c>
      <c r="E1" s="3" t="s">
        <v>116</v>
      </c>
      <c r="F1" s="3" t="s">
        <v>117</v>
      </c>
    </row>
  </sheetData>
  <sheetProtection sheet="1" objects="1" scenarios="1"/>
  <autoFilter ref="A1:F1" xr:uid="{DE827B23-A941-46FC-B74E-7AF3DF925C0E}"/>
  <phoneticPr fontId="6"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1B6FB-A26F-4E89-8930-4BDD4ACD9DE2}">
  <sheetPr codeName="Sheet54"/>
  <dimension ref="A1:G1"/>
  <sheetViews>
    <sheetView workbookViewId="0"/>
  </sheetViews>
  <sheetFormatPr defaultRowHeight="16.5" x14ac:dyDescent="0.3"/>
  <sheetData>
    <row r="1" spans="1:7" x14ac:dyDescent="0.3">
      <c r="A1" s="3" t="s">
        <v>99</v>
      </c>
      <c r="B1" s="3" t="s">
        <v>100</v>
      </c>
      <c r="C1" s="3" t="s">
        <v>109</v>
      </c>
      <c r="D1" s="3" t="s">
        <v>110</v>
      </c>
      <c r="E1" s="3" t="s">
        <v>111</v>
      </c>
      <c r="F1" s="3" t="s">
        <v>112</v>
      </c>
      <c r="G1" s="3" t="s">
        <v>113</v>
      </c>
    </row>
  </sheetData>
  <sheetProtection sheet="1" objects="1" scenarios="1"/>
  <autoFilter ref="A1:G1" xr:uid="{EE31B6FB-A26F-4E89-8930-4BDD4ACD9DE2}"/>
  <phoneticPr fontId="6"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7B723-8830-4A28-93FD-C15E5E0A2BC4}">
  <sheetPr codeName="Sheet55"/>
  <dimension ref="A1:F1"/>
  <sheetViews>
    <sheetView workbookViewId="0"/>
  </sheetViews>
  <sheetFormatPr defaultRowHeight="16.5" x14ac:dyDescent="0.3"/>
  <sheetData>
    <row r="1" spans="1:6" x14ac:dyDescent="0.3">
      <c r="A1" s="3" t="s">
        <v>99</v>
      </c>
      <c r="B1" s="3" t="s">
        <v>100</v>
      </c>
      <c r="C1" s="3" t="s">
        <v>105</v>
      </c>
      <c r="D1" s="3" t="s">
        <v>106</v>
      </c>
      <c r="E1" s="3" t="s">
        <v>107</v>
      </c>
      <c r="F1" s="3" t="s">
        <v>108</v>
      </c>
    </row>
  </sheetData>
  <sheetProtection sheet="1" objects="1" scenarios="1"/>
  <autoFilter ref="A1:F1" xr:uid="{0E27B723-8830-4A28-93FD-C15E5E0A2BC4}"/>
  <phoneticPr fontId="6" type="noConversion"/>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0701A-DFE4-4E86-81AE-FFFA3B31B7B1}">
  <sheetPr codeName="Sheet56"/>
  <dimension ref="A1:E1"/>
  <sheetViews>
    <sheetView workbookViewId="0"/>
  </sheetViews>
  <sheetFormatPr defaultRowHeight="16.5" x14ac:dyDescent="0.3"/>
  <sheetData>
    <row r="1" spans="1:5" x14ac:dyDescent="0.3">
      <c r="A1" s="3" t="s">
        <v>99</v>
      </c>
      <c r="B1" s="3" t="s">
        <v>100</v>
      </c>
      <c r="C1" s="3" t="s">
        <v>81</v>
      </c>
      <c r="D1" s="3" t="s">
        <v>82</v>
      </c>
      <c r="E1" s="3" t="s">
        <v>83</v>
      </c>
    </row>
  </sheetData>
  <sheetProtection sheet="1" objects="1" scenarios="1"/>
  <autoFilter ref="A1:E1" xr:uid="{DA00701A-DFE4-4E86-81AE-FFFA3B31B7B1}"/>
  <phoneticPr fontId="6" type="noConversion"/>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EA31E-6062-4E38-BC70-8F7B1F4A5DAF}">
  <sheetPr codeName="Sheet57"/>
  <dimension ref="A1:D1"/>
  <sheetViews>
    <sheetView workbookViewId="0"/>
  </sheetViews>
  <sheetFormatPr defaultRowHeight="16.5" x14ac:dyDescent="0.3"/>
  <sheetData>
    <row r="1" spans="1:4" x14ac:dyDescent="0.3">
      <c r="A1" s="3" t="s">
        <v>99</v>
      </c>
      <c r="B1" s="3" t="s">
        <v>100</v>
      </c>
      <c r="C1" s="3" t="s">
        <v>103</v>
      </c>
      <c r="D1" s="3" t="s">
        <v>104</v>
      </c>
    </row>
  </sheetData>
  <sheetProtection sheet="1" objects="1" scenarios="1"/>
  <autoFilter ref="A1:D1" xr:uid="{8FAEA31E-6062-4E38-BC70-8F7B1F4A5DAF}"/>
  <phoneticPr fontId="6" type="noConversion"/>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18F59-FA15-43C6-84B0-8F8290B1AAB1}">
  <sheetPr codeName="Sheet58"/>
  <dimension ref="A1:C1"/>
  <sheetViews>
    <sheetView workbookViewId="0"/>
  </sheetViews>
  <sheetFormatPr defaultRowHeight="16.5" x14ac:dyDescent="0.3"/>
  <sheetData>
    <row r="1" spans="1:3" x14ac:dyDescent="0.3">
      <c r="A1" s="3" t="s">
        <v>99</v>
      </c>
      <c r="B1" s="3" t="s">
        <v>100</v>
      </c>
      <c r="C1" s="3" t="s">
        <v>60</v>
      </c>
    </row>
  </sheetData>
  <sheetProtection sheet="1" objects="1" scenarios="1"/>
  <autoFilter ref="A1:C1" xr:uid="{52518F59-FA15-43C6-84B0-8F8290B1AAB1}"/>
  <phoneticPr fontId="6" type="noConversion"/>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FDC16-47FF-4CC2-8B74-09B04220018A}">
  <sheetPr codeName="Sheet59"/>
  <dimension ref="A1:F1"/>
  <sheetViews>
    <sheetView workbookViewId="0"/>
  </sheetViews>
  <sheetFormatPr defaultRowHeight="16.5" x14ac:dyDescent="0.3"/>
  <sheetData>
    <row r="1" spans="1:6" x14ac:dyDescent="0.3">
      <c r="A1" s="3" t="s">
        <v>99</v>
      </c>
      <c r="B1" s="3" t="s">
        <v>100</v>
      </c>
      <c r="C1" s="3" t="s">
        <v>54</v>
      </c>
      <c r="D1" s="3" t="s">
        <v>55</v>
      </c>
      <c r="E1" s="3" t="s">
        <v>101</v>
      </c>
      <c r="F1" s="3" t="s">
        <v>102</v>
      </c>
    </row>
  </sheetData>
  <sheetProtection sheet="1" objects="1" scenarios="1"/>
  <autoFilter ref="A1:F1" xr:uid="{F83FDC16-47FF-4CC2-8B74-09B04220018A}"/>
  <phoneticPr fontId="6" type="noConversion"/>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A353E-0235-4A9E-B8A9-23336B423705}">
  <sheetPr codeName="Sheet60"/>
  <dimension ref="A1:T1"/>
  <sheetViews>
    <sheetView workbookViewId="0"/>
  </sheetViews>
  <sheetFormatPr defaultRowHeight="16.5" x14ac:dyDescent="0.3"/>
  <sheetData>
    <row r="1" spans="1:20" x14ac:dyDescent="0.3">
      <c r="A1" s="3" t="s">
        <v>86</v>
      </c>
      <c r="B1" s="3" t="s">
        <v>87</v>
      </c>
      <c r="C1" s="3" t="s">
        <v>88</v>
      </c>
      <c r="D1" s="3" t="s">
        <v>19</v>
      </c>
      <c r="E1" s="3" t="s">
        <v>89</v>
      </c>
      <c r="F1" s="3" t="s">
        <v>90</v>
      </c>
      <c r="G1" s="3" t="s">
        <v>25</v>
      </c>
      <c r="H1" s="3" t="s">
        <v>91</v>
      </c>
      <c r="I1" s="3" t="s">
        <v>92</v>
      </c>
      <c r="J1" s="3" t="s">
        <v>93</v>
      </c>
      <c r="K1" s="3" t="s">
        <v>94</v>
      </c>
      <c r="L1" s="3" t="s">
        <v>36</v>
      </c>
      <c r="M1" s="3" t="s">
        <v>38</v>
      </c>
      <c r="N1" s="3" t="s">
        <v>40</v>
      </c>
      <c r="O1" s="3" t="s">
        <v>43</v>
      </c>
      <c r="P1" s="3" t="s">
        <v>95</v>
      </c>
      <c r="Q1" s="3" t="s">
        <v>47</v>
      </c>
      <c r="R1" s="3" t="s">
        <v>96</v>
      </c>
      <c r="S1" s="3" t="s">
        <v>97</v>
      </c>
      <c r="T1" s="3" t="s">
        <v>98</v>
      </c>
    </row>
  </sheetData>
  <sheetProtection sheet="1" objects="1" scenarios="1"/>
  <autoFilter ref="A1:T1" xr:uid="{5DFA353E-0235-4A9E-B8A9-23336B423705}"/>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BD487-AE00-4552-83FF-D28624241AFD}">
  <sheetPr codeName="Sheet61"/>
  <dimension ref="A1:R82"/>
  <sheetViews>
    <sheetView workbookViewId="0"/>
  </sheetViews>
  <sheetFormatPr defaultRowHeight="16.5" x14ac:dyDescent="0.3"/>
  <cols>
    <col min="1" max="1" width="6.625" customWidth="1"/>
    <col min="2" max="3" width="20.625" customWidth="1"/>
    <col min="4" max="4" width="14.625" customWidth="1"/>
    <col min="5" max="6" width="16.625" customWidth="1"/>
    <col min="14" max="15" width="16.625" customWidth="1"/>
    <col min="16" max="16" width="15.625" customWidth="1"/>
    <col min="17" max="17" width="17.625" customWidth="1"/>
    <col min="18" max="18" width="13.625" customWidth="1"/>
  </cols>
  <sheetData>
    <row r="1" spans="1:7" ht="19.5" x14ac:dyDescent="0.3">
      <c r="A1" s="144" t="s">
        <v>13</v>
      </c>
      <c r="B1" s="95"/>
      <c r="C1" s="95"/>
      <c r="D1" s="95"/>
      <c r="E1" s="95"/>
      <c r="F1" s="95"/>
      <c r="G1" s="4" t="s">
        <v>1369</v>
      </c>
    </row>
    <row r="3" spans="1:7" x14ac:dyDescent="0.3">
      <c r="B3" s="3" t="s">
        <v>14</v>
      </c>
    </row>
    <row r="4" spans="1:7" x14ac:dyDescent="0.3">
      <c r="A4" s="5" t="s">
        <v>16</v>
      </c>
      <c r="B4" t="s">
        <v>15</v>
      </c>
      <c r="C4" s="9"/>
    </row>
    <row r="5" spans="1:7" x14ac:dyDescent="0.3">
      <c r="A5" s="5" t="s">
        <v>18</v>
      </c>
      <c r="B5" t="s">
        <v>17</v>
      </c>
      <c r="C5" s="10"/>
    </row>
    <row r="6" spans="1:7" x14ac:dyDescent="0.3">
      <c r="A6" s="5" t="s">
        <v>20</v>
      </c>
      <c r="B6" t="s">
        <v>19</v>
      </c>
      <c r="C6" s="9"/>
    </row>
    <row r="7" spans="1:7" x14ac:dyDescent="0.3">
      <c r="A7" s="5" t="s">
        <v>22</v>
      </c>
      <c r="B7" t="s">
        <v>21</v>
      </c>
      <c r="C7" s="9"/>
    </row>
    <row r="8" spans="1:7" x14ac:dyDescent="0.3">
      <c r="A8" s="5" t="s">
        <v>24</v>
      </c>
      <c r="B8" t="s">
        <v>23</v>
      </c>
      <c r="C8" s="13"/>
    </row>
    <row r="9" spans="1:7" x14ac:dyDescent="0.3">
      <c r="A9" s="5" t="s">
        <v>26</v>
      </c>
      <c r="B9" t="s">
        <v>25</v>
      </c>
      <c r="C9" s="9"/>
    </row>
    <row r="11" spans="1:7" x14ac:dyDescent="0.3">
      <c r="B11" s="3" t="s">
        <v>27</v>
      </c>
    </row>
    <row r="12" spans="1:7" x14ac:dyDescent="0.3">
      <c r="A12" s="5" t="s">
        <v>29</v>
      </c>
      <c r="B12" t="s">
        <v>28</v>
      </c>
      <c r="C12" s="9"/>
    </row>
    <row r="13" spans="1:7" x14ac:dyDescent="0.3">
      <c r="A13" s="5" t="s">
        <v>31</v>
      </c>
      <c r="B13" t="s">
        <v>30</v>
      </c>
      <c r="C13" s="9"/>
    </row>
    <row r="14" spans="1:7" x14ac:dyDescent="0.3">
      <c r="A14" s="5" t="s">
        <v>33</v>
      </c>
      <c r="B14" t="s">
        <v>32</v>
      </c>
      <c r="C14" s="9"/>
    </row>
    <row r="15" spans="1:7" x14ac:dyDescent="0.3">
      <c r="A15" s="5" t="s">
        <v>35</v>
      </c>
      <c r="B15" t="s">
        <v>34</v>
      </c>
      <c r="C15" s="14"/>
    </row>
    <row r="16" spans="1:7" x14ac:dyDescent="0.3">
      <c r="A16" s="5" t="s">
        <v>37</v>
      </c>
      <c r="B16" t="s">
        <v>36</v>
      </c>
      <c r="C16" s="10"/>
    </row>
    <row r="17" spans="1:6" x14ac:dyDescent="0.3">
      <c r="A17" s="5" t="s">
        <v>39</v>
      </c>
      <c r="B17" t="s">
        <v>38</v>
      </c>
      <c r="C17" s="13"/>
    </row>
    <row r="18" spans="1:6" x14ac:dyDescent="0.3">
      <c r="A18" s="5" t="s">
        <v>41</v>
      </c>
      <c r="B18" t="s">
        <v>40</v>
      </c>
      <c r="C18" s="15"/>
    </row>
    <row r="20" spans="1:6" x14ac:dyDescent="0.3">
      <c r="B20" s="3" t="s">
        <v>42</v>
      </c>
    </row>
    <row r="21" spans="1:6" x14ac:dyDescent="0.3">
      <c r="A21" s="5" t="s">
        <v>44</v>
      </c>
      <c r="B21" t="s">
        <v>43</v>
      </c>
      <c r="C21" s="9"/>
    </row>
    <row r="22" spans="1:6" x14ac:dyDescent="0.3">
      <c r="A22" s="5" t="s">
        <v>46</v>
      </c>
      <c r="B22" t="s">
        <v>45</v>
      </c>
      <c r="C22" s="9"/>
    </row>
    <row r="23" spans="1:6" x14ac:dyDescent="0.3">
      <c r="A23" s="5" t="s">
        <v>48</v>
      </c>
      <c r="B23" t="s">
        <v>47</v>
      </c>
      <c r="C23" s="9"/>
    </row>
    <row r="24" spans="1:6" x14ac:dyDescent="0.3">
      <c r="A24" s="5" t="s">
        <v>50</v>
      </c>
      <c r="B24" t="s">
        <v>49</v>
      </c>
      <c r="C24" s="9"/>
    </row>
    <row r="25" spans="1:6" ht="60" customHeight="1" x14ac:dyDescent="0.3">
      <c r="A25" s="5" t="s">
        <v>52</v>
      </c>
      <c r="B25" t="s">
        <v>51</v>
      </c>
      <c r="C25" s="145"/>
      <c r="D25" s="146"/>
      <c r="E25" s="146"/>
      <c r="F25" s="146"/>
    </row>
    <row r="27" spans="1:6" x14ac:dyDescent="0.3">
      <c r="B27" s="3" t="s">
        <v>53</v>
      </c>
    </row>
    <row r="28" spans="1:6" x14ac:dyDescent="0.3">
      <c r="B28" s="3" t="s">
        <v>54</v>
      </c>
      <c r="C28" s="3" t="s">
        <v>55</v>
      </c>
      <c r="D28" s="3" t="s">
        <v>56</v>
      </c>
      <c r="E28" s="3" t="s">
        <v>57</v>
      </c>
    </row>
    <row r="29" spans="1:6" x14ac:dyDescent="0.3">
      <c r="B29" s="9"/>
      <c r="C29" s="9"/>
      <c r="D29" s="14"/>
      <c r="E29" s="7" t="str">
        <f t="shared" ref="E29:E38" si="0">IF(AND(B29&lt;&gt;"",C29&lt;&gt;"",D29&lt;&gt;""),C29*D29,"")</f>
        <v/>
      </c>
    </row>
    <row r="30" spans="1:6" x14ac:dyDescent="0.3">
      <c r="B30" s="9"/>
      <c r="C30" s="9"/>
      <c r="D30" s="14"/>
      <c r="E30" s="7" t="str">
        <f t="shared" si="0"/>
        <v/>
      </c>
    </row>
    <row r="31" spans="1:6" x14ac:dyDescent="0.3">
      <c r="B31" s="9"/>
      <c r="C31" s="9"/>
      <c r="D31" s="14"/>
      <c r="E31" s="7" t="str">
        <f t="shared" si="0"/>
        <v/>
      </c>
    </row>
    <row r="32" spans="1:6" x14ac:dyDescent="0.3">
      <c r="B32" s="9"/>
      <c r="C32" s="9"/>
      <c r="D32" s="14"/>
      <c r="E32" s="7" t="str">
        <f t="shared" si="0"/>
        <v/>
      </c>
    </row>
    <row r="33" spans="2:18" x14ac:dyDescent="0.3">
      <c r="B33" s="9"/>
      <c r="C33" s="9"/>
      <c r="D33" s="14"/>
      <c r="E33" s="7" t="str">
        <f t="shared" si="0"/>
        <v/>
      </c>
    </row>
    <row r="34" spans="2:18" x14ac:dyDescent="0.3">
      <c r="B34" s="9"/>
      <c r="C34" s="9"/>
      <c r="D34" s="14"/>
      <c r="E34" s="7" t="str">
        <f t="shared" si="0"/>
        <v/>
      </c>
    </row>
    <row r="35" spans="2:18" x14ac:dyDescent="0.3">
      <c r="B35" s="9"/>
      <c r="C35" s="9"/>
      <c r="D35" s="14"/>
      <c r="E35" s="7" t="str">
        <f t="shared" si="0"/>
        <v/>
      </c>
    </row>
    <row r="36" spans="2:18" x14ac:dyDescent="0.3">
      <c r="B36" s="9"/>
      <c r="C36" s="9"/>
      <c r="D36" s="14"/>
      <c r="E36" s="7" t="str">
        <f t="shared" si="0"/>
        <v/>
      </c>
    </row>
    <row r="37" spans="2:18" x14ac:dyDescent="0.3">
      <c r="B37" s="9"/>
      <c r="C37" s="9"/>
      <c r="D37" s="14"/>
      <c r="E37" s="7" t="str">
        <f t="shared" si="0"/>
        <v/>
      </c>
    </row>
    <row r="38" spans="2:18" x14ac:dyDescent="0.3">
      <c r="B38" s="9"/>
      <c r="C38" s="9"/>
      <c r="D38" s="14"/>
      <c r="E38" s="7" t="str">
        <f t="shared" si="0"/>
        <v/>
      </c>
    </row>
    <row r="39" spans="2:18" x14ac:dyDescent="0.3">
      <c r="B39" s="3" t="s">
        <v>58</v>
      </c>
      <c r="E39" s="8">
        <f>SUM(E29:E38)</f>
        <v>0</v>
      </c>
    </row>
    <row r="42" spans="2:18" x14ac:dyDescent="0.3">
      <c r="B42" s="3" t="s">
        <v>59</v>
      </c>
    </row>
    <row r="43" spans="2:18" x14ac:dyDescent="0.3">
      <c r="B43" s="3" t="s">
        <v>60</v>
      </c>
      <c r="C43" s="3" t="s">
        <v>61</v>
      </c>
      <c r="D43" s="3" t="s">
        <v>62</v>
      </c>
      <c r="E43" s="3" t="s">
        <v>63</v>
      </c>
      <c r="F43" s="3" t="s">
        <v>64</v>
      </c>
      <c r="G43" s="3" t="s">
        <v>65</v>
      </c>
      <c r="H43" s="3" t="s">
        <v>66</v>
      </c>
      <c r="I43" s="3" t="s">
        <v>67</v>
      </c>
      <c r="J43" s="3" t="s">
        <v>68</v>
      </c>
      <c r="K43" s="3" t="s">
        <v>69</v>
      </c>
      <c r="L43" s="3" t="s">
        <v>70</v>
      </c>
      <c r="M43" s="3" t="s">
        <v>71</v>
      </c>
      <c r="N43" s="3" t="s">
        <v>72</v>
      </c>
      <c r="O43" s="3" t="s">
        <v>73</v>
      </c>
      <c r="P43" s="3" t="s">
        <v>74</v>
      </c>
      <c r="Q43" s="3" t="s">
        <v>75</v>
      </c>
      <c r="R43" s="3" t="s">
        <v>76</v>
      </c>
    </row>
    <row r="44" spans="2:18" x14ac:dyDescent="0.3">
      <c r="B44" s="9"/>
      <c r="C44" s="6"/>
      <c r="G44" t="str">
        <f t="shared" ref="G44:G53" si="1">IF(B44="","",IF(AND(ISNUMBER(C44),ISNUMBER(D44),ISNUMBER(E44),ISNUMBER(F44),C44&gt;=0,C44&lt;=10,D44&gt;=0,D44&lt;=10,E44&gt;=0,E44&lt;=15,F44&gt;=0,F44&lt;=15),"정상","점수 확인"))</f>
        <v/>
      </c>
      <c r="H44" s="10"/>
      <c r="M44" t="str">
        <f t="shared" ref="M44:M53" si="2">IF(B44="","",IF(AND(ISNUMBER(H44),ISNUMBER(I44),ISNUMBER(J44),ISNUMBER(K44),ISNUMBER(L44),H44&gt;=0,H44&lt;=15,I44&gt;=0,I44&lt;=10,J44&gt;=0,J44&lt;=15,K44&gt;=0,K44&lt;=10,L44&gt;=-15,L44&lt;=5),"정상","점수 확인"))</f>
        <v/>
      </c>
      <c r="N44" s="10"/>
      <c r="R44" t="str">
        <f t="shared" ref="R44:R53" si="3">IF(B44="","",IF(AND(ISNUMBER(N44),ISNUMBER(O44),ISNUMBER(P44),ISNUMBER(Q44),N44&gt;=0,N44&lt;=10,O44&gt;=0,O44&lt;=10,P44&gt;=0,P44&lt;=15,Q44&gt;=0,Q44&lt;=15),"정상","점수 확인"))</f>
        <v/>
      </c>
    </row>
    <row r="45" spans="2:18" x14ac:dyDescent="0.3">
      <c r="B45" s="9"/>
      <c r="C45" s="6"/>
      <c r="G45" t="str">
        <f t="shared" si="1"/>
        <v/>
      </c>
      <c r="H45" s="10"/>
      <c r="M45" t="str">
        <f t="shared" si="2"/>
        <v/>
      </c>
      <c r="N45" s="10"/>
      <c r="R45" t="str">
        <f t="shared" si="3"/>
        <v/>
      </c>
    </row>
    <row r="46" spans="2:18" x14ac:dyDescent="0.3">
      <c r="B46" s="9"/>
      <c r="C46" s="6"/>
      <c r="G46" t="str">
        <f t="shared" si="1"/>
        <v/>
      </c>
      <c r="H46" s="10"/>
      <c r="M46" t="str">
        <f t="shared" si="2"/>
        <v/>
      </c>
      <c r="N46" s="10"/>
      <c r="R46" t="str">
        <f t="shared" si="3"/>
        <v/>
      </c>
    </row>
    <row r="47" spans="2:18" x14ac:dyDescent="0.3">
      <c r="B47" s="9"/>
      <c r="C47" s="6"/>
      <c r="G47" t="str">
        <f t="shared" si="1"/>
        <v/>
      </c>
      <c r="H47" s="10"/>
      <c r="M47" t="str">
        <f t="shared" si="2"/>
        <v/>
      </c>
      <c r="N47" s="10"/>
      <c r="R47" t="str">
        <f t="shared" si="3"/>
        <v/>
      </c>
    </row>
    <row r="48" spans="2:18" x14ac:dyDescent="0.3">
      <c r="B48" s="9"/>
      <c r="C48" s="6"/>
      <c r="G48" t="str">
        <f t="shared" si="1"/>
        <v/>
      </c>
      <c r="H48" s="10"/>
      <c r="M48" t="str">
        <f t="shared" si="2"/>
        <v/>
      </c>
      <c r="N48" s="10"/>
      <c r="R48" t="str">
        <f t="shared" si="3"/>
        <v/>
      </c>
    </row>
    <row r="49" spans="2:18" x14ac:dyDescent="0.3">
      <c r="B49" s="9"/>
      <c r="C49" s="6"/>
      <c r="G49" t="str">
        <f t="shared" si="1"/>
        <v/>
      </c>
      <c r="H49" s="10"/>
      <c r="M49" t="str">
        <f t="shared" si="2"/>
        <v/>
      </c>
      <c r="N49" s="10"/>
      <c r="R49" t="str">
        <f t="shared" si="3"/>
        <v/>
      </c>
    </row>
    <row r="50" spans="2:18" x14ac:dyDescent="0.3">
      <c r="B50" s="9"/>
      <c r="C50" s="6"/>
      <c r="G50" t="str">
        <f t="shared" si="1"/>
        <v/>
      </c>
      <c r="H50" s="10"/>
      <c r="M50" t="str">
        <f t="shared" si="2"/>
        <v/>
      </c>
      <c r="N50" s="10"/>
      <c r="R50" t="str">
        <f t="shared" si="3"/>
        <v/>
      </c>
    </row>
    <row r="51" spans="2:18" x14ac:dyDescent="0.3">
      <c r="B51" s="9"/>
      <c r="C51" s="6"/>
      <c r="G51" t="str">
        <f t="shared" si="1"/>
        <v/>
      </c>
      <c r="H51" s="10"/>
      <c r="M51" t="str">
        <f t="shared" si="2"/>
        <v/>
      </c>
      <c r="N51" s="10"/>
      <c r="R51" t="str">
        <f t="shared" si="3"/>
        <v/>
      </c>
    </row>
    <row r="52" spans="2:18" x14ac:dyDescent="0.3">
      <c r="B52" s="9"/>
      <c r="C52" s="6"/>
      <c r="G52" t="str">
        <f t="shared" si="1"/>
        <v/>
      </c>
      <c r="H52" s="10"/>
      <c r="M52" t="str">
        <f t="shared" si="2"/>
        <v/>
      </c>
      <c r="N52" s="10"/>
      <c r="R52" t="str">
        <f t="shared" si="3"/>
        <v/>
      </c>
    </row>
    <row r="53" spans="2:18" x14ac:dyDescent="0.3">
      <c r="B53" s="9"/>
      <c r="C53" s="6"/>
      <c r="G53" t="str">
        <f t="shared" si="1"/>
        <v/>
      </c>
      <c r="H53" s="10"/>
      <c r="M53" t="str">
        <f t="shared" si="2"/>
        <v/>
      </c>
      <c r="N53" s="10"/>
      <c r="R53" t="str">
        <f t="shared" si="3"/>
        <v/>
      </c>
    </row>
    <row r="56" spans="2:18" x14ac:dyDescent="0.3">
      <c r="B56" s="3" t="s">
        <v>77</v>
      </c>
    </row>
    <row r="57" spans="2:18" x14ac:dyDescent="0.3">
      <c r="B57" s="3" t="s">
        <v>78</v>
      </c>
      <c r="C57" s="3" t="s">
        <v>79</v>
      </c>
    </row>
    <row r="58" spans="2:18" x14ac:dyDescent="0.3">
      <c r="B58" s="9"/>
    </row>
    <row r="59" spans="2:18" x14ac:dyDescent="0.3">
      <c r="B59" s="9"/>
    </row>
    <row r="60" spans="2:18" x14ac:dyDescent="0.3">
      <c r="B60" s="9"/>
    </row>
    <row r="61" spans="2:18" x14ac:dyDescent="0.3">
      <c r="B61" s="9"/>
    </row>
    <row r="62" spans="2:18" x14ac:dyDescent="0.3">
      <c r="B62" s="9"/>
    </row>
    <row r="63" spans="2:18" x14ac:dyDescent="0.3">
      <c r="B63" s="9"/>
    </row>
    <row r="64" spans="2:18" x14ac:dyDescent="0.3">
      <c r="B64" s="9"/>
    </row>
    <row r="65" spans="2:5" x14ac:dyDescent="0.3">
      <c r="B65" s="9"/>
    </row>
    <row r="66" spans="2:5" x14ac:dyDescent="0.3">
      <c r="B66" s="9"/>
    </row>
    <row r="67" spans="2:5" x14ac:dyDescent="0.3">
      <c r="B67" s="9"/>
    </row>
    <row r="70" spans="2:5" x14ac:dyDescent="0.3">
      <c r="B70" s="3" t="s">
        <v>80</v>
      </c>
    </row>
    <row r="71" spans="2:5" x14ac:dyDescent="0.3">
      <c r="B71" s="3" t="s">
        <v>81</v>
      </c>
      <c r="C71" s="3" t="s">
        <v>82</v>
      </c>
      <c r="D71" s="3" t="s">
        <v>83</v>
      </c>
      <c r="E71" s="3" t="s">
        <v>84</v>
      </c>
    </row>
    <row r="72" spans="2:5" x14ac:dyDescent="0.3">
      <c r="B72" s="9"/>
      <c r="C72" s="11"/>
      <c r="E72" t="str">
        <f t="shared" ref="E72:E81" si="4">IF(AND(B72&lt;&gt;"",C72&lt;&gt;"",D72&lt;&gt;""),IF(AND(ISNUMBER(C72),ISNUMBER(D72),C72&gt;=0,D72&gt;=0,D72&lt;=C72),"정상","점수/배점 확인"),"")</f>
        <v/>
      </c>
    </row>
    <row r="73" spans="2:5" x14ac:dyDescent="0.3">
      <c r="B73" s="9"/>
      <c r="C73" s="11"/>
      <c r="E73" t="str">
        <f t="shared" si="4"/>
        <v/>
      </c>
    </row>
    <row r="74" spans="2:5" x14ac:dyDescent="0.3">
      <c r="B74" s="9"/>
      <c r="C74" s="11"/>
      <c r="E74" t="str">
        <f t="shared" si="4"/>
        <v/>
      </c>
    </row>
    <row r="75" spans="2:5" x14ac:dyDescent="0.3">
      <c r="B75" s="9"/>
      <c r="C75" s="11"/>
      <c r="E75" t="str">
        <f t="shared" si="4"/>
        <v/>
      </c>
    </row>
    <row r="76" spans="2:5" x14ac:dyDescent="0.3">
      <c r="B76" s="9"/>
      <c r="C76" s="11"/>
      <c r="E76" t="str">
        <f t="shared" si="4"/>
        <v/>
      </c>
    </row>
    <row r="77" spans="2:5" x14ac:dyDescent="0.3">
      <c r="B77" s="9"/>
      <c r="C77" s="11"/>
      <c r="E77" t="str">
        <f t="shared" si="4"/>
        <v/>
      </c>
    </row>
    <row r="78" spans="2:5" x14ac:dyDescent="0.3">
      <c r="B78" s="9"/>
      <c r="C78" s="11"/>
      <c r="E78" t="str">
        <f t="shared" si="4"/>
        <v/>
      </c>
    </row>
    <row r="79" spans="2:5" x14ac:dyDescent="0.3">
      <c r="B79" s="9"/>
      <c r="C79" s="11"/>
      <c r="E79" t="str">
        <f t="shared" si="4"/>
        <v/>
      </c>
    </row>
    <row r="80" spans="2:5" x14ac:dyDescent="0.3">
      <c r="B80" s="9"/>
      <c r="C80" s="11"/>
      <c r="E80" t="str">
        <f t="shared" si="4"/>
        <v/>
      </c>
    </row>
    <row r="81" spans="2:5" x14ac:dyDescent="0.3">
      <c r="B81" s="9"/>
      <c r="C81" s="11"/>
      <c r="E81" t="str">
        <f t="shared" si="4"/>
        <v/>
      </c>
    </row>
    <row r="82" spans="2:5" x14ac:dyDescent="0.3">
      <c r="B82" s="3" t="s">
        <v>85</v>
      </c>
      <c r="D82" s="12">
        <f>SUM(D72:D81)</f>
        <v>0</v>
      </c>
    </row>
  </sheetData>
  <mergeCells count="2">
    <mergeCell ref="A1:F1"/>
    <mergeCell ref="C25:F25"/>
  </mergeCells>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tn초기화">
              <controlPr defaultSize="0" print="0" autoFill="0" autoPict="0" macro="초기화">
                <anchor moveWithCells="1" sizeWithCells="1">
                  <from>
                    <xdr:col>5</xdr:col>
                    <xdr:colOff>571500</xdr:colOff>
                    <xdr:row>0</xdr:row>
                    <xdr:rowOff>123825</xdr:rowOff>
                  </from>
                  <to>
                    <xdr:col>6</xdr:col>
                    <xdr:colOff>323850</xdr:colOff>
                    <xdr:row>1</xdr:row>
                    <xdr:rowOff>180975</xdr:rowOff>
                  </to>
                </anchor>
              </controlPr>
            </control>
          </mc:Choice>
        </mc:AlternateContent>
        <mc:AlternateContent xmlns:mc="http://schemas.openxmlformats.org/markup-compatibility/2006">
          <mc:Choice Requires="x14">
            <control shapeId="63490" r:id="rId5" name="btn저장하기">
              <controlPr defaultSize="0" print="0" autoFill="0" autoPict="0" macro="저장하기">
                <anchor moveWithCells="1" sizeWithCells="1">
                  <from>
                    <xdr:col>6</xdr:col>
                    <xdr:colOff>447675</xdr:colOff>
                    <xdr:row>0</xdr:row>
                    <xdr:rowOff>123825</xdr:rowOff>
                  </from>
                  <to>
                    <xdr:col>8</xdr:col>
                    <xdr:colOff>95250</xdr:colOff>
                    <xdr:row>1</xdr:row>
                    <xdr:rowOff>180975</xdr:rowOff>
                  </to>
                </anchor>
              </controlPr>
            </control>
          </mc:Choice>
        </mc:AlternateContent>
        <mc:AlternateContent xmlns:mc="http://schemas.openxmlformats.org/markup-compatibility/2006">
          <mc:Choice Requires="x14">
            <control shapeId="63491" r:id="rId6" name="btn수정하기">
              <controlPr defaultSize="0" print="0" autoFill="0" autoPict="0" macro="수정하기">
                <anchor moveWithCells="1" sizeWithCells="1">
                  <from>
                    <xdr:col>8</xdr:col>
                    <xdr:colOff>219075</xdr:colOff>
                    <xdr:row>0</xdr:row>
                    <xdr:rowOff>123825</xdr:rowOff>
                  </from>
                  <to>
                    <xdr:col>9</xdr:col>
                    <xdr:colOff>552450</xdr:colOff>
                    <xdr:row>1</xdr:row>
                    <xdr:rowOff>180975</xdr:rowOff>
                  </to>
                </anchor>
              </controlPr>
            </control>
          </mc:Choice>
        </mc:AlternateContent>
        <mc:AlternateContent xmlns:mc="http://schemas.openxmlformats.org/markup-compatibility/2006">
          <mc:Choice Requires="x14">
            <control shapeId="63492" r:id="rId7" name="btn불러오기">
              <controlPr defaultSize="0" print="0" autoFill="0" autoPict="0" macro="불러오기">
                <anchor moveWithCells="1" sizeWithCells="1">
                  <from>
                    <xdr:col>9</xdr:col>
                    <xdr:colOff>676275</xdr:colOff>
                    <xdr:row>0</xdr:row>
                    <xdr:rowOff>123825</xdr:rowOff>
                  </from>
                  <to>
                    <xdr:col>11</xdr:col>
                    <xdr:colOff>323850</xdr:colOff>
                    <xdr:row>1</xdr:row>
                    <xdr:rowOff>180975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D93E1-EA19-469E-80CF-AA75CB376409}">
  <sheetPr codeName="Sheet62"/>
  <dimension ref="A1:A14"/>
  <sheetViews>
    <sheetView tabSelected="1" workbookViewId="0"/>
  </sheetViews>
  <sheetFormatPr defaultRowHeight="16.5" x14ac:dyDescent="0.3"/>
  <cols>
    <col min="1" max="1" width="110.625" customWidth="1"/>
  </cols>
  <sheetData>
    <row r="1" spans="1:1" ht="20.25" x14ac:dyDescent="0.3">
      <c r="A1" s="1" t="s">
        <v>0</v>
      </c>
    </row>
    <row r="3" spans="1:1" x14ac:dyDescent="0.3">
      <c r="A3" s="2" t="s">
        <v>1</v>
      </c>
    </row>
    <row r="4" spans="1:1" x14ac:dyDescent="0.3">
      <c r="A4" s="2" t="s">
        <v>2</v>
      </c>
    </row>
    <row r="5" spans="1:1" x14ac:dyDescent="0.3">
      <c r="A5" s="2" t="s">
        <v>3</v>
      </c>
    </row>
    <row r="6" spans="1:1" x14ac:dyDescent="0.3">
      <c r="A6" s="2" t="s">
        <v>4</v>
      </c>
    </row>
    <row r="7" spans="1:1" x14ac:dyDescent="0.3">
      <c r="A7" s="2" t="s">
        <v>5</v>
      </c>
    </row>
    <row r="8" spans="1:1" x14ac:dyDescent="0.3">
      <c r="A8" s="2" t="s">
        <v>6</v>
      </c>
    </row>
    <row r="9" spans="1:1" x14ac:dyDescent="0.3">
      <c r="A9" s="2" t="s">
        <v>7</v>
      </c>
    </row>
    <row r="10" spans="1:1" x14ac:dyDescent="0.3">
      <c r="A10" s="2" t="s">
        <v>8</v>
      </c>
    </row>
    <row r="11" spans="1:1" x14ac:dyDescent="0.3">
      <c r="A11" s="2" t="s">
        <v>9</v>
      </c>
    </row>
    <row r="12" spans="1:1" x14ac:dyDescent="0.3">
      <c r="A12" s="2" t="s">
        <v>10</v>
      </c>
    </row>
    <row r="13" spans="1:1" x14ac:dyDescent="0.3">
      <c r="A13" s="2" t="s">
        <v>11</v>
      </c>
    </row>
    <row r="14" spans="1:1" x14ac:dyDescent="0.3">
      <c r="A14" s="2" t="s">
        <v>12</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47</vt:i4>
      </vt:variant>
    </vt:vector>
  </HeadingPairs>
  <TitlesOfParts>
    <vt:vector size="102" baseType="lpstr">
      <vt:lpstr>계약방법안내</vt:lpstr>
      <vt:lpstr>절차안내</vt:lpstr>
      <vt:lpstr>학교검색</vt:lpstr>
      <vt:lpstr>학교정보</vt:lpstr>
      <vt:lpstr>F-040_위원청렴보안서약서</vt:lpstr>
      <vt:lpstr>F-039_업체별제안서평가표</vt:lpstr>
      <vt:lpstr>F-038_업체참가등록부</vt:lpstr>
      <vt:lpstr>F-037_평가위원회참석등록부</vt:lpstr>
      <vt:lpstr>F-036_제안서평가결과</vt:lpstr>
      <vt:lpstr>F-035_정량평가결과</vt:lpstr>
      <vt:lpstr>F-034_평가위원회개최</vt:lpstr>
      <vt:lpstr>F-033_제안서접수대장</vt:lpstr>
      <vt:lpstr>F-032_제안서접수결과</vt:lpstr>
      <vt:lpstr>F-031_교복품목별금액표</vt:lpstr>
      <vt:lpstr>F-030_청렴계약이행서약서</vt:lpstr>
      <vt:lpstr>F-029_개인정보제공동의서</vt:lpstr>
      <vt:lpstr>F-027_위임장</vt:lpstr>
      <vt:lpstr>F-050_만족도조사설문지</vt:lpstr>
      <vt:lpstr>F-049_만족도설문조사실시</vt:lpstr>
      <vt:lpstr>F-047_수요조사가정통신문</vt:lpstr>
      <vt:lpstr>F-048_교복구매안내신청수량파악</vt:lpstr>
      <vt:lpstr>F-046_수요조사가정통신문안내</vt:lpstr>
      <vt:lpstr>F-045_사전안내가정통신문</vt:lpstr>
      <vt:lpstr>F-044_사전안내가정통신문안내</vt:lpstr>
      <vt:lpstr>F-043_계약체결</vt:lpstr>
      <vt:lpstr>F-042_낙찰자결정통보</vt:lpstr>
      <vt:lpstr>F-041_낙찰자결정</vt:lpstr>
      <vt:lpstr>F-008_교복사양서</vt:lpstr>
      <vt:lpstr>F-012_계약특수조건</vt:lpstr>
      <vt:lpstr>F-011_입찰공고</vt:lpstr>
      <vt:lpstr>F-010_사전규격공개기안문</vt:lpstr>
      <vt:lpstr>F-009_기초금액계약방법결정</vt:lpstr>
      <vt:lpstr>F-006_운영위원회심의안</vt:lpstr>
      <vt:lpstr>F-005_구매추진계획안</vt:lpstr>
      <vt:lpstr>F-004_구매추진계획수립기안문</vt:lpstr>
      <vt:lpstr>F-003_위원청렴보안서약서</vt:lpstr>
      <vt:lpstr>F-002_위원수락확인서</vt:lpstr>
      <vt:lpstr>F-001_위원회구성기안</vt:lpstr>
      <vt:lpstr>F-025_교복AS계획서</vt:lpstr>
      <vt:lpstr>F-023_교복제조사양서</vt:lpstr>
      <vt:lpstr>F-022_교복납품실적표</vt:lpstr>
      <vt:lpstr>F-021_교복납품제안서</vt:lpstr>
      <vt:lpstr>F-020_입찰참가신고서</vt:lpstr>
      <vt:lpstr>F-019_입찰참가신청서</vt:lpstr>
      <vt:lpstr>F-018_정량적평가자기평점표</vt:lpstr>
      <vt:lpstr>F-017_제출서류자기확인서</vt:lpstr>
      <vt:lpstr>F-016_정성적평가</vt:lpstr>
      <vt:lpstr>F-015_정량적평가</vt:lpstr>
      <vt:lpstr>F-014_평가항목배점기준</vt:lpstr>
      <vt:lpstr>F-024_단가비율표</vt:lpstr>
      <vt:lpstr>F-007_구매요청기안문</vt:lpstr>
      <vt:lpstr>서식선택_출력</vt:lpstr>
      <vt:lpstr>DB</vt:lpstr>
      <vt:lpstr>기초자료입력</vt:lpstr>
      <vt:lpstr>사용설명서</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dcterms:created xsi:type="dcterms:W3CDTF">2026-09-21T02:16:45Z</dcterms:created>
  <dcterms:modified xsi:type="dcterms:W3CDTF">2026-09-21T02:19:56Z</dcterms:modified>
</cp:coreProperties>
</file>