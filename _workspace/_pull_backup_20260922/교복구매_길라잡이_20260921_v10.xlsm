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drawings/drawing2.xml" ContentType="application/vnd.openxmlformats-officedocument.drawing+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drawings/drawing3.xml" ContentType="application/vnd.openxmlformats-officedocument.drawing+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drawings/drawing4.xml" ContentType="application/vnd.openxmlformats-officedocument.drawing+xml"/>
  <Override PartName="/xl/ctrlProps/ctrlProp209.xml" ContentType="application/vnd.ms-excel.controlproperties+xml"/>
  <Override PartName="/xl/drawings/drawing5.xml" ContentType="application/vnd.openxmlformats-officedocument.drawing+xml"/>
  <Override PartName="/xl/ctrlProps/ctrlProp210.xml" ContentType="application/vnd.ms-excel.controlproperties+xml"/>
  <Override PartName="/xl/ctrlProps/ctrlProp211.xml" ContentType="application/vnd.ms-excel.controlproperties+xml"/>
  <Override PartName="/xl/drawings/drawing6.xml" ContentType="application/vnd.openxmlformats-officedocument.drawing+xml"/>
  <Override PartName="/xl/ctrlProps/ctrlProp212.xml" ContentType="application/vnd.ms-excel.controlproperties+xml"/>
  <Override PartName="/xl/ctrlProps/ctrlProp213.xml" ContentType="application/vnd.ms-excel.controlproperties+xml"/>
  <Override PartName="/xl/drawings/drawing7.xml" ContentType="application/vnd.openxmlformats-officedocument.drawing+xml"/>
  <Override PartName="/xl/ctrlProps/ctrlProp214.xml" ContentType="application/vnd.ms-excel.controlproperties+xml"/>
  <Override PartName="/xl/ctrlProps/ctrlProp215.xml" ContentType="application/vnd.ms-excel.controlproperties+xml"/>
  <Override PartName="/xl/drawings/drawing8.xml" ContentType="application/vnd.openxmlformats-officedocument.drawing+xml"/>
  <Override PartName="/xl/ctrlProps/ctrlProp216.xml" ContentType="application/vnd.ms-excel.controlproperties+xml"/>
  <Override PartName="/xl/ctrlProps/ctrlProp217.xml" ContentType="application/vnd.ms-excel.controlproperties+xml"/>
  <Override PartName="/xl/drawings/drawing9.xml" ContentType="application/vnd.openxmlformats-officedocument.drawing+xml"/>
  <Override PartName="/xl/ctrlProps/ctrlProp218.xml" ContentType="application/vnd.ms-excel.controlproperties+xml"/>
  <Override PartName="/xl/ctrlProps/ctrlProp219.xml" ContentType="application/vnd.ms-excel.controlproperties+xml"/>
  <Override PartName="/xl/drawings/drawing10.xml" ContentType="application/vnd.openxmlformats-officedocument.drawing+xml"/>
  <Override PartName="/xl/ctrlProps/ctrlProp220.xml" ContentType="application/vnd.ms-excel.controlproperties+xml"/>
  <Override PartName="/xl/ctrlProps/ctrlProp221.xml" ContentType="application/vnd.ms-excel.controlproperties+xml"/>
  <Override PartName="/xl/drawings/drawing11.xml" ContentType="application/vnd.openxmlformats-officedocument.drawing+xml"/>
  <Override PartName="/xl/ctrlProps/ctrlProp222.xml" ContentType="application/vnd.ms-excel.controlproperties+xml"/>
  <Override PartName="/xl/ctrlProps/ctrlProp223.xml" ContentType="application/vnd.ms-excel.controlproperties+xml"/>
  <Override PartName="/xl/drawings/drawing12.xml" ContentType="application/vnd.openxmlformats-officedocument.drawing+xml"/>
  <Override PartName="/xl/ctrlProps/ctrlProp224.xml" ContentType="application/vnd.ms-excel.controlproperties+xml"/>
  <Override PartName="/xl/ctrlProps/ctrlProp225.xml" ContentType="application/vnd.ms-excel.controlproperties+xml"/>
  <Override PartName="/xl/drawings/drawing13.xml" ContentType="application/vnd.openxmlformats-officedocument.drawing+xml"/>
  <Override PartName="/xl/ctrlProps/ctrlProp226.xml" ContentType="application/vnd.ms-excel.controlproperties+xml"/>
  <Override PartName="/xl/ctrlProps/ctrlProp227.xml" ContentType="application/vnd.ms-excel.controlproperties+xml"/>
  <Override PartName="/xl/drawings/drawing14.xml" ContentType="application/vnd.openxmlformats-officedocument.drawing+xml"/>
  <Override PartName="/xl/ctrlProps/ctrlProp228.xml" ContentType="application/vnd.ms-excel.controlproperties+xml"/>
  <Override PartName="/xl/ctrlProps/ctrlProp229.xml" ContentType="application/vnd.ms-excel.controlproperties+xml"/>
  <Override PartName="/xl/drawings/drawing15.xml" ContentType="application/vnd.openxmlformats-officedocument.drawing+xml"/>
  <Override PartName="/xl/ctrlProps/ctrlProp230.xml" ContentType="application/vnd.ms-excel.controlproperties+xml"/>
  <Override PartName="/xl/ctrlProps/ctrlProp231.xml" ContentType="application/vnd.ms-excel.controlproperties+xml"/>
  <Override PartName="/xl/drawings/drawing16.xml" ContentType="application/vnd.openxmlformats-officedocument.drawing+xml"/>
  <Override PartName="/xl/ctrlProps/ctrlProp232.xml" ContentType="application/vnd.ms-excel.controlproperties+xml"/>
  <Override PartName="/xl/ctrlProps/ctrlProp233.xml" ContentType="application/vnd.ms-excel.controlproperties+xml"/>
  <Override PartName="/xl/drawings/drawing17.xml" ContentType="application/vnd.openxmlformats-officedocument.drawing+xml"/>
  <Override PartName="/xl/ctrlProps/ctrlProp234.xml" ContentType="application/vnd.ms-excel.controlproperties+xml"/>
  <Override PartName="/xl/ctrlProps/ctrlProp235.xml" ContentType="application/vnd.ms-excel.controlproperties+xml"/>
  <Override PartName="/xl/drawings/drawing18.xml" ContentType="application/vnd.openxmlformats-officedocument.drawing+xml"/>
  <Override PartName="/xl/ctrlProps/ctrlProp236.xml" ContentType="application/vnd.ms-excel.controlproperties+xml"/>
  <Override PartName="/xl/ctrlProps/ctrlProp237.xml" ContentType="application/vnd.ms-excel.controlproperties+xml"/>
  <Override PartName="/xl/drawings/drawing19.xml" ContentType="application/vnd.openxmlformats-officedocument.drawing+xml"/>
  <Override PartName="/xl/ctrlProps/ctrlProp238.xml" ContentType="application/vnd.ms-excel.controlproperties+xml"/>
  <Override PartName="/xl/ctrlProps/ctrlProp239.xml" ContentType="application/vnd.ms-excel.controlproperties+xml"/>
  <Override PartName="/xl/drawings/drawing20.xml" ContentType="application/vnd.openxmlformats-officedocument.drawing+xml"/>
  <Override PartName="/xl/ctrlProps/ctrlProp240.xml" ContentType="application/vnd.ms-excel.controlproperties+xml"/>
  <Override PartName="/xl/ctrlProps/ctrlProp241.xml" ContentType="application/vnd.ms-excel.controlproperties+xml"/>
  <Override PartName="/xl/drawings/drawing21.xml" ContentType="application/vnd.openxmlformats-officedocument.drawing+xml"/>
  <Override PartName="/xl/ctrlProps/ctrlProp242.xml" ContentType="application/vnd.ms-excel.controlproperties+xml"/>
  <Override PartName="/xl/ctrlProps/ctrlProp243.xml" ContentType="application/vnd.ms-excel.controlproperties+xml"/>
  <Override PartName="/xl/drawings/drawing22.xml" ContentType="application/vnd.openxmlformats-officedocument.drawing+xml"/>
  <Override PartName="/xl/ctrlProps/ctrlProp244.xml" ContentType="application/vnd.ms-excel.controlproperties+xml"/>
  <Override PartName="/xl/ctrlProps/ctrlProp245.xml" ContentType="application/vnd.ms-excel.controlproperties+xml"/>
  <Override PartName="/xl/drawings/drawing23.xml" ContentType="application/vnd.openxmlformats-officedocument.drawing+xml"/>
  <Override PartName="/xl/ctrlProps/ctrlProp246.xml" ContentType="application/vnd.ms-excel.controlproperties+xml"/>
  <Override PartName="/xl/ctrlProps/ctrlProp247.xml" ContentType="application/vnd.ms-excel.controlproperties+xml"/>
  <Override PartName="/xl/drawings/drawing24.xml" ContentType="application/vnd.openxmlformats-officedocument.drawing+xml"/>
  <Override PartName="/xl/ctrlProps/ctrlProp248.xml" ContentType="application/vnd.ms-excel.controlproperties+xml"/>
  <Override PartName="/xl/ctrlProps/ctrlProp249.xml" ContentType="application/vnd.ms-excel.controlproperties+xml"/>
  <Override PartName="/xl/drawings/drawing25.xml" ContentType="application/vnd.openxmlformats-officedocument.drawing+xml"/>
  <Override PartName="/xl/ctrlProps/ctrlProp250.xml" ContentType="application/vnd.ms-excel.controlproperties+xml"/>
  <Override PartName="/xl/ctrlProps/ctrlProp251.xml" ContentType="application/vnd.ms-excel.controlproperties+xml"/>
  <Override PartName="/xl/drawings/drawing26.xml" ContentType="application/vnd.openxmlformats-officedocument.drawing+xml"/>
  <Override PartName="/xl/ctrlProps/ctrlProp252.xml" ContentType="application/vnd.ms-excel.controlproperties+xml"/>
  <Override PartName="/xl/ctrlProps/ctrlProp253.xml" ContentType="application/vnd.ms-excel.controlproperties+xml"/>
  <Override PartName="/xl/drawings/drawing27.xml" ContentType="application/vnd.openxmlformats-officedocument.drawing+xml"/>
  <Override PartName="/xl/ctrlProps/ctrlProp254.xml" ContentType="application/vnd.ms-excel.controlproperties+xml"/>
  <Override PartName="/xl/ctrlProps/ctrlProp255.xml" ContentType="application/vnd.ms-excel.controlproperties+xml"/>
  <Override PartName="/xl/drawings/drawing28.xml" ContentType="application/vnd.openxmlformats-officedocument.drawing+xml"/>
  <Override PartName="/xl/ctrlProps/ctrlProp256.xml" ContentType="application/vnd.ms-excel.controlproperties+xml"/>
  <Override PartName="/xl/ctrlProps/ctrlProp257.xml" ContentType="application/vnd.ms-excel.controlproperties+xml"/>
  <Override PartName="/xl/drawings/drawing29.xml" ContentType="application/vnd.openxmlformats-officedocument.drawing+xml"/>
  <Override PartName="/xl/ctrlProps/ctrlProp258.xml" ContentType="application/vnd.ms-excel.controlproperties+xml"/>
  <Override PartName="/xl/ctrlProps/ctrlProp259.xml" ContentType="application/vnd.ms-excel.controlproperties+xml"/>
  <Override PartName="/xl/drawings/drawing30.xml" ContentType="application/vnd.openxmlformats-officedocument.drawing+xml"/>
  <Override PartName="/xl/ctrlProps/ctrlProp260.xml" ContentType="application/vnd.ms-excel.controlproperties+xml"/>
  <Override PartName="/xl/ctrlProps/ctrlProp261.xml" ContentType="application/vnd.ms-excel.controlproperties+xml"/>
  <Override PartName="/xl/drawings/drawing31.xml" ContentType="application/vnd.openxmlformats-officedocument.drawing+xml"/>
  <Override PartName="/xl/ctrlProps/ctrlProp262.xml" ContentType="application/vnd.ms-excel.controlproperties+xml"/>
  <Override PartName="/xl/ctrlProps/ctrlProp263.xml" ContentType="application/vnd.ms-excel.controlproperties+xml"/>
  <Override PartName="/xl/drawings/drawing32.xml" ContentType="application/vnd.openxmlformats-officedocument.drawing+xml"/>
  <Override PartName="/xl/ctrlProps/ctrlProp264.xml" ContentType="application/vnd.ms-excel.controlproperties+xml"/>
  <Override PartName="/xl/ctrlProps/ctrlProp265.xml" ContentType="application/vnd.ms-excel.controlproperties+xml"/>
  <Override PartName="/xl/drawings/drawing33.xml" ContentType="application/vnd.openxmlformats-officedocument.drawing+xml"/>
  <Override PartName="/xl/ctrlProps/ctrlProp266.xml" ContentType="application/vnd.ms-excel.controlproperties+xml"/>
  <Override PartName="/xl/ctrlProps/ctrlProp267.xml" ContentType="application/vnd.ms-excel.controlproperties+xml"/>
  <Override PartName="/xl/drawings/drawing34.xml" ContentType="application/vnd.openxmlformats-officedocument.drawing+xml"/>
  <Override PartName="/xl/ctrlProps/ctrlProp268.xml" ContentType="application/vnd.ms-excel.controlproperties+xml"/>
  <Override PartName="/xl/ctrlProps/ctrlProp269.xml" ContentType="application/vnd.ms-excel.controlproperties+xml"/>
  <Override PartName="/xl/drawings/drawing35.xml" ContentType="application/vnd.openxmlformats-officedocument.drawing+xml"/>
  <Override PartName="/xl/ctrlProps/ctrlProp270.xml" ContentType="application/vnd.ms-excel.controlproperties+xml"/>
  <Override PartName="/xl/ctrlProps/ctrlProp271.xml" ContentType="application/vnd.ms-excel.controlproperties+xml"/>
  <Override PartName="/xl/drawings/drawing36.xml" ContentType="application/vnd.openxmlformats-officedocument.drawing+xml"/>
  <Override PartName="/xl/ctrlProps/ctrlProp272.xml" ContentType="application/vnd.ms-excel.controlproperties+xml"/>
  <Override PartName="/xl/ctrlProps/ctrlProp273.xml" ContentType="application/vnd.ms-excel.controlproperties+xml"/>
  <Override PartName="/xl/drawings/drawing37.xml" ContentType="application/vnd.openxmlformats-officedocument.drawing+xml"/>
  <Override PartName="/xl/ctrlProps/ctrlProp274.xml" ContentType="application/vnd.ms-excel.controlproperties+xml"/>
  <Override PartName="/xl/ctrlProps/ctrlProp275.xml" ContentType="application/vnd.ms-excel.controlproperties+xml"/>
  <Override PartName="/xl/drawings/drawing38.xml" ContentType="application/vnd.openxmlformats-officedocument.drawing+xml"/>
  <Override PartName="/xl/ctrlProps/ctrlProp276.xml" ContentType="application/vnd.ms-excel.controlproperties+xml"/>
  <Override PartName="/xl/ctrlProps/ctrlProp277.xml" ContentType="application/vnd.ms-excel.controlproperties+xml"/>
  <Override PartName="/xl/drawings/drawing39.xml" ContentType="application/vnd.openxmlformats-officedocument.drawing+xml"/>
  <Override PartName="/xl/ctrlProps/ctrlProp278.xml" ContentType="application/vnd.ms-excel.controlproperties+xml"/>
  <Override PartName="/xl/ctrlProps/ctrlProp279.xml" ContentType="application/vnd.ms-excel.controlproperties+xml"/>
  <Override PartName="/xl/drawings/drawing40.xml" ContentType="application/vnd.openxmlformats-officedocument.drawing+xml"/>
  <Override PartName="/xl/ctrlProps/ctrlProp280.xml" ContentType="application/vnd.ms-excel.controlproperties+xml"/>
  <Override PartName="/xl/ctrlProps/ctrlProp281.xml" ContentType="application/vnd.ms-excel.controlproperties+xml"/>
  <Override PartName="/xl/drawings/drawing41.xml" ContentType="application/vnd.openxmlformats-officedocument.drawing+xml"/>
  <Override PartName="/xl/ctrlProps/ctrlProp282.xml" ContentType="application/vnd.ms-excel.controlproperties+xml"/>
  <Override PartName="/xl/ctrlProps/ctrlProp283.xml" ContentType="application/vnd.ms-excel.controlproperties+xml"/>
  <Override PartName="/xl/drawings/drawing42.xml" ContentType="application/vnd.openxmlformats-officedocument.drawing+xml"/>
  <Override PartName="/xl/ctrlProps/ctrlProp284.xml" ContentType="application/vnd.ms-excel.controlproperties+xml"/>
  <Override PartName="/xl/ctrlProps/ctrlProp285.xml" ContentType="application/vnd.ms-excel.controlproperties+xml"/>
  <Override PartName="/xl/drawings/drawing43.xml" ContentType="application/vnd.openxmlformats-officedocument.drawing+xml"/>
  <Override PartName="/xl/ctrlProps/ctrlProp286.xml" ContentType="application/vnd.ms-excel.controlproperties+xml"/>
  <Override PartName="/xl/ctrlProps/ctrlProp287.xml" ContentType="application/vnd.ms-excel.controlproperties+xml"/>
  <Override PartName="/xl/drawings/drawing44.xml" ContentType="application/vnd.openxmlformats-officedocument.drawing+xml"/>
  <Override PartName="/xl/ctrlProps/ctrlProp288.xml" ContentType="application/vnd.ms-excel.controlproperties+xml"/>
  <Override PartName="/xl/ctrlProps/ctrlProp289.xml" ContentType="application/vnd.ms-excel.controlproperties+xml"/>
  <Override PartName="/xl/drawings/drawing45.xml" ContentType="application/vnd.openxmlformats-officedocument.drawing+xml"/>
  <Override PartName="/xl/ctrlProps/ctrlProp290.xml" ContentType="application/vnd.ms-excel.controlproperties+xml"/>
  <Override PartName="/xl/ctrlProps/ctrlProp291.xml" ContentType="application/vnd.ms-excel.controlproperties+xml"/>
  <Override PartName="/xl/drawings/drawing46.xml" ContentType="application/vnd.openxmlformats-officedocument.drawing+xml"/>
  <Override PartName="/xl/ctrlProps/ctrlProp292.xml" ContentType="application/vnd.ms-excel.controlproperties+xml"/>
  <Override PartName="/xl/ctrlProps/ctrlProp293.xml" ContentType="application/vnd.ms-excel.controlproperties+xml"/>
  <Override PartName="/xl/drawings/drawing47.xml" ContentType="application/vnd.openxmlformats-officedocument.drawing+xml"/>
  <Override PartName="/xl/ctrlProps/ctrlProp294.xml" ContentType="application/vnd.ms-excel.controlproperties+xml"/>
  <Override PartName="/xl/ctrlProps/ctrlProp295.xml" ContentType="application/vnd.ms-excel.controlproperties+xml"/>
  <Override PartName="/xl/drawings/drawing48.xml" ContentType="application/vnd.openxmlformats-officedocument.drawing+xml"/>
  <Override PartName="/xl/ctrlProps/ctrlProp296.xml" ContentType="application/vnd.ms-excel.controlproperties+xml"/>
  <Override PartName="/xl/ctrlProps/ctrlProp297.xml" ContentType="application/vnd.ms-excel.controlproperties+xml"/>
  <Override PartName="/xl/drawings/drawing49.xml" ContentType="application/vnd.openxmlformats-officedocument.drawing+xml"/>
  <Override PartName="/xl/ctrlProps/ctrlProp298.xml" ContentType="application/vnd.ms-excel.controlproperties+xml"/>
  <Override PartName="/xl/ctrlProps/ctrlProp299.xml" ContentType="application/vnd.ms-excel.controlproperties+xml"/>
  <Override PartName="/xl/drawings/drawing50.xml" ContentType="application/vnd.openxmlformats-officedocument.drawing+xml"/>
  <Override PartName="/xl/ctrlProps/ctrlProp300.xml" ContentType="application/vnd.ms-excel.controlproperties+xml"/>
  <Override PartName="/xl/ctrlProps/ctrlProp301.xml" ContentType="application/vnd.ms-excel.controlproperties+xml"/>
  <Override PartName="/xl/drawings/drawing51.xml" ContentType="application/vnd.openxmlformats-officedocument.drawing+xml"/>
  <Override PartName="/xl/ctrlProps/ctrlProp302.xml" ContentType="application/vnd.ms-excel.controlproperties+xml"/>
  <Override PartName="/xl/ctrlProps/ctrlProp30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Downloads\나연수_26.9.10\artifacts\excel\"/>
    </mc:Choice>
  </mc:AlternateContent>
  <xr:revisionPtr revIDLastSave="0" documentId="13_ncr:1_{526C566E-AA72-4E8D-8ED7-A127FE296D2A}" xr6:coauthVersionLast="47" xr6:coauthVersionMax="47" xr10:uidLastSave="{00000000-0000-0000-0000-000000000000}"/>
  <bookViews>
    <workbookView xWindow="-120" yWindow="-120" windowWidth="29040" windowHeight="15720" tabRatio="959" activeTab="4" xr2:uid="{D5975639-D3B2-45C7-934C-29A5A0682051}"/>
  </bookViews>
  <sheets>
    <sheet name="사용설명서" sheetId="1" r:id="rId1"/>
    <sheet name="기초자료입력" sheetId="2" r:id="rId2"/>
    <sheet name="계약방법안내" sheetId="62" r:id="rId3"/>
    <sheet name="서식선택_출력" sheetId="11" r:id="rId4"/>
    <sheet name="절차안내" sheetId="61" r:id="rId5"/>
    <sheet name="학교검색" sheetId="60" r:id="rId6"/>
    <sheet name="학교정보" sheetId="59" r:id="rId7"/>
    <sheet name="F-001_위원회구성기안" sheetId="25" r:id="rId8"/>
    <sheet name="F-002_위원수락확인서" sheetId="26" r:id="rId9"/>
    <sheet name="F-003_위원청렴보안서약서" sheetId="27" r:id="rId10"/>
    <sheet name="F-004_구매추진계획수립기안문" sheetId="28" r:id="rId11"/>
    <sheet name="F-005_구매추진계획안" sheetId="29" r:id="rId12"/>
    <sheet name="F-006_운영위원회심의안" sheetId="30" r:id="rId13"/>
    <sheet name="F-007_구매요청기안문" sheetId="12" r:id="rId14"/>
    <sheet name="F-008_교복사양서" sheetId="35" r:id="rId15"/>
    <sheet name="F-009_기초금액계약방법결정" sheetId="31" r:id="rId16"/>
    <sheet name="F-010_사전규격공개기안문" sheetId="32" r:id="rId17"/>
    <sheet name="F-011_입찰공고" sheetId="33" r:id="rId18"/>
    <sheet name="F-012_계약특수조건" sheetId="34" r:id="rId19"/>
    <sheet name="F-014_평가항목배점기준" sheetId="14" r:id="rId20"/>
    <sheet name="F-015_정량적평가" sheetId="15" r:id="rId21"/>
    <sheet name="F-016_정성적평가" sheetId="16" r:id="rId22"/>
    <sheet name="F-017_제출서류자기확인서" sheetId="17" r:id="rId23"/>
    <sheet name="F-018_정량적평가자기평점표" sheetId="18" r:id="rId24"/>
    <sheet name="F-019_입찰참가신청서" sheetId="19" r:id="rId25"/>
    <sheet name="F-020_입찰참가신고서" sheetId="20" r:id="rId26"/>
    <sheet name="F-021_교복납품제안서" sheetId="21" r:id="rId27"/>
    <sheet name="F-022_교복납품실적표" sheetId="22" r:id="rId28"/>
    <sheet name="F-023_교복제조사양서" sheetId="23" r:id="rId29"/>
    <sheet name="F-024_단가비율표" sheetId="13" r:id="rId30"/>
    <sheet name="F-025_교복AS계획서" sheetId="24" r:id="rId31"/>
    <sheet name="F-027_위임장" sheetId="46" r:id="rId32"/>
    <sheet name="F-029_개인정보제공동의서" sheetId="47" r:id="rId33"/>
    <sheet name="F-030_청렴계약이행서약서" sheetId="48" r:id="rId34"/>
    <sheet name="F-031_교복품목별금액표" sheetId="49" r:id="rId35"/>
    <sheet name="F-032_제안서접수결과" sheetId="50" r:id="rId36"/>
    <sheet name="F-033_제안서접수대장" sheetId="51" r:id="rId37"/>
    <sheet name="F-034_평가위원회개최" sheetId="52" r:id="rId38"/>
    <sheet name="F-035_정량평가결과" sheetId="53" r:id="rId39"/>
    <sheet name="F-036_제안서평가결과" sheetId="54" r:id="rId40"/>
    <sheet name="F-037_평가위원회참석등록부" sheetId="55" r:id="rId41"/>
    <sheet name="F-038_업체참가등록부" sheetId="56" r:id="rId42"/>
    <sheet name="F-039_업체별제안서평가표" sheetId="57" r:id="rId43"/>
    <sheet name="F-040_위원청렴보안서약서" sheetId="58" r:id="rId44"/>
    <sheet name="F-041_낙찰자결정" sheetId="36" r:id="rId45"/>
    <sheet name="F-042_낙찰자결정통보" sheetId="37" r:id="rId46"/>
    <sheet name="F-043_계약체결" sheetId="38" r:id="rId47"/>
    <sheet name="F-044_사전안내가정통신문안내" sheetId="39" r:id="rId48"/>
    <sheet name="F-045_사전안내가정통신문" sheetId="40" r:id="rId49"/>
    <sheet name="F-046_수요조사가정통신문안내" sheetId="41" r:id="rId50"/>
    <sheet name="F-047_수요조사가정통신문" sheetId="43" r:id="rId51"/>
    <sheet name="F-048_교복구매안내신청수량파악" sheetId="42" r:id="rId52"/>
    <sheet name="F-049_만족도설문조사실시" sheetId="44" r:id="rId53"/>
    <sheet name="F-050_만족도조사설문지" sheetId="45" r:id="rId54"/>
    <sheet name="DB_자기평점" sheetId="10" state="veryHidden" r:id="rId55"/>
    <sheet name="DB_정성평가" sheetId="9" state="veryHidden" r:id="rId56"/>
    <sheet name="DB_정량평가" sheetId="8" state="veryHidden" r:id="rId57"/>
    <sheet name="DB_평가" sheetId="7" state="veryHidden" r:id="rId58"/>
    <sheet name="DB_위원" sheetId="6" state="veryHidden" r:id="rId59"/>
    <sheet name="DB_업체" sheetId="5" state="veryHidden" r:id="rId60"/>
    <sheet name="DB_품목" sheetId="4" state="veryHidden" r:id="rId61"/>
    <sheet name="DB" sheetId="3" state="hidden" r:id="rId62"/>
  </sheets>
  <functionGroups builtInGroupCount="19"/>
  <definedNames>
    <definedName name="_xlnm._FilterDatabase" localSheetId="61" hidden="1">DB!$A$1:$T$1</definedName>
    <definedName name="_xlnm._FilterDatabase" localSheetId="59" hidden="1">DB_업체!$A$1:$C$1</definedName>
    <definedName name="_xlnm._FilterDatabase" localSheetId="58" hidden="1">DB_위원!$A$1:$D$1</definedName>
    <definedName name="_xlnm._FilterDatabase" localSheetId="54" hidden="1">DB_자기평점!$A$1:$F$1</definedName>
    <definedName name="_xlnm._FilterDatabase" localSheetId="56" hidden="1">DB_정량평가!$A$1:$F$1</definedName>
    <definedName name="_xlnm._FilterDatabase" localSheetId="55" hidden="1">DB_정성평가!$A$1:$G$1</definedName>
    <definedName name="_xlnm._FilterDatabase" localSheetId="57" hidden="1">DB_평가!$A$1:$E$1</definedName>
    <definedName name="_xlnm._FilterDatabase" localSheetId="60" hidden="1">DB_품목!$A$1:$F$1</definedName>
    <definedName name="_xlnm.Print_Area" localSheetId="7">'F-001_위원회구성기안'!$A$1:$H$43</definedName>
    <definedName name="_xlnm.Print_Area" localSheetId="8">'F-002_위원수락확인서'!$A$1:$E$21</definedName>
    <definedName name="_xlnm.Print_Area" localSheetId="9">'F-003_위원청렴보안서약서'!$A$1:$E$20</definedName>
    <definedName name="_xlnm.Print_Area" localSheetId="10">'F-004_구매추진계획수립기안문'!$A$1:$H$20</definedName>
    <definedName name="_xlnm.Print_Area" localSheetId="11">'F-005_구매추진계획안'!$A$1:$G$90</definedName>
    <definedName name="_xlnm.Print_Area" localSheetId="12">'F-006_운영위원회심의안'!$A$1:$H$40</definedName>
    <definedName name="_xlnm.Print_Area" localSheetId="13">'F-007_구매요청기안문'!$A$1:$H$26</definedName>
    <definedName name="_xlnm.Print_Area" localSheetId="14">'F-008_교복사양서'!$A$1:$H$29</definedName>
    <definedName name="_xlnm.Print_Area" localSheetId="15">'F-009_기초금액계약방법결정'!$A$1:$H$30</definedName>
    <definedName name="_xlnm.Print_Area" localSheetId="16">'F-010_사전규격공개기안문'!$A$1:$H$29</definedName>
    <definedName name="_xlnm.Print_Area" localSheetId="17">'F-011_입찰공고'!$A$1:$H$71</definedName>
    <definedName name="_xlnm.Print_Area" localSheetId="18">'F-012_계약특수조건'!$A$1:$H$86</definedName>
    <definedName name="_xlnm.Print_Area" localSheetId="19">'F-014_평가항목배점기준'!$A$1:$G$25</definedName>
    <definedName name="_xlnm.Print_Area" localSheetId="20">'F-015_정량적평가'!$B$1:$G$26</definedName>
    <definedName name="_xlnm.Print_Area" localSheetId="21">'F-016_정성적평가'!$B$1:$F$18</definedName>
    <definedName name="_xlnm.Print_Area" localSheetId="22">'F-017_제출서류자기확인서'!$B$1:$E$30</definedName>
    <definedName name="_xlnm.Print_Area" localSheetId="23">'F-018_정량적평가자기평점표'!$B$1:$F$25</definedName>
    <definedName name="_xlnm.Print_Area" localSheetId="24">'F-019_입찰참가신청서'!$B$1:$L$25</definedName>
    <definedName name="_xlnm.Print_Area" localSheetId="25">'F-020_입찰참가신고서'!$B$1:$E$20</definedName>
    <definedName name="_xlnm.Print_Area" localSheetId="26">'F-021_교복납품제안서'!$B$1:$E$31</definedName>
    <definedName name="_xlnm.Print_Area" localSheetId="27">'F-022_교복납품실적표'!$B$1:$G$25</definedName>
    <definedName name="_xlnm.Print_Area" localSheetId="28">'F-023_교복제조사양서'!$B$1:$E$21</definedName>
    <definedName name="_xlnm.Print_Area" localSheetId="29">'F-024_단가비율표'!$A$1:$G$19</definedName>
    <definedName name="_xlnm.Print_Area" localSheetId="30">'F-025_교복AS계획서'!$B$1:$E$31</definedName>
    <definedName name="_xlnm.Print_Area" localSheetId="31">'F-027_위임장'!$A$1:$F$24</definedName>
    <definedName name="_xlnm.Print_Area" localSheetId="32">'F-029_개인정보제공동의서'!$A$1:$F$25</definedName>
    <definedName name="_xlnm.Print_Area" localSheetId="33">'F-030_청렴계약이행서약서'!$A$1:$F$19</definedName>
    <definedName name="_xlnm.Print_Area" localSheetId="34">'F-031_교복품목별금액표'!$A$1:$G$29</definedName>
    <definedName name="_xlnm.Print_Area" localSheetId="35">'F-032_제안서접수결과'!$A$1:$H$36</definedName>
    <definedName name="_xlnm.Print_Area" localSheetId="36">'F-033_제안서접수대장'!$A$1:$L$21</definedName>
    <definedName name="_xlnm.Print_Area" localSheetId="37">'F-034_평가위원회개최'!$A$1:$H$38</definedName>
    <definedName name="_xlnm.Print_Area" localSheetId="38">'F-035_정량평가결과'!$A$1:$H$36</definedName>
    <definedName name="_xlnm.Print_Area" localSheetId="39">'F-036_제안서평가결과'!$A$1:$G$38</definedName>
    <definedName name="_xlnm.Print_Area" localSheetId="40">'F-037_평가위원회참석등록부'!$A$1:$H$21</definedName>
    <definedName name="_xlnm.Print_Area" localSheetId="41">'F-038_업체참가등록부'!$A$1:$I$23</definedName>
    <definedName name="_xlnm.Print_Area" localSheetId="42">'F-039_업체별제안서평가표'!$A$1:$J$19</definedName>
    <definedName name="_xlnm.Print_Area" localSheetId="43">'F-040_위원청렴보안서약서'!$A$1:$H$25</definedName>
    <definedName name="_xlnm.Print_Area" localSheetId="44">'F-041_낙찰자결정'!$A$1:$H$29</definedName>
    <definedName name="_xlnm.Print_Area" localSheetId="45">'F-042_낙찰자결정통보'!$A$1:$H$29</definedName>
    <definedName name="_xlnm.Print_Area" localSheetId="46">'F-043_계약체결'!$A$1:$H$37</definedName>
    <definedName name="_xlnm.Print_Area" localSheetId="47">'F-044_사전안내가정통신문안내'!$A$1:$H$25</definedName>
    <definedName name="_xlnm.Print_Area" localSheetId="48">'F-045_사전안내가정통신문'!$A$1:$H$22</definedName>
    <definedName name="_xlnm.Print_Area" localSheetId="49">'F-046_수요조사가정통신문안내'!$A$1:$H$25</definedName>
    <definedName name="_xlnm.Print_Area" localSheetId="50">'F-047_수요조사가정통신문'!$A$1:$H$41</definedName>
    <definedName name="_xlnm.Print_Area" localSheetId="51">'F-048_교복구매안내신청수량파악'!$A$1:$I$45</definedName>
    <definedName name="_xlnm.Print_Area" localSheetId="52">'F-049_만족도설문조사실시'!$A$1:$H$25</definedName>
    <definedName name="_xlnm.Print_Area" localSheetId="53">'F-050_만족도조사설문지'!$A$1:$I$35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7" i="62" l="1"/>
  <c r="C6" i="62"/>
  <c r="B7" i="62"/>
  <c r="B25" i="58"/>
  <c r="B21" i="58"/>
  <c r="B10" i="58"/>
  <c r="B7" i="58"/>
  <c r="B5" i="58"/>
  <c r="I17" i="57"/>
  <c r="I16" i="57"/>
  <c r="H17" i="57"/>
  <c r="H16" i="57"/>
  <c r="G17" i="57"/>
  <c r="G16" i="57"/>
  <c r="F17" i="57"/>
  <c r="F16" i="57"/>
  <c r="E17" i="57"/>
  <c r="E16" i="57"/>
  <c r="I15" i="57"/>
  <c r="I14" i="57"/>
  <c r="I13" i="57"/>
  <c r="I12" i="57"/>
  <c r="I11" i="57"/>
  <c r="I10" i="57"/>
  <c r="I9" i="57"/>
  <c r="I8" i="57"/>
  <c r="C8" i="57"/>
  <c r="B8" i="57"/>
  <c r="G5" i="57"/>
  <c r="E5" i="57"/>
  <c r="C5" i="57"/>
  <c r="B3" i="57"/>
  <c r="B18" i="56"/>
  <c r="B17" i="56"/>
  <c r="B16" i="56"/>
  <c r="B15" i="56"/>
  <c r="B14" i="56"/>
  <c r="B13" i="56"/>
  <c r="B12" i="56"/>
  <c r="B11" i="56"/>
  <c r="B10" i="56"/>
  <c r="B9" i="56"/>
  <c r="B5" i="56"/>
  <c r="C21" i="55"/>
  <c r="C20" i="55"/>
  <c r="C19" i="55"/>
  <c r="C18" i="55"/>
  <c r="C17" i="55"/>
  <c r="C16" i="55"/>
  <c r="C15" i="55"/>
  <c r="C14" i="55"/>
  <c r="C13" i="55"/>
  <c r="C12" i="55"/>
  <c r="B5" i="55"/>
  <c r="B3" i="55"/>
  <c r="C38"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B13" i="54"/>
  <c r="B11" i="54"/>
  <c r="C9" i="54"/>
  <c r="F5" i="54"/>
  <c r="C5" i="54"/>
  <c r="B3" i="54"/>
  <c r="C34" i="53"/>
  <c r="H28" i="53"/>
  <c r="G28" i="53"/>
  <c r="F28" i="53"/>
  <c r="E28" i="53"/>
  <c r="D28" i="53"/>
  <c r="C28" i="53"/>
  <c r="B28" i="53"/>
  <c r="H27" i="53"/>
  <c r="G27" i="53"/>
  <c r="F27" i="53"/>
  <c r="E27" i="53"/>
  <c r="D27" i="53"/>
  <c r="C27" i="53"/>
  <c r="B27" i="53"/>
  <c r="H26" i="53"/>
  <c r="G26" i="53"/>
  <c r="F26" i="53"/>
  <c r="E26" i="53"/>
  <c r="D26" i="53"/>
  <c r="C26" i="53"/>
  <c r="B26" i="53"/>
  <c r="H25" i="53"/>
  <c r="G25" i="53"/>
  <c r="F25" i="53"/>
  <c r="E25" i="53"/>
  <c r="D25" i="53"/>
  <c r="C25" i="53"/>
  <c r="B25" i="53"/>
  <c r="H24" i="53"/>
  <c r="G24" i="53"/>
  <c r="F24" i="53"/>
  <c r="E24" i="53"/>
  <c r="D24" i="53"/>
  <c r="C24" i="53"/>
  <c r="B24" i="53"/>
  <c r="H23" i="53"/>
  <c r="G23" i="53"/>
  <c r="F23" i="53"/>
  <c r="E23" i="53"/>
  <c r="D23" i="53"/>
  <c r="C23" i="53"/>
  <c r="B23" i="53"/>
  <c r="H22" i="53"/>
  <c r="G22" i="53"/>
  <c r="F22" i="53"/>
  <c r="E22" i="53"/>
  <c r="D22" i="53"/>
  <c r="C22" i="53"/>
  <c r="B22" i="53"/>
  <c r="H21" i="53"/>
  <c r="G21" i="53"/>
  <c r="F21" i="53"/>
  <c r="E21" i="53"/>
  <c r="D21" i="53"/>
  <c r="C21" i="53"/>
  <c r="B21" i="53"/>
  <c r="H20" i="53"/>
  <c r="G20" i="53"/>
  <c r="F20" i="53"/>
  <c r="E20" i="53"/>
  <c r="D20" i="53"/>
  <c r="C20" i="53"/>
  <c r="B20" i="53"/>
  <c r="H19" i="53"/>
  <c r="G19" i="53"/>
  <c r="F19" i="53"/>
  <c r="E19" i="53"/>
  <c r="D19" i="53"/>
  <c r="C19" i="53"/>
  <c r="B19" i="53"/>
  <c r="B13" i="53"/>
  <c r="B11" i="53"/>
  <c r="C9" i="53"/>
  <c r="F5" i="53"/>
  <c r="C5" i="53"/>
  <c r="B3" i="53"/>
  <c r="C36" i="52"/>
  <c r="D30" i="52"/>
  <c r="C30" i="52"/>
  <c r="B30" i="52"/>
  <c r="D29" i="52"/>
  <c r="C29" i="52"/>
  <c r="B29" i="52"/>
  <c r="D28" i="52"/>
  <c r="C28" i="52"/>
  <c r="B28" i="52"/>
  <c r="D27" i="52"/>
  <c r="C27" i="52"/>
  <c r="B27" i="52"/>
  <c r="D26" i="52"/>
  <c r="C26" i="52"/>
  <c r="B26" i="52"/>
  <c r="D25" i="52"/>
  <c r="C25" i="52"/>
  <c r="B25" i="52"/>
  <c r="D24" i="52"/>
  <c r="C24" i="52"/>
  <c r="B24" i="52"/>
  <c r="D23" i="52"/>
  <c r="C23" i="52"/>
  <c r="B23" i="52"/>
  <c r="D22" i="52"/>
  <c r="C22" i="52"/>
  <c r="B22" i="52"/>
  <c r="D21" i="52"/>
  <c r="C21" i="52"/>
  <c r="B21" i="52"/>
  <c r="C18" i="52"/>
  <c r="B13" i="52"/>
  <c r="B11" i="52"/>
  <c r="C9" i="52"/>
  <c r="F5" i="52"/>
  <c r="C5" i="52"/>
  <c r="B3" i="52"/>
  <c r="D17" i="51"/>
  <c r="C17" i="51"/>
  <c r="D16" i="51"/>
  <c r="C16" i="51"/>
  <c r="D15" i="51"/>
  <c r="C15" i="51"/>
  <c r="D14" i="51"/>
  <c r="C14" i="51"/>
  <c r="D13" i="51"/>
  <c r="C13" i="51"/>
  <c r="D12" i="51"/>
  <c r="C12" i="51"/>
  <c r="D11" i="51"/>
  <c r="C11" i="51"/>
  <c r="D10" i="51"/>
  <c r="C10" i="51"/>
  <c r="D9" i="51"/>
  <c r="C9" i="51"/>
  <c r="D8" i="51"/>
  <c r="C8" i="51"/>
  <c r="B4" i="51"/>
  <c r="B3" i="51"/>
  <c r="C34" i="50"/>
  <c r="B30" i="50"/>
  <c r="D28" i="50"/>
  <c r="B28" i="50"/>
  <c r="D27" i="50"/>
  <c r="B27" i="50"/>
  <c r="D26" i="50"/>
  <c r="B26" i="50"/>
  <c r="D25" i="50"/>
  <c r="B25" i="50"/>
  <c r="D24" i="50"/>
  <c r="B24" i="50"/>
  <c r="D23" i="50"/>
  <c r="B23" i="50"/>
  <c r="D22" i="50"/>
  <c r="B22" i="50"/>
  <c r="D21" i="50"/>
  <c r="B21" i="50"/>
  <c r="D20" i="50"/>
  <c r="B20" i="50"/>
  <c r="D19" i="50"/>
  <c r="B19" i="50"/>
  <c r="B13" i="50"/>
  <c r="B11" i="50"/>
  <c r="C9" i="50"/>
  <c r="F5" i="50"/>
  <c r="C5" i="50"/>
  <c r="B3" i="50"/>
  <c r="B27" i="49"/>
  <c r="E18" i="49"/>
  <c r="D18" i="49"/>
  <c r="C18" i="49"/>
  <c r="E17" i="49"/>
  <c r="D17" i="49"/>
  <c r="B17" i="49"/>
  <c r="E16" i="49"/>
  <c r="D16" i="49"/>
  <c r="B16" i="49"/>
  <c r="E15" i="49"/>
  <c r="D15" i="49"/>
  <c r="B15" i="49"/>
  <c r="E14" i="49"/>
  <c r="D14" i="49"/>
  <c r="B14" i="49"/>
  <c r="E13" i="49"/>
  <c r="D13" i="49"/>
  <c r="B13" i="49"/>
  <c r="E12" i="49"/>
  <c r="D12" i="49"/>
  <c r="B12" i="49"/>
  <c r="B7" i="49"/>
  <c r="B5" i="49"/>
  <c r="B19" i="48"/>
  <c r="B25" i="47"/>
  <c r="B19" i="47"/>
  <c r="B6" i="47"/>
  <c r="B24" i="46"/>
  <c r="B12" i="46"/>
  <c r="B10" i="45"/>
  <c r="B9" i="45"/>
  <c r="B3" i="45"/>
  <c r="C23" i="44"/>
  <c r="C16" i="44"/>
  <c r="C15" i="44"/>
  <c r="C9" i="44"/>
  <c r="F5" i="44"/>
  <c r="C5" i="44"/>
  <c r="G2" i="44"/>
  <c r="B27" i="43"/>
  <c r="B26" i="43"/>
  <c r="B17" i="43"/>
  <c r="B14" i="43"/>
  <c r="B6" i="43"/>
  <c r="B3" i="43"/>
  <c r="B45" i="42"/>
  <c r="B28" i="42"/>
  <c r="B24" i="42"/>
  <c r="B23" i="42"/>
  <c r="B17" i="42"/>
  <c r="B11" i="42"/>
  <c r="B6" i="42"/>
  <c r="B3" i="42"/>
  <c r="C23" i="41"/>
  <c r="C16" i="41"/>
  <c r="C15" i="41"/>
  <c r="C9" i="41"/>
  <c r="F5" i="41"/>
  <c r="C5" i="41"/>
  <c r="G2" i="41"/>
  <c r="B22" i="40"/>
  <c r="B21" i="40"/>
  <c r="B8" i="40"/>
  <c r="B3" i="40"/>
  <c r="C23" i="39"/>
  <c r="C16" i="39"/>
  <c r="C15" i="39"/>
  <c r="C9" i="39"/>
  <c r="F5" i="39"/>
  <c r="C5" i="39"/>
  <c r="G2" i="39"/>
  <c r="C35" i="38"/>
  <c r="B25" i="38"/>
  <c r="B22" i="38"/>
  <c r="C17" i="38"/>
  <c r="C15" i="38"/>
  <c r="B13" i="38"/>
  <c r="C11" i="38"/>
  <c r="C9" i="38"/>
  <c r="F5" i="38"/>
  <c r="C5" i="38"/>
  <c r="C27" i="37"/>
  <c r="E17" i="37"/>
  <c r="B17" i="37"/>
  <c r="B13" i="37"/>
  <c r="C9" i="37"/>
  <c r="C7" i="37"/>
  <c r="F5" i="37"/>
  <c r="C5" i="37"/>
  <c r="C27" i="36"/>
  <c r="C21" i="36"/>
  <c r="C16" i="36"/>
  <c r="C15" i="36"/>
  <c r="B13" i="36"/>
  <c r="C11" i="36"/>
  <c r="C9" i="36"/>
  <c r="F5" i="36"/>
  <c r="C5" i="36"/>
  <c r="B29" i="35"/>
  <c r="B28" i="35"/>
  <c r="B27" i="35"/>
  <c r="B26" i="35"/>
  <c r="B25" i="35"/>
  <c r="B24" i="35"/>
  <c r="B13" i="35"/>
  <c r="B12" i="35"/>
  <c r="B11" i="35"/>
  <c r="B10" i="35"/>
  <c r="B9" i="35"/>
  <c r="B8" i="35"/>
  <c r="B3" i="35"/>
  <c r="B19" i="34"/>
  <c r="B11" i="34"/>
  <c r="B6" i="34"/>
  <c r="B3" i="34"/>
  <c r="B71" i="33"/>
  <c r="B68" i="33"/>
  <c r="B66" i="33"/>
  <c r="B35" i="33"/>
  <c r="C19" i="33"/>
  <c r="C18" i="33"/>
  <c r="C15" i="33"/>
  <c r="C14" i="33"/>
  <c r="C13" i="33"/>
  <c r="B9" i="33"/>
  <c r="B5" i="33"/>
  <c r="B3" i="33"/>
  <c r="B25" i="32"/>
  <c r="C23" i="32"/>
  <c r="C22" i="32"/>
  <c r="C21" i="32"/>
  <c r="C19" i="32"/>
  <c r="C18" i="32"/>
  <c r="C17" i="32"/>
  <c r="B14" i="32"/>
  <c r="C9" i="32"/>
  <c r="F5" i="32"/>
  <c r="C5" i="32"/>
  <c r="B3" i="32"/>
  <c r="C21" i="31"/>
  <c r="C20" i="31"/>
  <c r="C19" i="31"/>
  <c r="C17" i="31"/>
  <c r="B14" i="31"/>
  <c r="C9" i="31"/>
  <c r="F5" i="31"/>
  <c r="C5" i="31"/>
  <c r="B38" i="30"/>
  <c r="E35" i="30"/>
  <c r="D35" i="30"/>
  <c r="C35" i="30"/>
  <c r="B35" i="30"/>
  <c r="E34" i="30"/>
  <c r="D34" i="30"/>
  <c r="C34" i="30"/>
  <c r="B34" i="30"/>
  <c r="E33" i="30"/>
  <c r="D33" i="30"/>
  <c r="C33" i="30"/>
  <c r="B33" i="30"/>
  <c r="E32" i="30"/>
  <c r="D32" i="30"/>
  <c r="C32" i="30"/>
  <c r="B32" i="30"/>
  <c r="E31" i="30"/>
  <c r="D31" i="30"/>
  <c r="C31" i="30"/>
  <c r="B31" i="30"/>
  <c r="E30" i="30"/>
  <c r="D30" i="30"/>
  <c r="C30" i="30"/>
  <c r="B30" i="30"/>
  <c r="E29" i="30"/>
  <c r="D29" i="30"/>
  <c r="C29" i="30"/>
  <c r="B29" i="30"/>
  <c r="E28" i="30"/>
  <c r="D28" i="30"/>
  <c r="C28" i="30"/>
  <c r="B28" i="30"/>
  <c r="E27" i="30"/>
  <c r="D27" i="30"/>
  <c r="C27" i="30"/>
  <c r="B27" i="30"/>
  <c r="E26" i="30"/>
  <c r="D26" i="30"/>
  <c r="C26" i="30"/>
  <c r="B26" i="30"/>
  <c r="B22" i="30"/>
  <c r="B13" i="30"/>
  <c r="B3" i="30"/>
  <c r="B87" i="29"/>
  <c r="B58" i="29"/>
  <c r="E52" i="29"/>
  <c r="D52" i="29"/>
  <c r="C52" i="29"/>
  <c r="B52" i="29"/>
  <c r="E51" i="29"/>
  <c r="D51" i="29"/>
  <c r="C51" i="29"/>
  <c r="B51" i="29"/>
  <c r="E50" i="29"/>
  <c r="D50" i="29"/>
  <c r="C50" i="29"/>
  <c r="B50" i="29"/>
  <c r="E49" i="29"/>
  <c r="D49" i="29"/>
  <c r="C49" i="29"/>
  <c r="B49" i="29"/>
  <c r="E48" i="29"/>
  <c r="D48" i="29"/>
  <c r="C48" i="29"/>
  <c r="B48" i="29"/>
  <c r="E47" i="29"/>
  <c r="D47" i="29"/>
  <c r="C47" i="29"/>
  <c r="B47" i="29"/>
  <c r="E46" i="29"/>
  <c r="D46" i="29"/>
  <c r="C46" i="29"/>
  <c r="B46" i="29"/>
  <c r="E45" i="29"/>
  <c r="D45" i="29"/>
  <c r="C45" i="29"/>
  <c r="B45" i="29"/>
  <c r="E44" i="29"/>
  <c r="D44" i="29"/>
  <c r="C44" i="29"/>
  <c r="B44" i="29"/>
  <c r="E43" i="29"/>
  <c r="D43" i="29"/>
  <c r="C43" i="29"/>
  <c r="B43" i="29"/>
  <c r="B34" i="29"/>
  <c r="B19" i="29"/>
  <c r="B13" i="29"/>
  <c r="B6" i="29"/>
  <c r="B5" i="29"/>
  <c r="B2" i="29"/>
  <c r="B1" i="29"/>
  <c r="C18" i="28"/>
  <c r="B15" i="28"/>
  <c r="B13" i="28"/>
  <c r="C11" i="28"/>
  <c r="C9" i="28"/>
  <c r="F5" i="28"/>
  <c r="C5" i="28"/>
  <c r="B20" i="27"/>
  <c r="B17" i="27"/>
  <c r="B14" i="27"/>
  <c r="B11" i="27"/>
  <c r="B10" i="27"/>
  <c r="B9" i="27"/>
  <c r="B8" i="27"/>
  <c r="B6" i="27"/>
  <c r="B21" i="26"/>
  <c r="B12" i="26"/>
  <c r="B7" i="26"/>
  <c r="B6" i="26"/>
  <c r="C41" i="25"/>
  <c r="E35" i="25"/>
  <c r="D35" i="25"/>
  <c r="C35" i="25"/>
  <c r="B35" i="25"/>
  <c r="E34" i="25"/>
  <c r="D34" i="25"/>
  <c r="C34" i="25"/>
  <c r="B34" i="25"/>
  <c r="E33" i="25"/>
  <c r="D33" i="25"/>
  <c r="C33" i="25"/>
  <c r="B33" i="25"/>
  <c r="E32" i="25"/>
  <c r="D32" i="25"/>
  <c r="C32" i="25"/>
  <c r="B32" i="25"/>
  <c r="E31" i="25"/>
  <c r="D31" i="25"/>
  <c r="C31" i="25"/>
  <c r="B31" i="25"/>
  <c r="E30" i="25"/>
  <c r="D30" i="25"/>
  <c r="C30" i="25"/>
  <c r="B30" i="25"/>
  <c r="E29" i="25"/>
  <c r="D29" i="25"/>
  <c r="C29" i="25"/>
  <c r="B29" i="25"/>
  <c r="E28" i="25"/>
  <c r="D28" i="25"/>
  <c r="C28" i="25"/>
  <c r="B28" i="25"/>
  <c r="E27" i="25"/>
  <c r="D27" i="25"/>
  <c r="C27" i="25"/>
  <c r="B27" i="25"/>
  <c r="E26" i="25"/>
  <c r="D26" i="25"/>
  <c r="C26" i="25"/>
  <c r="B26" i="25"/>
  <c r="B13" i="25"/>
  <c r="C11" i="25"/>
  <c r="C9" i="25"/>
  <c r="F5" i="25"/>
  <c r="C5" i="25"/>
  <c r="B31" i="24"/>
  <c r="B29" i="24"/>
  <c r="B21" i="23"/>
  <c r="B19" i="23"/>
  <c r="B5" i="23"/>
  <c r="B25" i="22"/>
  <c r="B23" i="22"/>
  <c r="B5" i="22"/>
  <c r="B31" i="21"/>
  <c r="B29" i="21"/>
  <c r="C8" i="21"/>
  <c r="B3" i="21"/>
  <c r="B20" i="20"/>
  <c r="B18" i="20"/>
  <c r="B11" i="20"/>
  <c r="C7" i="20"/>
  <c r="B25" i="19"/>
  <c r="B24" i="19"/>
  <c r="B23" i="19"/>
  <c r="B20" i="19"/>
  <c r="F11" i="19"/>
  <c r="F10" i="19"/>
  <c r="F6" i="19"/>
  <c r="B25" i="18"/>
  <c r="F21" i="18"/>
  <c r="F19" i="18"/>
  <c r="F15" i="18"/>
  <c r="F12" i="18"/>
  <c r="F8" i="18"/>
  <c r="C5" i="18"/>
  <c r="B8" i="17"/>
  <c r="B3" i="17"/>
  <c r="B16" i="16"/>
  <c r="F14" i="16"/>
  <c r="F13" i="16"/>
  <c r="F12" i="16"/>
  <c r="F11" i="16"/>
  <c r="F10" i="16"/>
  <c r="F9" i="16"/>
  <c r="B6" i="16"/>
  <c r="E5" i="16"/>
  <c r="C5" i="16"/>
  <c r="B24" i="15"/>
  <c r="F22" i="15"/>
  <c r="F20" i="15"/>
  <c r="F16" i="15"/>
  <c r="F13" i="15"/>
  <c r="F9" i="15"/>
  <c r="G5" i="15"/>
  <c r="E5" i="15"/>
  <c r="C5" i="15"/>
  <c r="F20" i="14"/>
  <c r="E20" i="14"/>
  <c r="G19" i="14"/>
  <c r="F19" i="14"/>
  <c r="E19" i="14"/>
  <c r="C19" i="14"/>
  <c r="B19" i="14"/>
  <c r="G18" i="14"/>
  <c r="F18" i="14"/>
  <c r="E18" i="14"/>
  <c r="C18" i="14"/>
  <c r="B18" i="14"/>
  <c r="G17" i="14"/>
  <c r="F17" i="14"/>
  <c r="E17" i="14"/>
  <c r="C17" i="14"/>
  <c r="B17" i="14"/>
  <c r="G16" i="14"/>
  <c r="F16" i="14"/>
  <c r="E16" i="14"/>
  <c r="C16" i="14"/>
  <c r="B16" i="14"/>
  <c r="G15" i="14"/>
  <c r="F15" i="14"/>
  <c r="E15" i="14"/>
  <c r="C15" i="14"/>
  <c r="B15" i="14"/>
  <c r="G14" i="14"/>
  <c r="F14" i="14"/>
  <c r="E14" i="14"/>
  <c r="C14" i="14"/>
  <c r="B14" i="14"/>
  <c r="G13" i="14"/>
  <c r="F13" i="14"/>
  <c r="E13" i="14"/>
  <c r="C13" i="14"/>
  <c r="B13" i="14"/>
  <c r="G12" i="14"/>
  <c r="F12" i="14"/>
  <c r="E12" i="14"/>
  <c r="C12" i="14"/>
  <c r="B12" i="14"/>
  <c r="G11" i="14"/>
  <c r="F11" i="14"/>
  <c r="E11" i="14"/>
  <c r="C11" i="14"/>
  <c r="B11" i="14"/>
  <c r="G10" i="14"/>
  <c r="F10" i="14"/>
  <c r="E10" i="14"/>
  <c r="C10" i="14"/>
  <c r="B10" i="14"/>
  <c r="B6" i="14"/>
  <c r="G5" i="14"/>
  <c r="E5" i="14"/>
  <c r="C5" i="14"/>
  <c r="B19" i="13"/>
  <c r="E15" i="13"/>
  <c r="D15" i="13"/>
  <c r="E14" i="13"/>
  <c r="D14" i="13"/>
  <c r="C14" i="13"/>
  <c r="E13" i="13"/>
  <c r="D13" i="13"/>
  <c r="C13" i="13"/>
  <c r="E12" i="13"/>
  <c r="D12" i="13"/>
  <c r="C12" i="13"/>
  <c r="E11" i="13"/>
  <c r="D11" i="13"/>
  <c r="C11" i="13"/>
  <c r="E10" i="13"/>
  <c r="D10" i="13"/>
  <c r="C10" i="13"/>
  <c r="E9" i="13"/>
  <c r="D9" i="13"/>
  <c r="C9" i="13"/>
  <c r="G6" i="13"/>
  <c r="E6" i="13"/>
  <c r="C6" i="13"/>
  <c r="C24" i="12"/>
  <c r="C20" i="12"/>
  <c r="C18" i="12"/>
  <c r="C16" i="12"/>
  <c r="C15" i="12"/>
  <c r="B13" i="12"/>
  <c r="C11" i="12"/>
  <c r="C9" i="12"/>
  <c r="C7" i="12"/>
  <c r="F5" i="12"/>
  <c r="C5" i="12"/>
  <c r="V56" i="2"/>
  <c r="U56" i="2"/>
  <c r="V55" i="2"/>
  <c r="U55" i="2"/>
  <c r="V54" i="2"/>
  <c r="U54" i="2"/>
  <c r="V53" i="2"/>
  <c r="U53" i="2"/>
  <c r="V52" i="2"/>
  <c r="U52" i="2"/>
  <c r="V51" i="2"/>
  <c r="U51" i="2"/>
  <c r="V50" i="2"/>
  <c r="U50" i="2"/>
  <c r="V49" i="2"/>
  <c r="U49" i="2"/>
  <c r="V48" i="2"/>
  <c r="U48" i="2"/>
  <c r="V47" i="2"/>
  <c r="U47" i="2"/>
  <c r="V46" i="2"/>
  <c r="U46" i="2"/>
  <c r="V45" i="2"/>
  <c r="U45" i="2"/>
  <c r="V44" i="2"/>
  <c r="U44" i="2"/>
  <c r="V43" i="2"/>
  <c r="U43" i="2"/>
  <c r="V42" i="2"/>
  <c r="U42" i="2"/>
  <c r="V41" i="2"/>
  <c r="U41" i="2"/>
  <c r="V40" i="2"/>
  <c r="U40" i="2"/>
  <c r="V39" i="2"/>
  <c r="U39" i="2"/>
  <c r="V38" i="2"/>
  <c r="U38" i="2"/>
  <c r="V37" i="2"/>
  <c r="U37" i="2"/>
  <c r="V36" i="2"/>
  <c r="U36" i="2"/>
  <c r="V35" i="2"/>
  <c r="U35" i="2"/>
  <c r="V34" i="2"/>
  <c r="U34" i="2"/>
  <c r="V33" i="2"/>
  <c r="U33" i="2"/>
  <c r="V32" i="2"/>
  <c r="U32" i="2"/>
  <c r="V31" i="2"/>
  <c r="U31" i="2"/>
  <c r="V30" i="2"/>
  <c r="U30" i="2"/>
  <c r="V29" i="2"/>
  <c r="U29" i="2"/>
  <c r="V28" i="2"/>
  <c r="U28" i="2"/>
  <c r="V27" i="2"/>
  <c r="U27" i="2"/>
  <c r="V26" i="2"/>
  <c r="U26" i="2"/>
  <c r="V25" i="2"/>
  <c r="U25" i="2"/>
  <c r="V24" i="2"/>
  <c r="U24" i="2"/>
  <c r="V23" i="2"/>
  <c r="U23" i="2"/>
  <c r="V22" i="2"/>
  <c r="U22" i="2"/>
  <c r="V21" i="2"/>
  <c r="U21" i="2"/>
  <c r="V20" i="2"/>
  <c r="U20" i="2"/>
  <c r="V19" i="2"/>
  <c r="U19" i="2"/>
  <c r="V18" i="2"/>
  <c r="U18" i="2"/>
  <c r="V17" i="2"/>
  <c r="U17" i="2"/>
  <c r="V16" i="2"/>
  <c r="U16" i="2"/>
  <c r="V15" i="2"/>
  <c r="U15" i="2"/>
  <c r="V14" i="2"/>
  <c r="U14" i="2"/>
  <c r="V13" i="2"/>
  <c r="U13" i="2"/>
  <c r="V12" i="2"/>
  <c r="U12" i="2"/>
  <c r="V11" i="2"/>
  <c r="U11" i="2"/>
  <c r="V10" i="2"/>
  <c r="U10" i="2"/>
  <c r="V9" i="2"/>
  <c r="U9" i="2"/>
  <c r="V8" i="2"/>
  <c r="U8" i="2"/>
  <c r="V7" i="2"/>
  <c r="U7" i="2"/>
  <c r="V6" i="2"/>
  <c r="U6" i="2"/>
  <c r="V5" i="2"/>
  <c r="U5" i="2"/>
  <c r="U2"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D82" i="2"/>
  <c r="E81" i="2"/>
  <c r="E80" i="2"/>
  <c r="E79" i="2"/>
  <c r="E78" i="2"/>
  <c r="E77" i="2"/>
  <c r="E76" i="2"/>
  <c r="E75" i="2"/>
  <c r="E74" i="2"/>
  <c r="E73" i="2"/>
  <c r="E72" i="2"/>
  <c r="R53" i="2"/>
  <c r="M53" i="2"/>
  <c r="G53" i="2"/>
  <c r="R52" i="2"/>
  <c r="M52" i="2"/>
  <c r="G52" i="2"/>
  <c r="R51" i="2"/>
  <c r="M51" i="2"/>
  <c r="G51" i="2"/>
  <c r="R50" i="2"/>
  <c r="M50" i="2"/>
  <c r="G50" i="2"/>
  <c r="R49" i="2"/>
  <c r="M49" i="2"/>
  <c r="G49" i="2"/>
  <c r="R48" i="2"/>
  <c r="M48" i="2"/>
  <c r="G48" i="2"/>
  <c r="R47" i="2"/>
  <c r="M47" i="2"/>
  <c r="G47" i="2"/>
  <c r="R46" i="2"/>
  <c r="M46" i="2"/>
  <c r="G46" i="2"/>
  <c r="R45" i="2"/>
  <c r="M45" i="2"/>
  <c r="G45" i="2"/>
  <c r="R44" i="2"/>
  <c r="M44" i="2"/>
  <c r="G44" i="2"/>
  <c r="E39" i="2"/>
  <c r="E38" i="2"/>
  <c r="E37" i="2"/>
  <c r="E36" i="2"/>
  <c r="E35" i="2"/>
  <c r="E34" i="2"/>
  <c r="E33" i="2"/>
  <c r="E32" i="2"/>
  <c r="E31" i="2"/>
  <c r="E30" i="2"/>
  <c r="E29" i="2"/>
</calcChain>
</file>

<file path=xl/sharedStrings.xml><?xml version="1.0" encoding="utf-8"?>
<sst xmlns="http://schemas.openxmlformats.org/spreadsheetml/2006/main" count="2314" uniqueCount="1373">
  <si>
    <t>교복구매 학교주관구매 길라잡이 — Excel 기초자료·서식 선택 도구 (클린룸 재구현본, v1)</t>
  </si>
  <si>
    <t>1. 이 파일을 열면 Excel 상단에 '보안 경고 - 매크로 사용 안 함' 알림이 뜹니다. [콘텐츠 사용]을 눌러 매크로를 허용해야 입력·출력 기능이 동작합니다.</t>
  </si>
  <si>
    <t>2. '기초자료입력' 시트에 공통·사업·문서 정보와 품목·업체·위원·평가점수 반복행을 입력한 뒤 [저장하기] 버튼을 누르면 정규화 DB 시트에 기록됩니다.</t>
  </si>
  <si>
    <t>3. '서식선택_출력' 시트에서 서식 하나만 보려면 그 행의 [미리보기]/[PDF] 버튼을 바로 누릅니다. 여러 서식을 한 번에 묶어 출력하려면 선택(TRUE) 열에 체크한 뒤 상단 [선택 서식 인쇄 미리보기]/[선택 서식 PDF 저장] 버튼을 누릅니다.</t>
  </si>
  <si>
    <t>4. '학교검색' 시트에서 학교명·지역·급별 조건을 입력하고 [검색] 후 결과 행을 선택해 [선택 학교를 기초자료에 반영]을 누르면 학교명이 기초자료입력!C4에 반영됩니다.</t>
  </si>
  <si>
    <t>5. '절차안내' 시트는 교복구매 9단계와 단계별 관련 Form ID를 제공합니다. 단계 행을 선택하고 [관련 Form ID로 이동]을 누르면 서식선택_출력의 해당 Form ID로 이동합니다.</t>
  </si>
  <si>
    <t>6. 구현된 서식은 서식선택_출력의 '구현상태=Y'로 표시됩니다. 나머지 서식은 순차 추가 예정입니다.</t>
  </si>
  <si>
    <t>7. F-013(교복 디자인 및 규격서)은 표·이미지가 많은 다쪽(11쪽) 문서로, Excel보다 HWPX 경로가 적합하여 이번 버전에서는 보류하고 document-automation-engineer 협업 대상으로 남겼습니다.</t>
  </si>
  <si>
    <t>8. 업체 후보는 '기초자료입력' 시트의 업체 반복행에 상호명만 입력합니다. 대표자·연락처·전화번호·사업자번호는 입력·저장하지 않으며, 중복 상호는 실제 동일 업체인지 확인합니다.</t>
  </si>
  <si>
    <t>9. 위원 반복행에는 역할·직위와 ○ 또는 *를 포함한 마스킹 식별표시만 입력합니다. 실제 성명·연락처·서명은 입력·저장하지 않습니다. 평가점수는 항목별 배점을 초과할 수 없고 총점은 자동 계산됩니다.</t>
  </si>
  <si>
    <t>10. 내부 DB 시트의 숨김·무암호 보호는 우발적 편집 방지용이며 보안 경계가 아닙니다. 매크로 허용 상태에서는 저장 직전에 DB·반복행 전체를 재검증하고, 개인정보성 표기·불완전 위원·평가행 등 허용되지 않은 값이 있으면 저장을 취소합니다.</t>
  </si>
  <si>
    <t>원본 보호: 이 파일은 20230808_용역계약갈라잡이(디깅모멘텀)_이행원.xlsm 을 참고해 클린룸 방식으로 새로 작성한 사본이며, 원본 파일을 직접 열거나 수정하지 않습니다.</t>
  </si>
  <si>
    <t>개인정보 경계: 이 파일은 학교·계약 단위 업무 정보만 다루며, 학생·학부모 개인정보 및 서명·직인 자동처리는 포함하지 않습니다.</t>
  </si>
  <si>
    <t>기초자료 입력 (공통 C-01~C-06 / 사업 B-01~B-07 / 문서별 D-01~D-05 / 반복 R-01~R-07)</t>
  </si>
  <si>
    <t>불러올 레코드 선택:</t>
  </si>
  <si>
    <t>1. 공통 정보 (C)</t>
  </si>
  <si>
    <t>학교명 *</t>
  </si>
  <si>
    <t>C-01</t>
  </si>
  <si>
    <t>학년도 *</t>
  </si>
  <si>
    <t>C-02</t>
  </si>
  <si>
    <t>담당부서</t>
  </si>
  <si>
    <t>C-03</t>
  </si>
  <si>
    <t>담당자 직위</t>
  </si>
  <si>
    <t>C-04</t>
  </si>
  <si>
    <t>문서 발행일</t>
  </si>
  <si>
    <t>C-05</t>
  </si>
  <si>
    <t>문서번호</t>
  </si>
  <si>
    <t>C-06</t>
  </si>
  <si>
    <t>2. 사업 정보 (B)</t>
  </si>
  <si>
    <t>구매명 *</t>
  </si>
  <si>
    <t>B-01</t>
  </si>
  <si>
    <t>구매 학년</t>
  </si>
  <si>
    <t>B-02</t>
  </si>
  <si>
    <t>계약방식 (계약방법안내에서 검토 후 반영)</t>
  </si>
  <si>
    <t>B-03</t>
  </si>
  <si>
    <t>기초금액(원)</t>
  </si>
  <si>
    <t>B-04</t>
  </si>
  <si>
    <t>예정수량</t>
  </si>
  <si>
    <t>B-05</t>
  </si>
  <si>
    <t>납품기한</t>
  </si>
  <si>
    <t>B-06</t>
  </si>
  <si>
    <t>제출기한</t>
  </si>
  <si>
    <t>B-07</t>
  </si>
  <si>
    <t>3. 문서별 정보 (D) — 서식 공통 기본값</t>
  </si>
  <si>
    <t>수신</t>
  </si>
  <si>
    <t>D-01</t>
  </si>
  <si>
    <t>제목 *</t>
  </si>
  <si>
    <t>D-02</t>
  </si>
  <si>
    <t>관련문서</t>
  </si>
  <si>
    <t>D-03</t>
  </si>
  <si>
    <t>붙임 목록</t>
  </si>
  <si>
    <t>D-04</t>
  </si>
  <si>
    <t>안내문 본문</t>
  </si>
  <si>
    <t>D-05</t>
  </si>
  <si>
    <t>4. 품목 반복행 (R-04 품목명 / R-05 수량 / R-06 단가 / K-01 금액 자동계산) — F-024 등에서 사용</t>
  </si>
  <si>
    <t>품목명</t>
  </si>
  <si>
    <t>수량</t>
  </si>
  <si>
    <t>단가(원)</t>
  </si>
  <si>
    <t>금액(자동, K-01)</t>
  </si>
  <si>
    <t>합계 (K-02)</t>
  </si>
  <si>
    <t>5. 업체 반복행 (R-03 업체명) — C~F열은 F-015 학교 정량평가, H~L열은 F-016 학교 정성평가, N~Q열은 F-018 업체 자기평점이며 서로 혼용하지 않음</t>
  </si>
  <si>
    <t>업체명</t>
  </si>
  <si>
    <t>수행경험(10)</t>
  </si>
  <si>
    <t>공인인증(10)</t>
  </si>
  <si>
    <t>거리적접근성(15)</t>
  </si>
  <si>
    <t>상한가격(15)</t>
  </si>
  <si>
    <t>F-015 상태</t>
  </si>
  <si>
    <t>재질(15)</t>
  </si>
  <si>
    <t>완성도(10)</t>
  </si>
  <si>
    <t>A/S(15)</t>
  </si>
  <si>
    <t>하자보상(10)</t>
  </si>
  <si>
    <t>가감점(-15~5)</t>
  </si>
  <si>
    <t>F-016 상태</t>
  </si>
  <si>
    <t>자기 수행경험(10)</t>
  </si>
  <si>
    <t>자기 공인인증(10)</t>
  </si>
  <si>
    <t>자기 거리(15)</t>
  </si>
  <si>
    <t>자기 상한가격(15)</t>
  </si>
  <si>
    <t>F-018 상태</t>
  </si>
  <si>
    <t>6. 위원 반복행 (R-01 역할·직위 / R-02 마스킹 식별표시) — 실제 성명·연락처·서명 입력 금지</t>
  </si>
  <si>
    <t>역할·직위</t>
  </si>
  <si>
    <t>마스킹 식별표시 (위원 ○○/위원 **만 허용)</t>
  </si>
  <si>
    <t>7. 평가점수 반복행 (R-07 점수 / K-03 평가 총점 자동계산) — 업체·위원 식별정보는 입력하지 않음</t>
  </si>
  <si>
    <t>평가항목</t>
  </si>
  <si>
    <t>배점</t>
  </si>
  <si>
    <t>점수</t>
  </si>
  <si>
    <t>점수 상태</t>
  </si>
  <si>
    <t>평가 총점 (K-03)</t>
  </si>
  <si>
    <t>빠른 출력 선택 (서식선택_출력과 실시간 연동)</t>
  </si>
  <si>
    <t>선택</t>
  </si>
  <si>
    <t>Form ID</t>
  </si>
  <si>
    <t>서식명</t>
  </si>
  <si>
    <t>보기</t>
  </si>
  <si>
    <t>순번</t>
  </si>
  <si>
    <t>학교명</t>
  </si>
  <si>
    <t>학년도</t>
  </si>
  <si>
    <t>담당자직위</t>
  </si>
  <si>
    <t>문서발행일</t>
  </si>
  <si>
    <t>구매명</t>
  </si>
  <si>
    <t>구매학년</t>
  </si>
  <si>
    <t>계약방식</t>
  </si>
  <si>
    <t>기초금액</t>
  </si>
  <si>
    <t>제목</t>
  </si>
  <si>
    <t>붙임목록</t>
  </si>
  <si>
    <t>안내문본문</t>
  </si>
  <si>
    <t>저장시각</t>
  </si>
  <si>
    <t>불러오기표시라벨</t>
  </si>
  <si>
    <t>레코드순번</t>
  </si>
  <si>
    <t>행번호</t>
  </si>
  <si>
    <t>단가</t>
  </si>
  <si>
    <t>금액</t>
  </si>
  <si>
    <t>역할직위</t>
  </si>
  <si>
    <t>마스킹식별표시</t>
  </si>
  <si>
    <t>수행경험점수</t>
  </si>
  <si>
    <t>공인인증점수</t>
  </si>
  <si>
    <t>거리적접근성점수</t>
  </si>
  <si>
    <t>상한가격점수</t>
  </si>
  <si>
    <t>재질점수</t>
  </si>
  <si>
    <t>완성도점수</t>
  </si>
  <si>
    <t>AS점수</t>
  </si>
  <si>
    <t>하자보상점수</t>
  </si>
  <si>
    <t>가감점</t>
  </si>
  <si>
    <t>수행경험자기점수</t>
  </si>
  <si>
    <t>공인인증자기점수</t>
  </si>
  <si>
    <t>거리적접근성자기점수</t>
  </si>
  <si>
    <t>상한가격자기점수</t>
  </si>
  <si>
    <t>서식 선택 · 출력</t>
  </si>
  <si>
    <t>서식 하나만 보려면 해당 행의 [미리보기]/[PDF] 버튼을 바로 누릅니다(구현상태='Y'인 행만 동작). 여러 서식을 한 파일로 묶으려면 선택(TRUE) 열에 체크한 뒤 상단 매크로 버튼을 누릅니다. 구현상태가 'N'인 서식은 아직 연결된 시트가 없어 선택해도 건너뜁니다.</t>
  </si>
  <si>
    <t>업무단계</t>
  </si>
  <si>
    <t>구현상태</t>
  </si>
  <si>
    <t>연결시트</t>
  </si>
  <si>
    <t>미리보기</t>
  </si>
  <si>
    <t>PDF</t>
  </si>
  <si>
    <t>F-001</t>
  </si>
  <si>
    <t>교복선정위원회 구성 기안</t>
  </si>
  <si>
    <t>준비</t>
  </si>
  <si>
    <t>Y</t>
  </si>
  <si>
    <t>F-001_위원회구성기안</t>
  </si>
  <si>
    <t>F-002</t>
  </si>
  <si>
    <t>위원 수락 및 확인서</t>
  </si>
  <si>
    <t>F-002_위원수락확인서</t>
  </si>
  <si>
    <t>F-003</t>
  </si>
  <si>
    <t>위원 청렴 및 보안 서약서</t>
  </si>
  <si>
    <t>F-003_위원청렴보안서약서</t>
  </si>
  <si>
    <t>F-004</t>
  </si>
  <si>
    <t>구매 추진 계획 수립</t>
  </si>
  <si>
    <t>F-004_구매추진계획수립기안문</t>
  </si>
  <si>
    <t>F-005</t>
  </si>
  <si>
    <t>구매 추진 계획안</t>
  </si>
  <si>
    <t>F-005_구매추진계획안</t>
  </si>
  <si>
    <t>F-006</t>
  </si>
  <si>
    <t>학교운영위원회 심의(안)</t>
  </si>
  <si>
    <t>F-006_운영위원회심의안</t>
  </si>
  <si>
    <t>F-007</t>
  </si>
  <si>
    <t>교복구매 구매 요청</t>
  </si>
  <si>
    <t>입찰</t>
  </si>
  <si>
    <t>F-007_구매요청기안문</t>
  </si>
  <si>
    <t>F-008</t>
  </si>
  <si>
    <t>교복 사양서</t>
  </si>
  <si>
    <t>F-008_교복사양서</t>
  </si>
  <si>
    <t>F-009</t>
  </si>
  <si>
    <t>기초금액 및 계약방법 결정</t>
  </si>
  <si>
    <t>F-009_기초금액계약방법결정</t>
  </si>
  <si>
    <t>F-010</t>
  </si>
  <si>
    <t>사전규격공개 기안문</t>
  </si>
  <si>
    <t>F-010_사전규격공개기안문</t>
  </si>
  <si>
    <t>F-011</t>
  </si>
  <si>
    <t>교복 학교주관구매 입찰 공고</t>
  </si>
  <si>
    <t>F-011_입찰공고</t>
  </si>
  <si>
    <t>F-012</t>
  </si>
  <si>
    <t>계약 특수조건</t>
  </si>
  <si>
    <t>F-012_계약특수조건</t>
  </si>
  <si>
    <t>F-013</t>
  </si>
  <si>
    <t>교복 디자인 및 규격서</t>
  </si>
  <si>
    <t>D</t>
  </si>
  <si>
    <t>HWPX 우선순위 위임(표·이미지 복합조판)</t>
  </si>
  <si>
    <t>F-014</t>
  </si>
  <si>
    <t>제안서 평가항목 및 배점기준</t>
  </si>
  <si>
    <t>평가</t>
  </si>
  <si>
    <t>F-014_평가항목배점기준</t>
  </si>
  <si>
    <t>F-015</t>
  </si>
  <si>
    <t>정량적 평가</t>
  </si>
  <si>
    <t>F-015_정량적평가</t>
  </si>
  <si>
    <t>F-016</t>
  </si>
  <si>
    <t>정성적 평가</t>
  </si>
  <si>
    <t>F-016_정성적평가</t>
  </si>
  <si>
    <t>F-017</t>
  </si>
  <si>
    <t>제출서류 자기확인서</t>
  </si>
  <si>
    <t>F-017_제출서류자기확인서</t>
  </si>
  <si>
    <t>F-018</t>
  </si>
  <si>
    <t>정량적 평가 자기 평점표</t>
  </si>
  <si>
    <t>F-018_정량적평가자기평점표</t>
  </si>
  <si>
    <t>F-019</t>
  </si>
  <si>
    <t>입찰참가신청서</t>
  </si>
  <si>
    <t>F-019_입찰참가신청서</t>
  </si>
  <si>
    <t>F-020</t>
  </si>
  <si>
    <t>입찰 참가 신고서</t>
  </si>
  <si>
    <t>F-020_입찰참가신고서</t>
  </si>
  <si>
    <t>F-021</t>
  </si>
  <si>
    <t>교복 납품 제안서</t>
  </si>
  <si>
    <t>F-021_교복납품제안서</t>
  </si>
  <si>
    <t>F-022</t>
  </si>
  <si>
    <t>교복 납품 실적표</t>
  </si>
  <si>
    <t>F-022_교복납품실적표</t>
  </si>
  <si>
    <t>F-023</t>
  </si>
  <si>
    <t>교복 제조 사양서</t>
  </si>
  <si>
    <t>F-023_교복제조사양서</t>
  </si>
  <si>
    <t>F-024</t>
  </si>
  <si>
    <t>품목별 단가 비율표</t>
  </si>
  <si>
    <t>F-024_단가비율표</t>
  </si>
  <si>
    <t>F-025</t>
  </si>
  <si>
    <t>교복 A/S 계획서</t>
  </si>
  <si>
    <t>F-025_교복AS계획서</t>
  </si>
  <si>
    <t>F-026</t>
  </si>
  <si>
    <t>소비자 불만 처리 계획</t>
  </si>
  <si>
    <t>N</t>
  </si>
  <si>
    <t>F-027</t>
  </si>
  <si>
    <t>위임장</t>
  </si>
  <si>
    <t>F-027_위임장</t>
  </si>
  <si>
    <t>F-028</t>
  </si>
  <si>
    <t>서약서</t>
  </si>
  <si>
    <t>F-029</t>
  </si>
  <si>
    <t>개인정보제공 동의서</t>
  </si>
  <si>
    <t>F-029_개인정보제공동의서</t>
  </si>
  <si>
    <t>F-030</t>
  </si>
  <si>
    <t>청렴계약 이행서약서</t>
  </si>
  <si>
    <t>F-030_청렴계약이행서약서</t>
  </si>
  <si>
    <t>F-031</t>
  </si>
  <si>
    <t>교복 품목별 금액표</t>
  </si>
  <si>
    <t>F-031_교복품목별금액표</t>
  </si>
  <si>
    <t>F-032</t>
  </si>
  <si>
    <t>제안서 접수 결과</t>
  </si>
  <si>
    <t>F-032_제안서접수결과</t>
  </si>
  <si>
    <t>F-033</t>
  </si>
  <si>
    <t>제안서 접수대장</t>
  </si>
  <si>
    <t>F-033_제안서접수대장</t>
  </si>
  <si>
    <t>F-034</t>
  </si>
  <si>
    <t>제안서 평가위원회 개최</t>
  </si>
  <si>
    <t>F-034_평가위원회개최</t>
  </si>
  <si>
    <t>F-035</t>
  </si>
  <si>
    <t>제안서 정량평가 결과</t>
  </si>
  <si>
    <t>F-035_정량평가결과</t>
  </si>
  <si>
    <t>F-036</t>
  </si>
  <si>
    <t>제안서 평가 결과</t>
  </si>
  <si>
    <t>F-036_제안서평가결과</t>
  </si>
  <si>
    <t>F-037</t>
  </si>
  <si>
    <t>평가위원회 참석 등록부</t>
  </si>
  <si>
    <t>F-037_평가위원회참석등록부</t>
  </si>
  <si>
    <t>F-038</t>
  </si>
  <si>
    <t>업체 참가 등록부</t>
  </si>
  <si>
    <t>F-038_업체참가등록부</t>
  </si>
  <si>
    <t>F-039</t>
  </si>
  <si>
    <t>업체별 제안서 평가표</t>
  </si>
  <si>
    <t>F-039_업체별제안서평가표</t>
  </si>
  <si>
    <t>F-040</t>
  </si>
  <si>
    <t>F-040_위원청렴보안서약서</t>
  </si>
  <si>
    <t>F-041</t>
  </si>
  <si>
    <t>낙찰자 결정</t>
  </si>
  <si>
    <t>계약</t>
  </si>
  <si>
    <t>F-041_낙찰자결정</t>
  </si>
  <si>
    <t>F-042</t>
  </si>
  <si>
    <t>낙찰자 결정 통보</t>
  </si>
  <si>
    <t>F-042_낙찰자결정통보</t>
  </si>
  <si>
    <t>F-043</t>
  </si>
  <si>
    <t>계약체결</t>
  </si>
  <si>
    <t>F-043_계약체결</t>
  </si>
  <si>
    <t>F-044</t>
  </si>
  <si>
    <t>사전 안내 가정통신문 안내</t>
  </si>
  <si>
    <t>구매</t>
  </si>
  <si>
    <t>F-044_사전안내가정통신문안내</t>
  </si>
  <si>
    <t>F-045</t>
  </si>
  <si>
    <t>교복구매 사전 안내 가정통신문</t>
  </si>
  <si>
    <t>F-045_사전안내가정통신문</t>
  </si>
  <si>
    <t>F-046</t>
  </si>
  <si>
    <t>수요조사 가정통신문 안내</t>
  </si>
  <si>
    <t>F-046_수요조사가정통신문안내</t>
  </si>
  <si>
    <t>F-047</t>
  </si>
  <si>
    <t>교복구매 수요조사 가정통신문</t>
  </si>
  <si>
    <t>F-047_수요조사가정통신문</t>
  </si>
  <si>
    <t>F-048</t>
  </si>
  <si>
    <t>교복 구매 안내(신청 수량 파악)</t>
  </si>
  <si>
    <t>F-048_교복구매안내신청수량파악</t>
  </si>
  <si>
    <t>F-049</t>
  </si>
  <si>
    <t>만족도 설문조사 실시</t>
  </si>
  <si>
    <t>사후평가</t>
  </si>
  <si>
    <t>F-049_만족도설문조사실시</t>
  </si>
  <si>
    <t>F-050</t>
  </si>
  <si>
    <t>만족도 조사 설문지</t>
  </si>
  <si>
    <t>F-050_만족도조사설문지</t>
  </si>
  <si>
    <t>F-051</t>
  </si>
  <si>
    <t>만족도 설문조사 결과</t>
  </si>
  <si>
    <t>F-052</t>
  </si>
  <si>
    <t>만족도 조사 설문 결과 서식</t>
  </si>
  <si>
    <t>교복 학교주관구매 구매 요청(안)</t>
  </si>
  <si>
    <t>시행일자</t>
  </si>
  <si>
    <t>수  신</t>
  </si>
  <si>
    <t>제  목</t>
  </si>
  <si>
    <t>붙임</t>
  </si>
  <si>
    <t>담당</t>
  </si>
  <si>
    <t>교장</t>
  </si>
  <si>
    <t>합계</t>
  </si>
  <si>
    <t>[검토중 — 담당자 최종 확인 후 사용] 상세 변경 이력: _workspace/03_excel/F-007_F024_수정후_재대조.md</t>
  </si>
  <si>
    <t>(경유)</t>
  </si>
  <si>
    <t>1. 관련：</t>
  </si>
  <si>
    <t>가. 대상 및 수량</t>
  </si>
  <si>
    <t>나. 예상단가</t>
  </si>
  <si>
    <t>다. 사양내역</t>
  </si>
  <si>
    <t>라. 납품기한</t>
  </si>
  <si>
    <t>붙임 참조</t>
  </si>
  <si>
    <t>협조자</t>
  </si>
  <si>
    <t>시행</t>
  </si>
  <si>
    <t>접수</t>
  </si>
  <si>
    <t>우편번호</t>
  </si>
  <si>
    <t>주소</t>
  </si>
  <si>
    <t>전화</t>
  </si>
  <si>
    <t>전송(팩스)</t>
  </si>
  <si>
    <t>이메일</t>
  </si>
  <si>
    <t>[서식 7] 교복 품목별 단가 비율표</t>
  </si>
  <si>
    <t>(업체 제출양식)</t>
  </si>
  <si>
    <t>품목</t>
  </si>
  <si>
    <t>단가비율(%)</t>
  </si>
  <si>
    <t>비고</t>
  </si>
  <si>
    <t>동복</t>
  </si>
  <si>
    <t>하복</t>
  </si>
  <si>
    <t>품목별 단가 비율 기준과 ±3% 이상 차이가 나는 품목이 있을 시 기준 미충족</t>
  </si>
  <si>
    <t>20○○년    월    일</t>
  </si>
  <si>
    <t>제안자 성  명                    (서명 또는 날인)</t>
  </si>
  <si>
    <t>[검토중 — 담당자 최종 확인 후 사용] 원본 HWPX [9-3]의 예시안 구조를 대조하여 구성함</t>
  </si>
  <si>
    <t>[붙임 3] 제안서 평가항목 및 배점기준</t>
  </si>
  <si>
    <t>(예시안)</t>
  </si>
  <si>
    <t>평가 총점</t>
  </si>
  <si>
    <t>※ 제안서 평가기준은 예시안으로 학교 실정에 맞게 변경하여 사용합니다. 출력 전 담당자가 평가구분·배점기준·가감점 적용 여부를 최종 확인하십시오.</t>
  </si>
  <si>
    <t>구분</t>
  </si>
  <si>
    <t>배점기준</t>
  </si>
  <si>
    <t>평가점수</t>
  </si>
  <si>
    <t>학교별 평가기준 확인</t>
  </si>
  <si>
    <t>합 계</t>
  </si>
  <si>
    <t>K-03</t>
  </si>
  <si>
    <t>■ 평가기준에 대한 상세 설명</t>
  </si>
  <si>
    <t>• 원본 예시안은 정량적 평가와 정성적 평가를 각 50점으로 구분하고, 수행경험·품질인증·거리·상한가격 및 재질·완성도·A/S·하자보상 항목을 제시합니다.</t>
  </si>
  <si>
    <t>• 현재 출력은 기초자료입력의 평가항목·배점·점수를 반영합니다. 학교별 배점기준, 가점·감점 및 평가구분은 원본 예시안과 최신 지침을 확인하여 확정하십시오.</t>
  </si>
  <si>
    <t>■ 평가 시 유의사항: 객관적인 자료와 제출된 제품의 품질을 기준으로 공정하게 평가하며, 최종 출력 전 평가기준과 점수의 사실관계를 확인하십시오.</t>
  </si>
  <si>
    <t>[검토중 — 담당자 최종 확인 후 사용] 원본 HWPX [9-4]의 고정 배점표를 대조하여 구성함</t>
  </si>
  <si>
    <t>선택 업체 순번(자동, 인쇄 전용)</t>
  </si>
  <si>
    <t>[9-4] [붙임 3_1] [1단계] 정량적 평가</t>
  </si>
  <si>
    <t>[1단계] 정량적 평가(50점): 사업담당 또는 계약부서에서 평가</t>
  </si>
  <si>
    <t>평가 대상 업체</t>
  </si>
  <si>
    <t>※ 평가항목은 학교별 상황에 따라 자율적으로 변경 적용 가능함</t>
  </si>
  <si>
    <t>정량적 평가
(50점)</t>
  </si>
  <si>
    <t>1. 수행경험 (10)
- 입찰공고일 기준 최근 3년간 학교 주관구매 교복 납품실적(해당학교 실적 증명서 첨부)</t>
  </si>
  <si>
    <t>5건 이상</t>
  </si>
  <si>
    <t>3건 이상</t>
  </si>
  <si>
    <t>1건 이상 또는 해당연도 신규업체</t>
  </si>
  <si>
    <t>실적없음</t>
  </si>
  <si>
    <t>2. 공인인증(시험)기관의 품질인증 여부(10)
[한국의류시험연구원, FITI시험연구원, KOLAS기관의 시험성적서 등]
※ Q 마크 등 검사 인증</t>
  </si>
  <si>
    <t>교복 전품목 인증</t>
  </si>
  <si>
    <t>일부 품목 인증</t>
  </si>
  <si>
    <t>전품목 미인증</t>
  </si>
  <si>
    <t>3. 거리적 접근성(15)
- 학교와 교복업체(매장)와의 거리(사업자등록증의 사업장주소지 확인 및, 실제 매장 운영여부 반드시 현장 확인)</t>
  </si>
  <si>
    <t>이동거리 5km 이내</t>
  </si>
  <si>
    <t>이동거리 5km이상~10km미만</t>
  </si>
  <si>
    <t>이동거리 10km이상~15km미만</t>
  </si>
  <si>
    <t>이동거리 15km이상</t>
  </si>
  <si>
    <t>4. 품목별 상한가격(15)</t>
  </si>
  <si>
    <t>전품목 상한가격 기준 충족</t>
  </si>
  <si>
    <t>기준 미충족 품목이 있을 시</t>
  </si>
  <si>
    <t>50점 만점</t>
  </si>
  <si>
    <t>○○학교 사업담당자(계약담당자) (인 또는 서명)</t>
  </si>
  <si>
    <t>[검토중 — 담당자 최종 확인 후 사용] 원본 HWPX [9-5]의 고정 배점표를 대조하여 구성함</t>
  </si>
  <si>
    <t>[9-5] [붙임 3_2] [2단계] 정성적 평가</t>
  </si>
  <si>
    <t>[2단계] 정성적 평가(50점): 교복선정위원회에서 평가</t>
  </si>
  <si>
    <t>대상 업체</t>
  </si>
  <si>
    <t>정성적 평가
(50점)</t>
  </si>
  <si>
    <t>재질(15점)</t>
  </si>
  <si>
    <t>1. 옷감의 촉감과 질감의 상태(10)
2. 섬유조직의 세밀함과 부드러움(10)
탁월15·우수12·보통9·미흡6·불량3</t>
  </si>
  <si>
    <t>완성도(10점)</t>
  </si>
  <si>
    <t>1. 바느질의 꼼꼼함
2. 단추·지퍼의 견고함
3. 마감처리의 완성도
4. 여유단의 정도
탁월10·우수8·보통6·미흡4·불량2</t>
  </si>
  <si>
    <t>A/S(15점)</t>
  </si>
  <si>
    <t>1. 무상 A/S 의무기간
2. A/S의 편의성(신속성)
3. 출장 A/S 가능 여부
4. A/S 내용(바느질·단추·지퍼 등)
탁월15·우수12·보통9·미흡6·불량3</t>
  </si>
  <si>
    <t>하자보상(10점)</t>
  </si>
  <si>
    <t>1. 제품하자에 대한 교환 등 하자 보상 및 소비자 불만 사항 처리 방안의 적정성
탁월10·우수8·보통6·미흡4·불량2</t>
  </si>
  <si>
    <t>가점 및 감점 요인</t>
  </si>
  <si>
    <t>· 최근 1년 공정거래위원회 담합 행정처분: -10
· 최근 3년 교복 만족도 조사: 80점 이상 +5 / 75점 이상 +2 / 65점 이상 0 / 60점 이상 -2 / 55점 미만 -5</t>
  </si>
  <si>
    <t>-15~+5</t>
  </si>
  <si>
    <t>○○학교 교복선정위원회 평가위원 (인 또는 서명)</t>
  </si>
  <si>
    <t>[검토중 — 담당자 최종 확인 후 사용] 원본 HWPX [9-6] 대조. 대표자·연락처·대리인 정보는 자동 반영하지 않음</t>
  </si>
  <si>
    <t>※ 업체명만 기초자료의 반복행에서 반영합니다. 대표자·연락처·대리인 정보는 제출자가 작성하는 빈 칸으로 유지합니다.</t>
  </si>
  <si>
    <t>대표자</t>
  </si>
  <si>
    <t>연락처</t>
  </si>
  <si>
    <t>위임자(대리인 제출 시): 직위·이름·전화번호</t>
  </si>
  <si>
    <t>제출서류</t>
  </si>
  <si>
    <t>제출여부
(○,✕)</t>
  </si>
  <si>
    <t>비고
(서류 확인 사항)</t>
  </si>
  <si>
    <t>정량적 평가 자기 평점표[서식 1_1]</t>
  </si>
  <si>
    <t>1부</t>
  </si>
  <si>
    <t>입찰참가 신청서[서식 2]</t>
  </si>
  <si>
    <t>입찰 참가 신고서[서식 3]</t>
  </si>
  <si>
    <t>위임장[서식 10]</t>
  </si>
  <si>
    <t>대리인 재직증명서, 4대보험 가입증명서</t>
  </si>
  <si>
    <t>서약서[서식 11]</t>
  </si>
  <si>
    <t>개인정보제공 동의서[서식 12]</t>
  </si>
  <si>
    <t>청렴계약 이행서약서[서식 13]</t>
  </si>
  <si>
    <t>사업자등록증 사본</t>
  </si>
  <si>
    <t>중소기업확인서</t>
  </si>
  <si>
    <t>공정거래위원회 법위반사실확인서</t>
  </si>
  <si>
    <t>교복 납품 실적 증명서</t>
  </si>
  <si>
    <t>기타 평가기준에 따른 증명서류</t>
  </si>
  <si>
    <t>제안평가 반영 시 제출</t>
  </si>
  <si>
    <t>교복(동복·하복) 납품 제안서[서식 4]</t>
  </si>
  <si>
    <t>원본 1부, 사본 ○부</t>
  </si>
  <si>
    <t>사본 블라인드 처리</t>
  </si>
  <si>
    <t>교복 납품 실적표[서식 5]</t>
  </si>
  <si>
    <t>교복 제조 사양서[서식 6]</t>
  </si>
  <si>
    <t>품목별 단가 비율표[서식 7]</t>
  </si>
  <si>
    <t>교복 A/S 계획서[서식 8]</t>
  </si>
  <si>
    <t>소비자 불만 사항에 대한 처리방안[서식 9]</t>
  </si>
  <si>
    <t>교복 제조 및 판매 시설 현황서</t>
  </si>
  <si>
    <t>교복 샘플</t>
  </si>
  <si>
    <t>샘플 1부</t>
  </si>
  <si>
    <t>블라인드 처리</t>
  </si>
  <si>
    <t>[검토중 — 담당자 최종 확인 후 사용] 원본 HWPX [9-7] 대조. F-015 학교평가와 분리된 업체 자기평점이며 작성자·대표자·서명은 자동 반영하지 않음</t>
  </si>
  <si>
    <t>[9-7] [서식 1_1] 정량적 평가 자기 평점표</t>
  </si>
  <si>
    <t>※ 업체 자기평점표입니다. 학교의 F-015 정량적 평가 점수와 별도로 입력·보관하며, 사실관계와 증빙은 제출자가 최종 확인합니다.</t>
  </si>
  <si>
    <t>자기 평점</t>
  </si>
  <si>
    <t>1. 수행경험 (10)
최근 3년간 학교 주관구매 교복 납품실적</t>
  </si>
  <si>
    <t>1건 이상 또는 신규업체</t>
  </si>
  <si>
    <t>2. 공인인증(시험)기관의 품질인증 여부(10)</t>
  </si>
  <si>
    <t>3. 거리적 접근성(15)
학교와 교복업체(매장)와의 거리</t>
  </si>
  <si>
    <t>5km 이상~10km 미만</t>
  </si>
  <si>
    <t>10km 이상~15km 미만</t>
  </si>
  <si>
    <t>15km 이상</t>
  </si>
  <si>
    <t>업체명은 기초자료의 업체 반복행에서만 반영합니다. 작성자·대표자·서명은 제출자가 직접 작성하는 빈 칸으로 유지합니다.</t>
  </si>
  <si>
    <t>[검토중 — 담당자 최종 확인 후 사용] 원본 HWPX [9-7] [서식 2] 대조. 민감정보와 날인란은 자동 반영하지 않습니다.</t>
  </si>
  <si>
    <t>입 찰 참 가 신 청 서
※ 아래 사항 중 해당되는 경우에만 기재하시기 바랍니다.</t>
  </si>
  <si>
    <t>처리기간
즉 시</t>
  </si>
  <si>
    <t>신
청
인</t>
  </si>
  <si>
    <t>상호 또는
법인명칭</t>
  </si>
  <si>
    <t>법인등록번호</t>
  </si>
  <si>
    <t>주 소</t>
  </si>
  <si>
    <t>전화번호</t>
  </si>
  <si>
    <t>주민등록번호</t>
  </si>
  <si>
    <t>입찰
개요</t>
  </si>
  <si>
    <t>입찰공고
(지명)번호</t>
  </si>
  <si>
    <t>입찰일자</t>
  </si>
  <si>
    <t>입찰건명</t>
  </si>
  <si>
    <t>입찰보증금</t>
  </si>
  <si>
    <t>귀 교에서 시행하는 위 건명에 대해 입찰보증금 납부를 면제받고자 하며, 낙찰자 결정 통지를 받은 후 10일 이내에 계약을 체결하지 않을 시 입찰금액의 5/100에 해당하는 입찰보증금을 납부할 것을 확약합니다.</t>
  </si>
  <si>
    <t>대리인·
사용인감</t>
  </si>
  <si>
    <t>본 입찰에 관한 일체의 권한을 다음의 자에게 위임합니다.
성 명 :
주민등록번호 :</t>
  </si>
  <si>
    <t>본 입찰에 사용할 인감을 다음과 같이 신고합니다.
(사용인감 날인)</t>
  </si>
  <si>
    <t>붙임서류 : 공고에 정한 서류</t>
  </si>
  <si>
    <t>[검토중 — 담당자 최종 확인 후 사용] 원본 HWPX [9-8] [서식 3] 대조. 사업자 번호·대표자 성명·직인은 자동 반영하지 않습니다.</t>
  </si>
  <si>
    <t>교복 학교주관구매 입찰 참가 신고서</t>
  </si>
  <si>
    <t>※ 사업자 상호(업체명)만 기초자료의 반복행에서 반영합니다. 사업자 번호·대표자 성명·직인은 사업자가 직접 작성하는 빈 칸으로 유지합니다.</t>
  </si>
  <si>
    <t>사업자 상호</t>
  </si>
  <si>
    <t>사업자 번호</t>
  </si>
  <si>
    <t>사업자 대표</t>
  </si>
  <si>
    <t>※ 위 신고 사업자는 해당 학교의 ‘학교주관구매’를 저해하는 행위를 하는 경우, 향후 입찰에서 제외되는 등 불이익을 받을 수 있음을 확인하였습니다.</t>
  </si>
  <si>
    <t>위 신고인 사업자 대표 성명 ○○○ 사업자 직인</t>
  </si>
  <si>
    <t>[검토용] 원본 HWPX [9-9] [서식 4] 대조. 업체명만 자동 반영하며 대표자·주소·연락처·서명은 직접 작성합니다.</t>
  </si>
  <si>
    <t>※ 업체명만 기초자료의 반복행에서 반영합니다. 일반현황·연혁·제안자 성명은 직접 작성하십시오.</t>
  </si>
  <si>
    <t>1. 일반현황 및 연혁</t>
  </si>
  <si>
    <t>회사명</t>
  </si>
  <si>
    <t>사업분야</t>
  </si>
  <si>
    <t>회사설립년도</t>
  </si>
  <si>
    <t>직원현황</t>
  </si>
  <si>
    <t>해당부문 사업기간</t>
  </si>
  <si>
    <t>전화:                         FAX:</t>
  </si>
  <si>
    <t>＜주요연혁＞</t>
  </si>
  <si>
    <t>2. 제안(제출)서류</t>
  </si>
  <si>
    <t>① 교복 납품 실적표(F-022)_x000D_
② 교복 제조 사양서(F-023)_x000D_
③ 품목별 단가 비율표(F-024)_x000D_
④ 교복 A/S 계획서(F-025)_x000D_
⑤ 소비자 불만 처리 계획(F-026)_x000D_
⑥ 위임장(F-027), 서약서(F-028), 개인정보 동의서(F-029)_x000D_
⑦ 품질인증·시험성적 등 제안요청서에서 정한 증빙서류</t>
  </si>
  <si>
    <t>제안자 성명                         (서명 또는 날인)</t>
  </si>
  <si>
    <t>[검토용] 원본 HWPX [9-10] [서식 5] 대조. 업체명만 자동 반영하며 실적행은 업체별 증명서와 대조하여 직접 작성합니다.</t>
  </si>
  <si>
    <t>교복 납품 실적(입찰공고일 기준 최근 3년 이내 실적)</t>
  </si>
  <si>
    <t>사업명</t>
  </si>
  <si>
    <t>사업기간</t>
  </si>
  <si>
    <t>계약금액
(천원)</t>
  </si>
  <si>
    <t>발주처</t>
  </si>
  <si>
    <t>붙임  실적증명서 각 1부.</t>
  </si>
  <si>
    <t>위와 같이 납품실적을 제출합니다.</t>
  </si>
  <si>
    <t>제안자 성 명                         (서명 또는 날인)</t>
  </si>
  <si>
    <t>[검토용] 원본 HWPX [9-11] [서식 6] 대조. 업체명만 자동 반영하며 재질·설명 내용은 직접 작성합니다.</t>
  </si>
  <si>
    <t>납품 교복 제조 사양서</t>
  </si>
  <si>
    <t>*서식은 입찰 업체 상황에 맞게 변경 사용 가능(사진 등 첨부 가능)</t>
  </si>
  <si>
    <t>생활형 교복</t>
  </si>
  <si>
    <t>견본 품목</t>
  </si>
  <si>
    <t>재질</t>
  </si>
  <si>
    <t>설명 내용</t>
  </si>
  <si>
    <t>후드 점퍼</t>
  </si>
  <si>
    <t>집업티</t>
  </si>
  <si>
    <t>맨투맨티</t>
  </si>
  <si>
    <t>긴바지</t>
  </si>
  <si>
    <t>반팔티</t>
  </si>
  <si>
    <t>반바지</t>
  </si>
  <si>
    <t>※ 국산섬유원단 사용 여부(한국섬유산업연합회 인증마크 획득) 등 상세히 기재</t>
  </si>
  <si>
    <t>[검토용] 원본 HWPX [9-14] [서식 8] 대조. 원문에 업체명 표시 자리가 없어 반영하지 않으며 A/S 계획 전 항목은 직접 작성합니다.</t>
  </si>
  <si>
    <t>1. A/S 기간</t>
  </si>
  <si>
    <t>가. 무상 A/S 기간 (                부터                까지 )</t>
  </si>
  <si>
    <t>2. A/S 편의성</t>
  </si>
  <si>
    <t>가. 사업장 소재지 :</t>
  </si>
  <si>
    <t>나. 신속성 : A/S 완료까지 소요되는 기간 (                일)</t>
  </si>
  <si>
    <t>다. 출장 A/S 가능여부 : 가능한 경우 출장 A/S 최소 학생 수 기재 (                명)</t>
  </si>
  <si>
    <t>라. 택배 A/S 가능여부 : 가능한 경우 택배비용 무상/유상 기재 (                )</t>
  </si>
  <si>
    <t>3. A/S지정업체 (A/S지정업체가 별도 있을 경우 교복업체와 관계를 입증할 계약서 등 첨부)</t>
  </si>
  <si>
    <t>가. 주 소 :</t>
  </si>
  <si>
    <t>나. 연락처 :</t>
  </si>
  <si>
    <t>다. 거리접근성 : 학교와 A/S 수선점과의 거리 기재 (                km)</t>
  </si>
  <si>
    <t>4. A/S 내용</t>
  </si>
  <si>
    <t>가. 시설현황 : A/S관련 시설 및 수량 기재(재단기, 오버로크 등)</t>
  </si>
  <si>
    <t>나. 무상A/S 세부내용</t>
  </si>
  <si>
    <t>- 바지/치마 기장수선  - 품·허리수선  - 헤진부위수선  - 단추  - 지퍼  - 바느질 등 세부적 사항 기재</t>
  </si>
  <si>
    <t>다. 유상A/S 세부내용</t>
  </si>
  <si>
    <t>-</t>
  </si>
  <si>
    <t>[검토중 — 담당자 최종 확인 후 사용] 원본 HWPX 3쪽 [1] 대조. 위원 성명은 개인정보이므로 마스킹 식별표시만 반영함</t>
  </si>
  <si>
    <t>교복선정위원회 구성(안)</t>
  </si>
  <si>
    <t>내부결재</t>
  </si>
  <si>
    <t>가. 위원회명：교복선정위원회</t>
  </si>
  <si>
    <t>나. 구성인원：7인 이상(교원위원 3인, 학부모위원 2인, 학생위원 2인)</t>
  </si>
  <si>
    <t>※ 교장 및 행정실장은 위원에서 제외, 교원을 제외한 위원이 1/2 이상 포함되도록 구성</t>
  </si>
  <si>
    <t>다. 역 할</t>
  </si>
  <si>
    <t>1) 교복 디자인 및 사양 선정</t>
  </si>
  <si>
    <t>2) 교복 품질심사기준 설정 및 심사</t>
  </si>
  <si>
    <t>3) 교복 제작 감독</t>
  </si>
  <si>
    <t>4) 구매결과 평가 실시</t>
  </si>
  <si>
    <t>라. 위원 명단</t>
  </si>
  <si>
    <t>순</t>
  </si>
  <si>
    <t>직급(직위)</t>
  </si>
  <si>
    <t>성명</t>
  </si>
  <si>
    <t>붙임 1. 교복선정위원회 위원 수락 및 확인서 1부.</t>
  </si>
  <si>
    <t xml:space="preserve">      2. 교복선정위원회 위원 청렴 및 보안 서약서 1부.  끝.</t>
  </si>
  <si>
    <t>[검토중 — 담당자 최종 확인 후 사용] 원본 HWPX 4쪽 [1-1] 대조. 위원이 자필로 작성·서명하는 빈 양식이며 학교 공통정보만 반영함</t>
  </si>
  <si>
    <t>교복선정위원회 위원 수락 및 확인서</t>
  </si>
  <si>
    <t>업체와의 관련이 있는 것으로 판명될 경우, 즉시 위원직을 사퇴할 것이며, 추후 어떠한 이의도 제기하지 않을 것을 서약합니다.</t>
  </si>
  <si>
    <t>주      소 :</t>
  </si>
  <si>
    <t>성      명 :</t>
  </si>
  <si>
    <t>서      명 :                              (인)</t>
  </si>
  <si>
    <t>[검토중 — 담당자 최종 확인 후 사용] 원본 HWPX 5쪽 [1-2] 대조. 위원이 자필로 작성·서명하는 빈 양식이며 학교 공통정보만 반영함</t>
  </si>
  <si>
    <t>청렴 및 보안 서약서</t>
  </si>
  <si>
    <t>[검토중 — 담당자 최종 확인 후 사용] 원본 HWPX 6쪽 [2] 대조</t>
  </si>
  <si>
    <t>교복 학교주관구매 추진 계획 수립(안)</t>
  </si>
  <si>
    <t>[검토중 — 담당자 최종 확인 후 사용] 원본 HWPX 7~12쪽 [2-1] 대조. 원문이 6개 물리 페이지 분량이라 이 서식만 예외적으로 다중 페이지 자연 출력을 허용함(강제 압축 없음)</t>
  </si>
  <si>
    <t>❍ 근 거：학교안전과-○○(20○○. ○○. ○○.) 「교복 학교주관구매 운영 요령」</t>
  </si>
  <si>
    <t>❍ 목 적：교복 학교주관구매 지원을 통한 학부모의 경제적 부담 경감</t>
  </si>
  <si>
    <t>❍ 시 기：20○○. ○○월 ~ 20○○. ○○월</t>
  </si>
  <si>
    <t>❍ 대 상：해당 학년도 모든 신입생</t>
  </si>
  <si>
    <t>❍ 학교장이 업체와 계약 체결 후 교복을 일괄 구매하는 학교주관구매 실시</t>
  </si>
  <si>
    <t>❍ 교복의 품질과 가격을 종합적으로 심사할 수 있는 2단계 입찰로 투명성·공정성·가격 경쟁력 확보</t>
  </si>
  <si>
    <t>❍ 교원, 학생대표, 학부모 대표 등으로 「교복선정위원회」를 구성·운영하여 명확하고 합리적인 심사기준 설정</t>
  </si>
  <si>
    <t>단계 및 시기</t>
  </si>
  <si>
    <t>주요 추진 사항</t>
  </si>
  <si>
    <t>교복 구매 계획 수립 [4월]</t>
  </si>
  <si>
    <t>교복 구매 계획 수립(추진일정, 디자인, 품질기준, 상한가격, 계약방식 등 포함)</t>
  </si>
  <si>
    <t>사업부서</t>
  </si>
  <si>
    <t>학교운영위원회 심의 [4월~5월]</t>
  </si>
  <si>
    <t>교복 구매 계획 학교운영위원회 심의</t>
  </si>
  <si>
    <t>입찰 공고 [6월~7월]</t>
  </si>
  <si>
    <t>구매물량 확정 단서 명시, A/S·반품·교환 요청사항 포함, 납품기한 명시</t>
  </si>
  <si>
    <t>계약부서</t>
  </si>
  <si>
    <t>1단계 품질심사(제안서 평가)</t>
  </si>
  <si>
    <t>교복선정위원회 품질(제안서) 심사</t>
  </si>
  <si>
    <t>사업부서(계약부서)</t>
  </si>
  <si>
    <t>2단계 가격 경쟁</t>
  </si>
  <si>
    <t>품질 적격업체 대상 가격 입찰</t>
  </si>
  <si>
    <t>사업자 선정·계약 체결 [7월~8월]</t>
  </si>
  <si>
    <t>낙찰통지 후 계약서 작성(단가계약 체결)</t>
  </si>
  <si>
    <t>학교주관구매 홍보 [12월~다음연도 1월]</t>
  </si>
  <si>
    <t>신입생 배정·합격자 통지 시 구매 방법 안내</t>
  </si>
  <si>
    <t>구성 인원 확정 및 치수 측정 [다음연도 1~2월]</t>
  </si>
  <si>
    <t>물량 확정 후 40일의 납품기한 보장</t>
  </si>
  <si>
    <t>교복 구매/납품 [다음연도 2월]</t>
  </si>
  <si>
    <t>교내 또는 업체 매장에서 검사·검수 실시</t>
  </si>
  <si>
    <t>대금 지급 [다음연도 3월]</t>
  </si>
  <si>
    <t>학교회계 절차에 따라 세입·세출 처리</t>
  </si>
  <si>
    <t>검사·검수 및 평가·환류 [다음연도 2~3월]</t>
  </si>
  <si>
    <t>계약 내용 확인 후 검수, 교복 만족도 조사</t>
  </si>
  <si>
    <t>❍ 교복디자인 선정·공개</t>
  </si>
  <si>
    <t>1) 신입생 교복은 원칙적으로 전년도 교복 디자인으로 한다.</t>
  </si>
  <si>
    <t>2) 교복 형태에 관한 사항을 학생 생활규정으로 명문화하고, 사양서와 사진, 규정 등을 학교 규정집과 학교 누리집 공지사항 등을 통해 공개한다.</t>
  </si>
  <si>
    <t>※ 교복 디자인 변경 시 도교육청 누리집 등을 통해 공개(최소 입찰공고 1개월 전까지)</t>
  </si>
  <si>
    <t>❍ 교복선정위원회 구성 및 역할</t>
  </si>
  <si>
    <t>1) 교복선정위원회 구성 현황(위원 성명은 개인정보이므로 마스킹 식별표시만 표시함)</t>
  </si>
  <si>
    <t>2) 역할：(제안서 심사) 디자인 적합성·재질·바느질 상태·A/S(의무기간 1년)·하자 이행 등 품질심사 기준 설정 및 제안서 평가·적격업체 선정 / (제작 감독) 계약 체결 후 제작 상황 확인(샘플검사·원단검사 등) / (검수) 납품 시 수량·사양서 등 계약 내용 확인 후 검수, 품질검사 실시 / (평가) 착용 이후 학생·학부모 의견수렴을 거쳐 구매 결과 평가 실시</t>
  </si>
  <si>
    <t>※ 교복 업계 이해관계자는 위촉 불가, 위원 후보자로부터 확인서·서약서 징구. 필요시 교복 제조·판매 시설 실사 실시</t>
  </si>
  <si>
    <t>❍ 교복 구매 기준</t>
  </si>
  <si>
    <t>1) 교복 구매 시 품질기준, 디자인, 상한 가격, 구매절차 및 입찰방법, 참가자 신청 일정 및 비용 납부, A/S 방안 등에 관한 사항을 포함한다.</t>
  </si>
  <si>
    <t>2) 신입생 3월 동복 착용 시 교복 제작 일정을 감안하여 8월까지 사업자를 선정하여 추진한다.</t>
  </si>
  <si>
    <t>❍ 입찰 공고</t>
  </si>
  <si>
    <t>1) 교복 구매 사업자 선정을 위한 입찰공고문을 작성하여 교복사양서와 함께 학교 누리집 및 지정 정보처리장치 등에 게재한다.</t>
  </si>
  <si>
    <t>2) 입찰에 부치는 사항, 입찰·개찰의 장소 및 일시, 참가자격, 낙찰자 결정방법, 계약 방법, 이행예정 기간 등을 명시하되, 구매물량은 「학생 인원에 따라 구매 물량 확정」이라는 단서를 반드시 명시한다.</t>
  </si>
  <si>
    <t>3) 물량변동 분쟁을 방지하도록 단가계약을 체결하되, 전입생 등 추가 구매가 가능하도록 충분한 수량을 확보한다.</t>
  </si>
  <si>
    <t>4) 입찰 참가 사업자는 학교에 입찰 참가 신청서를 제출한다.</t>
  </si>
  <si>
    <t>5) 기초가격은 교육청 상한 가격을 넘지 않는 선에서 교복사양(디자인·원단 등)을 고려한 거래실례가격·견적가격 등을 감안해 산출한다.</t>
  </si>
  <si>
    <t>6) 입찰 공고 등에 관한 사항은 관련 법령과 규정을 준수하여 진행한다.</t>
  </si>
  <si>
    <t>❍ 교복 납품 사업자 선정</t>
  </si>
  <si>
    <t>1) 교복선정위원회가 응찰 사업자를 대상으로 2단계 입찰(품질 → 가격)을 심사한다.</t>
  </si>
  <si>
    <t>2) 품질 심사：가격 심사 참가를 위한 최소 품질기준 합격 여부를 심사하며, 명확한 기준에 따라 엄격히 심사하고 Q-MARK 검사 기준 등을 적극 활용한다.</t>
  </si>
  <si>
    <t>3) 가격 경쟁：품질 합격 업체를 대상으로 입찰 관련 법령을 준수해 가격 경쟁을 실시하며, 상한 가격 초과·지역제한 미충족 업체는 탈락시킨다.</t>
  </si>
  <si>
    <t>4) 사업자 선정：최종 낙찰자를 사업자로 선정하고 공급 단가만 계약하되 「구매물량은 신청 학생 인원에 따라 확정」이라는 단서를 반드시 명시한다(단가계약 체결).</t>
  </si>
  <si>
    <t>※ 계약 시 확인 사항：무상 A/S 기한(1년 의무기간)·처리과정, 납품 기일 설정 및 계약이행지급각서 등 제출, 원단 검사 시 의류 시험성적서 제출, 납품 시점 하자이행보증보험증권 제출, 계약 특수조건(전입생 추가 구매 물량 확보) 명시</t>
  </si>
  <si>
    <t>❍ 규모 확정 및 학교회계 처리</t>
  </si>
  <si>
    <t>1) 3월 입학 동복 착용의 경우 예비소집일 등을 통해 신속히 참여 규모를 확정하고 회계처리한다.</t>
  </si>
  <si>
    <t>※ 신청 시 희망 치수와 실제측정 치수를 함께 조사한다.</t>
  </si>
  <si>
    <t>❍ 검수 및 평가·환류</t>
  </si>
  <si>
    <t>1) 계약 체결 후 원단 구입 전 샘플 검사(1차), 원단 검사(2차) 등 제작 상황을 수시로 확인한다.</t>
  </si>
  <si>
    <t>2) 물품 검수 시 수량·사양서 등 계약내용 및 제조 연월 표시 여부(라벨 불량·품질 표시 등)를 철저히 확인 후 검수한다.</t>
  </si>
  <si>
    <t>3) 교복 품질 검사 실시 후 검수한다.</t>
  </si>
  <si>
    <t>4) 착용 이후 학생·학부모 의견 수렴을 거쳐 「교복선정위원회」에서 구매 결과 평가를 실시한다.</t>
  </si>
  <si>
    <t>❍ 공정하고 투명한 입찰 방법을 통하여 저렴하고 높은 품질의 교복을 확보하고, 학교회계 관련 법령 및 절차에 따른 진행으로 교복구매의 합리성을 도모한다.</t>
  </si>
  <si>
    <t>붙임  교복 사양서 1부.  끝.</t>
  </si>
  <si>
    <t>[검토중 — 담당자 최종 확인 후 사용] 원본 HWPX 13쪽 [3] 대조. 참고 서식이며 학교운영위원회 자체 서식 사용을 권장함(원문 안내문 그대로 반영)</t>
  </si>
  <si>
    <t>안건번호</t>
  </si>
  <si>
    <t>제출일자</t>
  </si>
  <si>
    <t>제 안 자</t>
  </si>
  <si>
    <t>제안설명자</t>
  </si>
  <si>
    <t>1. 제안 이유</t>
  </si>
  <si>
    <t>❍ 근 거：「초·중등교육법」 제30조의2, 제32조 제1항</t>
  </si>
  <si>
    <t>2. 주요 내용</t>
  </si>
  <si>
    <t>가. 목적</t>
  </si>
  <si>
    <t>❍ 투명하고 공정한 선정 절차로 우수한 품질과 가격 경쟁력 확보</t>
  </si>
  <si>
    <t>❍ 학부모 교육비 부담을 경감하여 교복 가격 안정화 도모</t>
  </si>
  <si>
    <t>나. 교복 납품 사업자 선정 방법</t>
  </si>
  <si>
    <t>❍ 교복선정위원회를 구성하여 교복에 대한 2단계 경쟁(품질 → 가격)을 심사</t>
  </si>
  <si>
    <t>다. 교복구매 상한가격</t>
  </si>
  <si>
    <t>라. 협의사항</t>
  </si>
  <si>
    <t>❍ 교복선정위원회 구성</t>
  </si>
  <si>
    <t>직위</t>
  </si>
  <si>
    <t>❍ 기타 의견 수렴</t>
  </si>
  <si>
    <t>※ 참고 서식이니 해당학교의 학교운영위원회 서식을 사용할 것</t>
  </si>
  <si>
    <t>[검토중 — 담당자 최종 확인 후 사용] 원본 HWPX 17쪽 [7] 대조. 기초금액·납품기한·계약방법은 담당자가 최신 계약 기준을 확인함</t>
  </si>
  <si>
    <t>교복 학교주관구매 기초금액 및 계약방법 결정</t>
  </si>
  <si>
    <t>1. 관련：지방자치단체 입찰 및 계약 집행기준 및 지방자치단체를 당사자로 하는 계약에 관한 법률 시행령</t>
  </si>
  <si>
    <t>가. 건 명：</t>
  </si>
  <si>
    <t>나. 물품개요：</t>
  </si>
  <si>
    <t>교복 제작사양서 참조</t>
  </si>
  <si>
    <t>다. 기초금액：</t>
  </si>
  <si>
    <t>라. 납품기한：</t>
  </si>
  <si>
    <t>마. 계약방법：</t>
  </si>
  <si>
    <t>붙임 교복 제작 사양서 1부. 끝.</t>
  </si>
  <si>
    <t>[검토중 — 담당자 최종 확인 후 사용] 원본 HWPX 18쪽 [8] 대조. 공개기간·의견마감은 최신 지침을 담당자가 확인함</t>
  </si>
  <si>
    <t>1. 관련：지방자치단체를 당사자로 하는 계약에 관한 법률 및 같은 법 시행령</t>
  </si>
  <si>
    <t>가. 사 업 명：</t>
  </si>
  <si>
    <t>나. 기초금액：</t>
  </si>
  <si>
    <t>다. 배정예산：</t>
  </si>
  <si>
    <t>라. 공개방법：</t>
  </si>
  <si>
    <t>마. 공개사항：</t>
  </si>
  <si>
    <t>바. 사전공개기간：</t>
  </si>
  <si>
    <t>사. 의견등록마감일시：</t>
  </si>
  <si>
    <t>지정정보처리장치(G2B)를 통한 사전규격 공개</t>
  </si>
  <si>
    <t>[검토중 — 담당자 최종 확인 후 사용] 원본 HWPX 19~25쪽 [9] 대조. 법령·자격·일정·공고 조건은 담당자가 최종 확인함</t>
  </si>
  <si>
    <t>〔2단계 입찰(규격·가격 동시)〕</t>
  </si>
  <si>
    <t>1. 입찰에 부치는 사항</t>
  </si>
  <si>
    <t>구매예정수량</t>
  </si>
  <si>
    <t>구성품목 및 규격</t>
  </si>
  <si>
    <t>붙임 교복 사양서 참조</t>
  </si>
  <si>
    <t>입찰 방법</t>
  </si>
  <si>
    <t>단가입찰, 지역제한, 2단계입찰(규격·가격동시)</t>
  </si>
  <si>
    <t>납품장소</t>
  </si>
  <si>
    <t>특기사항</t>
  </si>
  <si>
    <t>낙찰업체는 품목별 단가표·의류시험성적서 등 원문 공고에서 요구하는 서류를 담당자 최종 확인 후 제출합니다.</t>
  </si>
  <si>
    <t>2. 입찰방법</t>
  </si>
  <si>
    <t>가. 본 입찰은 전자입찰 방식으로 진행하며, 규격제안서는 학교에 직접 제출하고 가격입찰서는 G2B 전자입찰시스템을 이용하여 제출합니다.
나. 단가입찰·지역제한·2단계 입찰(규격·가격 동시) 및 청렴서약제 적용 여부는 최신 공고 기준을 담당자가 확인합니다.
다. 공동도급 허용 여부와 제출 방식은 공고 전 최종 확인합니다.</t>
  </si>
  <si>
    <t>3. 입찰 참가자격</t>
  </si>
  <si>
    <t>가. 관련 법령에 따른 자격 요건을 갖추고 입찰 참가 제한 사유가 없는 업체이어야 합니다.
나. 중소기업·소상공인 확인서 및 본점 소재지 제한, G2B 이용자 등록·신원확인 요건은 공고일 기준으로 담당자가 확인합니다.</t>
  </si>
  <si>
    <t>4. 계약업체 선정절차</t>
  </si>
  <si>
    <t>가. 제안서 및 가격입찰서 제출  나. 교복선정위원회를 통한 제안서 평가  다. 적격자에 한한 가격 개찰  라. 예정가격 이하 최저가격 입찰자 선정</t>
  </si>
  <si>
    <t>5. 제안서 제출</t>
  </si>
  <si>
    <t>6. 가격입찰서 제출</t>
  </si>
  <si>
    <t>가. 제출기간: 담당자 최종 확인
나. 제출 장소: 국가종합전자조달시스템(G2B) 전자제출
다. 제출방법·운영시간 및 전자입찰 유의사항은 최신 나라장터 안내를 확인합니다.</t>
  </si>
  <si>
    <t>7. 제안서 평가 및 효력</t>
  </si>
  <si>
    <t>가. 평가 일시·장소와 평가항목 및 배점기준은 담당자가 확정합니다.
나. 제안업체는 평가 내용과 결과에 이의를 제기할 수 없으며, 공고문·특수조건과 상충하는 제안서 내용은 효력이 없습니다.
다. 보완 요구·제출서류 미비 시 처리 기준은 원문 공고와 최신 법령을 확인합니다.</t>
  </si>
  <si>
    <t>8. 가격입찰서 개찰 및 낙찰자 결정방법</t>
  </si>
  <si>
    <t>가. 개찰 일시·장소는 담당자가 확정합니다.
나. 규격평가 적격업체에 한해 가격을 개찰하고, 예정가격 이하 최저가격 입찰자를 낙찰자로 선정합니다.
다. 동일가격 입찰 등 세부 낙찰 기준은 공고 전 최신 법령·집행기준을 확인합니다.</t>
  </si>
  <si>
    <t>9. 입찰보증금 납부 및 귀속</t>
  </si>
  <si>
    <t>입찰보증금 납부 확약·낙찰자의 계약 미체결 시 조치 등은 지방계약법 및 공고일 현재 집행기준에 따릅니다.</t>
  </si>
  <si>
    <t>10. 입찰의 무효 및 유의사항</t>
  </si>
  <si>
    <t>관련 법령·전자입찰 유의서에 해당하는 입찰은 무효로 하며, 입찰참가자는 공고문·계약특수조건·규격서·평가기준 및 계약조건을 숙지해야 합니다.</t>
  </si>
  <si>
    <t>11. 계약체결 및 이행</t>
  </si>
  <si>
    <t>최종낙찰자는 품목별 단가표, 계약·하자 이행보증 및 원단 시험성적서 등 계약서류를 제출해야 하며, 계약 체결·이행 조건은 최신 법령과 계약서에 따릅니다.</t>
  </si>
  <si>
    <t>12. 기타사항</t>
  </si>
  <si>
    <t>전자입찰 시스템 문의처, 견본품 반환, 개인정보 보호, 하도급 제한 및 입찰·계약 문의처는 학교가 공고 전 최신 정보로 직접 기입합니다. 개인정보·연락처는 이 통합문서에서 자동 반영하지 않습니다.</t>
  </si>
  <si>
    <t>[검토중 — 담당자 최종 확인 후 사용] 원본 HWPX 26~29쪽 [9-1](F-011 붙임 1) 대조. 제3조 납품기한 날짜만 기초자료입력!C17을 참조하고(동복·하복 공통, 단일 필드 한계), 계약상대자명·금액 등 나머지 계약 문구는 자동 반영하지 않으며 담당자가 최종 확인함</t>
  </si>
  <si>
    <t>제1조(구매 수량 및 구매 단가)</t>
  </si>
  <si>
    <t>제2조(교복 치수 측정)</t>
  </si>
  <si>
    <t>① 「공급자」는 교복 규격서대로 성실히 제작하기 위해 학생 신체 치수 등을 측정할 장소와 시간 등을 학교와 사전 협의하여 정하고, 측정 장소와 시간은 교복을 구매하는 학생들이 개별적으로 방문하여 이용하는 데에 불편함이 없어야 하며, 측정기간은 주말을 포함하여 최소 5일 이상으로 하여야 한다.
② 「공급자」는 학생 신체 치수 측정 시 교직원 또는 보호자 동반 하에 공개된 장소에서 실시하며 남학생은 남성이 여학생은 여성이 신체 치수를 측정하도록 해야 한다.
③ 「학교」는 「공급자」의 교복 제작을 위한 신체 치수 측정에 적극 협조하여야 하며, 「공급자」는 교복을 착용할 학생의 신체 치수에 맞는 교복을 정확하게 제조하여 납품하여야 한다.
④ 교복 치수 측정 또는 교복 수령을 위해 학생이 업체 방문 시 「공급자」가 본 공고문에 명시된 교복 품목 외의 의류를 판매할 경우 해당 의류구입비는 교복구입지원비로 지원할 수 없으며 「공급자」는 반드시 학생 및 학부모가 자비로 부담하여 구매해야 함을 학생 및 학부모에게 알리고 판매해야 한다.</t>
  </si>
  <si>
    <t>제3조(납품 기한 및 장소)</t>
  </si>
  <si>
    <t>제4조(납품 전 확인)</t>
  </si>
  <si>
    <t>① 「공급자」는 제출한 샘플과 동일한 원부자재를 사용해야 하며 「학교」는 공급자의 제조공정을 확인할 수 있다.
② 「학교」는 「공급자」의 제조공정에서 봉제 상태를 검수할 수 있으며 「공급자」는 이에 성실하게 응해야 한다.</t>
  </si>
  <si>
    <t>제5조(교복의 상태)</t>
  </si>
  <si>
    <t>① 원단은 오염, 파열, 절상이 없어야 한다.
② 재단은 반듯해야 하며, 염색불량, 이색원단은 사용하지 않아야 한다.
③ 땀의 띔, 땀의 터짐이 없어야 하고, 봉제선은 굽은 봉제선, 이음 봉제선 벗어남이 눈에 띄지 않아야 한다.
④ 단추 구멍은 단추크기에 맞게 알맞게 뚫어야 한다.
⑤ 각 부의 봉합은 윗실, 밑실의 당겨짐, 늘어짐이 없어야 한다.
⑥ 제품의 실밥 등은 깨끗이 정리해 눈에 띄지 않아야 한다.
⑦ 통풍이 잘 되어야 하며, 비침이 없어야 한다.</t>
  </si>
  <si>
    <t>제6조(검사·검수)</t>
  </si>
  <si>
    <t>① 「공급자」는 계약일 이후 제조된 교복 완제품(기장 등 치수 조정 시 수선 완료)을 납품하여야 한다.
② 공급자는 학교가 제시한 규격과 일치한 교복을 납품하여야 하며, 납품 시 분별하기 쉽게 구매 학생의 학년/반, 성명이 기재된 개별 포장이 되어 있어야 한다.
③ 「공급자」는 교복의 안감에 품목별로 치수, 원단의 재질, 세탁 및 보관 시 유의사항, 수선을 받을 수 있는 「공급자」의 연락처, 제조년월 등이 기재된 라벨을 부착하여야 한다.
④ Q마크 인증 제품, 국산 섬유제품 인증 제품을 공급하는 「납품사」는 Q마크와 한국섬유산업연합회에서 발급하는 「국산 섬유제품 인증마크」를 교복에 부착하여 납품한다.(비용은 「공급자」 부담)
⑤ 업체에서 구입한 원단의 「시험성적서」를 납품 시 제출하여야 한다.
⑥ 「공급자」는 「학교」에 최종납품확인서를 제출하여야 하고 「학교」의 검사·검수에 합격하여야 납품이 완료된다.</t>
  </si>
  <si>
    <t>제7조(품질검사)</t>
  </si>
  <si>
    <t>① 「학교」는 「공급자」가 학생에게 지급한 교복 중에서 일부를 지정하여 전문기관에 교복 품질에 대한 검사를 의뢰할 수 있다.
② 「학교」는 전문기관의 검사 결과 교복 품질의 문제가 발생된 경우 「공급자」에게 교환 등 관계법령에 따라 필요한 조치를 요구할 수 있고, 「공급자」는 「학교」의 요구사항을 성실히 이행하여야 한다.</t>
  </si>
  <si>
    <t>제8조(교환 및 제품의 하자)</t>
  </si>
  <si>
    <t>① 납품된 교복은 제출했던 견본과 동일해야 하며, 「학교」에서 제시한 규격서, 교복 구매특수조건과 불일치(원단, 봉제상태 등)할 경우 무상으로 교환을 해주어야 한다.
② 미리 측정한 교복 구매 학생의 치수와 다르게 제작된 것이 「학교」의 학생 및 학부모 등에 의하여 확인될 경우, 「공급자」는 지체 없이 치수에 맞게 무상 교환해줘야 한다. (단, 개인변형 시 해당되지 않음)
③ 제품 하자에 대한 교환 등 소비자 불만에 대한 처리는 제안서 제출 시 제출한 「소비자불만사항에 대한 처리계획」에 따라 처리하도록 한다.</t>
  </si>
  <si>
    <t>제9조(하자보증)</t>
  </si>
  <si>
    <t>공급자는 동복과 하복 납품시점에 각각 「하자이행보증보험」 증권을 각각 제출하여야 한다. (하자보증기간 : 1년, 구매확정금액에 대한 증권 제출)</t>
  </si>
  <si>
    <t>제10조(사후관리)</t>
  </si>
  <si>
    <t>① 「공급자」는 「공급자」가 납품한 전체 교복에 대하여 납품일로부터 3년간 품질보증을 해야 하고, 납품 후 1년간 무상 A/S를 해주어야 한다.
② 「공급자」의 교복 납품 후 학생의 귀책사유(학생귀책사유 여부는 공급자가 증명)로 교복이 손상되고 「공급자」에게 수선을 요구하면 「공급자」는 실제 수선비를 청구하고 성실하게 수선해 주어야 한다.
③ 지정한 A/S 수선점이 중도에 폐업할 경우 「공급자」는 1주일 이내에 가까운 A/S 수선점을 재지정하고, 「학교」에 통보해야 한다.
④ 「공급자」는 A/S 요청 시 신속·친절하게 처리해주어야 한다.</t>
  </si>
  <si>
    <t>제11조(지연배상금)</t>
  </si>
  <si>
    <t>「공급자」는 본 계약의 성실한 이행을 위하여 납기를 준수하여야 하며 납기가 지연될 때에는 납기지연 지체일수 1일에 대하여 계약금액의 0.8/1000에 해당하는 금액을 지체일수에 곱한 지연배상금을 「학교」가 납품 대금에서 공제한 후 「공급자」에게 지불한다. 단, 「학교」의 귀책사유에 의해 납기가 지연되거나 천재지변 등 불가피한 사유로 인하여 납기가 지연될 때에는 그러하지 아니한다.</t>
  </si>
  <si>
    <t>제12조(대금청구)</t>
  </si>
  <si>
    <t>「공급자」가 납품 후 「학교」의 검사·검수가 완료되었을 때, 「공급자」의 대금청구에 따라 지정된 금융기관의 예금계좌로 5일 이내(토·공휴일 제외)에 송금하여 대금을 지불한다.</t>
  </si>
  <si>
    <t>제13조(금액변경)</t>
  </si>
  <si>
    <t>「공급자」는 계약기간 중 발생한 원단의 시장가격 변동 등의 사유로 계약금액 또는 1벌당 교복가격의 변경을 요구할 수 없다. 재학생 및 전입생의 희망에 따른 추가 구매 시에도 동일한 단가를 적용한다.</t>
  </si>
  <si>
    <t>제14조(계약불이행 등)</t>
  </si>
  <si>
    <t>① 「공급자」의 고의, 과실 등의 사유로 계약이행 과정에서 불법행위가 발생하거나, 계약의 불이행, 납품된 물품의 중대한 하자발생 시 「공급자」는 민·형사상의 모든 책임을 진다.
② 「공급자」는 개인정보 보호 관련 법규에 따라 계약기간 중에는 물론 납품 완료 후에도 개인정보가 외부에 유출되지 않도록 하여야 하며, 개인정보 유출 시 모든 민·형사상의 책임을 진다.</t>
  </si>
  <si>
    <t>제15조(하도급 금지)</t>
  </si>
  <si>
    <t>본 계약은 「공급자」가 직접 수행해야 하며 제3자에게 하도급 할 수 없다.</t>
  </si>
  <si>
    <t>제16조(디자인 소유권)</t>
  </si>
  <si>
    <t>디자인 제작에 관계없이 선정된 디자인의 소유권은 학교에 귀속된다.</t>
  </si>
  <si>
    <t>제17조(계약 내용 해석)</t>
  </si>
  <si>
    <t>① 계약 내용의 해석에 있어 「학교」와 「공급자」 간에 이견이 있으면 계약서 본문과 본 계약 특수조건 등의 종합적이고 합리적인 해석을 통해 본래의 계약체결 취지와 학교주관구매 시행 목적에 부합하는 방향으로 해석하여야 한다.
② 본 계약 특수 조건에서 규정하지 아니한 사항에 대해서는 「학교」와 「공급자」가 상호 협의하여 결정한다.</t>
  </si>
  <si>
    <t>제18조(부정당업자의 제재)</t>
  </si>
  <si>
    <t>① 「학교」는 「업체」가 「지방자치단체를 당사자로 하는 계약에 관한 법률 시행령」 제92조에 따라 각 호에 해당하는 행위를 한 경우 「업체」를 도교육청에 부정당업자로 신고하여야 한다.
1. 계약을 이행할 때 부실하게 하거나 조잡하게 하거나 부당하게 하거나 부정한 행위를 한 자
2. 정당한 이유 없이 낙찰된 후 계약을 체결하지 아니한 자 또는 계약을 체결한 이후 계약이행을 하지 아니하거나 계약서에 정한 조건을 위반하여 이행한 자
3. 입찰, 계약 체결 또는 이행과정에서 입찰자 또는 계약상대자 간에 서로 상의하여 미리 입찰가격, 수주물량 또는 계약의 내용 등을 협정하였거나 특정인의 낙찰 또는 납품대상자 선정을 위하여 담합한 자
4. 입찰·낙찰 또는 계약의 체결·이행과 관련하여 사기로 지방자치단체에 손해를 끼친 자</t>
  </si>
  <si>
    <t>제19조(소송관할)</t>
  </si>
  <si>
    <t>본 계약서의 각 항의 해석상 이의가 있을 때에는 서로 협의하며, 다툼이 있을 때에는 「학교」의 관할법원으로 한다.</t>
  </si>
  <si>
    <t>[검토중 — 담당자 최종 확인 후 사용] 원본 HWPX 15쪽 [6-1] 대조. 섬유혼용률·유의사항·디자인 이미지·원단 및 색상은 품목·업체마다 달라 자동 반영하지 않으며 담당자가 직접 작성·붙여넣음</t>
  </si>
  <si>
    <t>1. 섬유혼용률(허용범위는 학교·업체 협의로 기재)</t>
  </si>
  <si>
    <t>섬유 혼용률</t>
  </si>
  <si>
    <t>2. 제작 시 유의 사항</t>
  </si>
  <si>
    <t>1) 전년도와 변동 여부</t>
  </si>
  <si>
    <t>2) 규정 및 유의사항(학교 교복 규정에 반영할 내용 표기)</t>
  </si>
  <si>
    <t>3. 교복 디자인 및 규격서(디자인 이미지는 담당자가 직접 붙여넣음)</t>
  </si>
  <si>
    <t>디자인 이미지(전,후면)</t>
  </si>
  <si>
    <t>원단 및 색상</t>
  </si>
  <si>
    <t>제작시 유의사항</t>
  </si>
  <si>
    <t>(이미지 붙여넣기 공간)</t>
  </si>
  <si>
    <t>[검토중 — 담당자 최종 확인 후 사용] 원본 HWPX 70쪽 [14] 대조. 낙찰 업체는 I3 순번으로 1곳만 선택 반영하며 대표자·비고(주소)는 수기 작성함</t>
  </si>
  <si>
    <t>낙찰 업체 선택 순번(자동, 인쇄 전용)</t>
  </si>
  <si>
    <t>교복 학교주관구매 낙찰자 결정(안)</t>
  </si>
  <si>
    <t>가. 건  명：</t>
  </si>
  <si>
    <t>다. 예정가격：</t>
  </si>
  <si>
    <t>라. 낙찰자</t>
  </si>
  <si>
    <t>순위</t>
  </si>
  <si>
    <t>투찰금액(원)</t>
  </si>
  <si>
    <t>낙찰률(%)</t>
  </si>
  <si>
    <t>비고(주소)</t>
  </si>
  <si>
    <t>마. 근거：「지방자치단체를 당사자로 하는 계약에 관한 법률 시행령」 제42조.  끝.</t>
  </si>
  <si>
    <t>[검토중 — 담당자 최종 확인 후 사용] 원본 HWPX 71쪽 [15] 대조. 수신·업체명은 I3 순번으로 선택한 낙찰 업체를 반영하며 대표자·비고는 수기 작성함</t>
  </si>
  <si>
    <t>교복 학교주관구매 낙찰자 결정 통보</t>
  </si>
  <si>
    <t>1. 귀사의 무궁한 발전을 기원합니다.</t>
  </si>
  <si>
    <t>가. 낙찰자</t>
  </si>
  <si>
    <t>계약체결금액(원)</t>
  </si>
  <si>
    <t>나. 제출서류</t>
  </si>
  <si>
    <t>1) 품목별 산출내역서 1부.</t>
  </si>
  <si>
    <t>2) 원단 의류 시험성적서 1부.</t>
  </si>
  <si>
    <t>3) 사용인장계(조달등록 인장 아닌 경우) 1부.</t>
  </si>
  <si>
    <t>4) 법인 등기사항증명서(법인) 또는 주민등록등본(개인) 1부.  끝.</t>
  </si>
  <si>
    <t>[검토중 — 담당자 최종 확인 후 사용] 원본 HWPX 72쪽 [16] 대조. 계약상대자 업체명은 I3 순번으로 선택 반영하며 소재지·대표자·전화번호는 수기 작성함. 납품기한은 기초자료입력의 단일 값만 반영(원문 동복/하복 구분 한계)</t>
  </si>
  <si>
    <t>계약상대자 선택 순번(자동, 인쇄 전용)</t>
  </si>
  <si>
    <t>교복 학교주관구매 계약 체결(안)</t>
  </si>
  <si>
    <t>가. 계약명：</t>
  </si>
  <si>
    <t>단가(원) 입력：</t>
  </si>
  <si>
    <t>(담당자가 계약 단가를 직접 입력함 — 기초자료입력 미연동, K-01)</t>
  </si>
  <si>
    <t>나. 계약금액：</t>
  </si>
  <si>
    <t>※ 최종구매수량은 희망 학생 수에 따라 증감될 수 있음.</t>
  </si>
  <si>
    <t>3. 계약상대자</t>
  </si>
  <si>
    <t>소재지</t>
  </si>
  <si>
    <t>4. 계약보증금：교복단가에 예정 수량을 곱한 금액의 10%(보증서 전자 접수)</t>
  </si>
  <si>
    <t>6. 계약방법：나라장터(G2B)를 통한 전자계약</t>
  </si>
  <si>
    <t>붙임 1. 계약서(초안) 1부.</t>
  </si>
  <si>
    <t xml:space="preserve">      2. 교복 사양서 1부.</t>
  </si>
  <si>
    <t xml:space="preserve">      3. 교복 구매계약 특수조건 1부.</t>
  </si>
  <si>
    <t xml:space="preserve">      4. 입찰가격산출내역서(품목별 단가표) 1부.</t>
  </si>
  <si>
    <t xml:space="preserve">      5. 기타서류(별첨).  끝.</t>
  </si>
  <si>
    <t>[검토중 — 담당자 최종 확인 후 사용] 원본 HWPX 73쪽 [17] 대조. 학교·학년도 공통값만 반영하며 학생·학부모 개인정보는 입력·저장·출력하지 않음</t>
  </si>
  <si>
    <t>신입생 교복구매 사전 안내 가정통신문 발송</t>
  </si>
  <si>
    <t>내부결재(사업부서)</t>
  </si>
  <si>
    <t>1. 관련: 전북특별자치도교육청 학교안전과-0000(20○○.) 학교주관공동구매 요령</t>
  </si>
  <si>
    <t>2. 상급학교 진학 이전에 교복 구매에 대한 사전 안내를 실시하기 위하여 붙임과 같이 가정통신문을 발송하고자 합니다.</t>
  </si>
  <si>
    <t>가. 대상:</t>
  </si>
  <si>
    <t>나. 내용:</t>
  </si>
  <si>
    <t>붙임 교복구매 사전 안내 가정통신문 1부. 끝.</t>
  </si>
  <si>
    <t>[검토중 — 담당자 최종 확인 후 사용] 원본 HWPX 74쪽 [17-1] 대조. 학생·학부모 개인정보와 개별 신청값은 입력·저장·출력하지 않음</t>
  </si>
  <si>
    <t>안녕하십니까? 졸업과 함께 상급학교로 진학함을 축하드립니다.</t>
  </si>
  <si>
    <t>정부의「교복 가격 안정화 방안」(2013.7.9)에 따라, 학교는 ‘학교주관구매’를 실시하고 있으며, 전북 도내 교복을 착용하는 대부분의 중·고등학교는 ‘교복 학교주관구매 제도’를 실시하고 있습니다.</t>
  </si>
  <si>
    <t>교복은 ‘학교주관구매’의 권고 상한가인 동복 000원, 하복 000원 이하로 지원하게 됩니다. 학교별 자체 구매계획에 따라 업체를 선정하며, 학생들은 진학하는 중학교(고등학교)에서 교복을 현물로 지원 받습니다.</t>
  </si>
  <si>
    <t>기타 교복 착용 여부와 구매 일정, 착용 시기 등 세부사항은 신입생 배정 발표 이후에 해당 학교의 안내를 통해 반드시 확인하시고, 학교의 안내 없이 교복을 개별적으로 구매하여 착오가 생기는 일이 없도록 유의하시기 바랍니다.</t>
  </si>
  <si>
    <t>감사합니다.</t>
  </si>
  <si>
    <t>[검토중 — 담당자 최종 확인 후 사용] 원본 HWPX 75쪽 [18] 대조. 학교·학년도·구매명 공통값만 반영하며 학생·학부모 개인정보는 입력·저장·출력하지 않음</t>
  </si>
  <si>
    <t>신입생 예비소집일 교복구매 수요조사 가정통신문 발송</t>
  </si>
  <si>
    <t>2. 정확한 교복 물량 파악을 위한 학교주관구매 수요조사를 위해 붙임과 같이 가정통신문을 발송하고자 합니다.</t>
  </si>
  <si>
    <t>붙임 교복구매 수요조사 가정통신문 1부. 끝.</t>
  </si>
  <si>
    <t>[검토중 — 담당자 최종 확인 후 사용] 원본 HWPX 77쪽 [18-3] 대조. 업체명·연락처·치수측정기간·단가는 예시 빈칸(○·0) 그대로 유지, 이름·보호자 성명·전화번호·신청 수량은 입력·저장·자동 출력하지 않음</t>
  </si>
  <si>
    <t>우리 학교는 정부의 교복 가격 안정화 방안과 우리교육청의 교복구매비 지원 사업에 따라 교복에 대한 「학교주관구매」를 통한 교복지원을 하고 있습니다.</t>
  </si>
  <si>
    <t>※ 참고: 2026학년도 충북교육청 교복 학교주관구매 권고 상한가는 동복(4pcs 기준) 245,400원, 하복(2pcs 기준) 99,170원임</t>
  </si>
  <si>
    <t>아울러, 추가 구매를 희망하는 경우(신품 또는 할인된 이월품 선택 가능) 학교에 사전 신청하여 주시기 바랍니다.(교복 물려입기를 할 경우 서식 변경해서 안내)</t>
  </si>
  <si>
    <t>--------------------------------------- 절 취 선 ---------------------------------------</t>
  </si>
  <si>
    <t>년   월   일</t>
  </si>
  <si>
    <t>(※신입생 배정 번호 또는 학년 반을 기재) 이름 (　　　　　)</t>
  </si>
  <si>
    <t>보호자 성명 (　　　　　) 전화번호 (　　　　　)</t>
  </si>
  <si>
    <t>【예시】교복 신청 수량(품목별)</t>
  </si>
  <si>
    <t>품목: 교복(동복)</t>
  </si>
  <si>
    <t>품목(남학생)</t>
  </si>
  <si>
    <t>신청 수량</t>
  </si>
  <si>
    <t>구매가격(원)</t>
  </si>
  <si>
    <t>품목(여학생)</t>
  </si>
  <si>
    <t>자켓</t>
  </si>
  <si>
    <t>셔츠</t>
  </si>
  <si>
    <t>블라우스</t>
  </si>
  <si>
    <t>·</t>
  </si>
  <si>
    <t>※ 교복 품목: 「학칙(학생생활규정)」에서 규정한 단체복 품목</t>
  </si>
  <si>
    <t>[검토중 — 담당자 최종 확인 후 사용, 개인정보 보안검토 대상] 원본 HWPX 76쪽 [18-2] 대조. 참여/미참여 응답란과 이름·보호자 성명·전화번호는 입력·저장·자동 출력하지 않음(완전 공란)</t>
  </si>
  <si>
    <t>우리 학교는 정부의 교복 가격 안정화 방안(2013.7.)에 따라 교복을 학교에서 구매하는 「교복 학교주관구매」를 실시하고 있습니다.</t>
  </si>
  <si>
    <t>학교주관구매로 학부모가 부담하는 교복(상의, 하의, ○○○, ○○)의 가격은 000원이며, 학생들은 ○○년 ○월 ○일부터 교복을 착용하게 됩니다.</t>
  </si>
  <si>
    <t>※ 「교복 물려 입기(중고교복 활용)」 등의 사유로 「학교주관구매」에 참여를 희망하지 않는 경우에도 아래 교복 구매 신청서의 해당란에 표시하여 제출하여 주시되, 학교의 안내 없이 교복을 개별적으로 구매하여 착오가 생기는 일이 없도록 유의하시기 바랍니다.</t>
  </si>
  <si>
    <t>*교복 자율화로 인해 교복 구입여부가 선택사항 인 경우, 반드시 학부모에게 안내</t>
  </si>
  <si>
    <t>---------------------------- 절 취 선 ----------------------------</t>
  </si>
  <si>
    <t>&lt; 교복 구매 신청서 &gt;</t>
  </si>
  <si>
    <t>※ 아래 희망하는 곳의 ( )에 「○」표 하시기 바랍니다.</t>
  </si>
  <si>
    <t>「학교주관 교복구매」에 참여
(학교에서 교복 구매)</t>
  </si>
  <si>
    <t>「학교주관 교복구매」에 미참여
[학교, 구청 등에서 실시하는 중고교복 활용사업(행사)에서 교복을 구함]</t>
  </si>
  <si>
    <t>「교복물려입기」를 통해 교복을 구하고자 함[학교 등]</t>
  </si>
  <si>
    <t>「중고교복나눔장터」에서 교복을 구하고자 함[구청 등]</t>
  </si>
  <si>
    <t>[검토중 — 담당자 최종 확인 후 사용] 원본 HWPX 78쪽 [19] 대조. 학교·학년도·구매명·제목 공통값만 반영하며 응답자 개인정보는 입력·저장·출력하지 않음</t>
  </si>
  <si>
    <t>교복 학교주관구매 만족도 설문조사 실시</t>
  </si>
  <si>
    <t>2. 교복 학교주관구매에 대한 만족도 조사를 실시하기 위하여 붙임과 같이 설문지를 발송하고자 합니다.</t>
  </si>
  <si>
    <t>붙임 교복 학교주관구매 만족도 설문지 1부. 끝.</t>
  </si>
  <si>
    <t>[검토중 — 담당자 최종 확인 후 사용, 개인정보 보안검토 대상] 원본 HWPX 79쪽 [19-1] 대조. 문항별 응답·총점·평균·기타 의견은 입력·저장·자동 출력하지 않음(완전 공란)</t>
  </si>
  <si>
    <t>교복 품질 향상과 향후 「교복 학교주관구매」 운영에 참고하고자 설문조사를 실시하오니 성심껏 응답하여 주시기 바랍니다.</t>
  </si>
  <si>
    <t>설문 조사 내용은 「학교주관교복구매」 운영에 따른 분석 자료로만 활용하고 그 외에 일체 다른 목적으로 사용하지 않을 것을 약속드립니다.</t>
  </si>
  <si>
    <t>영역</t>
  </si>
  <si>
    <t>내용</t>
  </si>
  <si>
    <t>매우 만족</t>
  </si>
  <si>
    <t>만족</t>
  </si>
  <si>
    <t>보통</t>
  </si>
  <si>
    <t>불만</t>
  </si>
  <si>
    <t>매우 불만</t>
  </si>
  <si>
    <t>가격</t>
  </si>
  <si>
    <t>교복 가격에 만족한다.</t>
  </si>
  <si>
    <t>품질(바느질, 재질 등)</t>
  </si>
  <si>
    <t>상의 재질에 만족한다.</t>
  </si>
  <si>
    <t>상의 바느질 및 마감 처리에 만족한다.</t>
  </si>
  <si>
    <t>하의 재질에 만족한다.</t>
  </si>
  <si>
    <t>하의 바느질 및 마감 처리에 만족한다.</t>
  </si>
  <si>
    <t>치수</t>
  </si>
  <si>
    <t>교복 치수에 만족한다.</t>
  </si>
  <si>
    <t>구매절차 및 사후관리</t>
  </si>
  <si>
    <t>구매 안내 방식 및 친절도에 만족한다.</t>
  </si>
  <si>
    <t>교복 수령 방식(구매 장소 등)에 만족한다.</t>
  </si>
  <si>
    <t>교복 수령 시기에 만족한다.</t>
  </si>
  <si>
    <t>치수 및 불량 교환 방식, A/S 절차 및 방식에 만족한다.</t>
  </si>
  <si>
    <t>소계</t>
  </si>
  <si>
    <t>총점(10문항×10점=100점 만점 중 조사자의 점수)</t>
  </si>
  <si>
    <t>합계 (          )점</t>
  </si>
  <si>
    <t>전체조사자의 점수합계/조사자수 = 만족도(학교작성)</t>
  </si>
  <si>
    <t>평균 (          )점</t>
  </si>
  <si>
    <t>※ 동복/하복별로 실시하고, 항목별 평균을 합산하여 전체 만족도를 확인합니다.</t>
  </si>
  <si>
    <t>[ 기타 의견 ]</t>
  </si>
  <si>
    <t>[검토중 — 담당자 최종 확인 후 사용] 원본 HWPX 56쪽 [9-16] 대조. 위임하는 업체·위임받는 사람 정보는 전부 수기 작성 공란(R-03 업체명도 매핑표에 없어 반영하지 않음). D-02(표제)는 대응하는 동적 제목 행이 없어 미사용</t>
  </si>
  <si>
    <t>위 임 장</t>
  </si>
  <si>
    <t>○ 상 호 :</t>
  </si>
  <si>
    <t>○ 사업자등록번호 :</t>
  </si>
  <si>
    <t>○ 대 표 자 :</t>
  </si>
  <si>
    <t>○ 주 소 :</t>
  </si>
  <si>
    <t>○ 전 화 번 호 :</t>
  </si>
  <si>
    <t>성  명</t>
  </si>
  <si>
    <t>주  소</t>
  </si>
  <si>
    <t>붙임 1. 대리인 재직증명서 1부.</t>
  </si>
  <si>
    <t xml:space="preserve">      2. 사회보장보험 납입증명서(가입증명서) 1부.(4대 보험 중 한가지만 제출)</t>
  </si>
  <si>
    <t>위임자 :                                        (인)</t>
  </si>
  <si>
    <t>[검토중 — 담당자 최종 확인 후 사용, 개인정보 보안검토 대상] 원본 HWPX 58쪽 [9-18] 대조. 동의 여부 응답·성명·주소·연락처·식별번호·서명은 입력·저장·자동 출력하지 않음(완전 공란)</t>
  </si>
  <si>
    <t>○ 개인정보의 수집 및 이용 목적：입찰업체 대표자 및 위임자 확인용</t>
  </si>
  <si>
    <t>○ 수집하려는 개인정보 항목：대표자 및 위임자 생년월일, 전화번호, 주소</t>
  </si>
  <si>
    <t>○ 개인정보의 보유 및 이용 기간：입찰등록서류 보존기간 만료 후 폐기</t>
  </si>
  <si>
    <t>○ 상기 정보제공에 대한 동의는 거부할 권리가 있으며 동의하지 않을 경우 입찰참가자격 등록에 제한이 있음을 알려드립니다.</t>
  </si>
  <si>
    <t>동의 □                    동의하지 않음 □</t>
  </si>
  <si>
    <t>(이 응답란은 제출자가 자필로 표시하는 빈 칸이며, 어떤 값도 자동 입력·저장·집계하지 않습니다.)</t>
  </si>
  <si>
    <t>업 체 명：</t>
  </si>
  <si>
    <t>사업자등록번호：</t>
  </si>
  <si>
    <t>대 표 자：                                        (인)</t>
  </si>
  <si>
    <t>[검토중 — 담당자 최종 확인 후 사용] 원본 HWPX 59쪽 [9-19] 대조. 서약자 업체명·대표자·서명은 수기 작성 공란(매핑표 R-03 입력출처 표기는 원문에 반영 자리가 없어 미적용, 기록만 함)</t>
  </si>
  <si>
    <t>당사는 「지방계약법」제6조의2에 따라 모든 공사·용역·물품 등의 입찰에 참가하거나 수의계약을 체결하면서 아래의 내용을 이행할 것을 약속하며, 이를 위반할 경우 입찰·낙찰의 취소, 계약의 해제·해지 및 부정당업자의 입찰참가자격 제한 등 모든 불이익을 감수하고, 이에 대해 민·형사상 어떠한 이의도 제기하지 않을 것임을 서약합니다.</t>
  </si>
  <si>
    <t>1. 입찰, 낙찰, 계약의 체결 및 이행, 제16조에 따른 감독, 제17조에 따른 검사와 관련된 직접 또는 간접적인 사례(사례금), 증여, 금품·향응 등(친인척 등에 대한 부정한 취업 제공 포함)의 부당한 이익을 제공하지 않겠습니다.</t>
  </si>
  <si>
    <t>2. 특정인의 낙찰을 위한 담합 등 입찰의 자유경쟁을 방해하는 행위나 불공정한 행위를 하지 않겠습니다.</t>
  </si>
  <si>
    <t>3. 공정한 직무수행을 방해하는 알선·청탁을 통하여 입찰 또는 계약과 관련된 특정 정보의 제공을 요구하거나 받는 행위를 하지 않겠습니다.</t>
  </si>
  <si>
    <t>4. 회사 임·직원이 관계 공무원에게 금품, 향응 등(친인척 등에 대한 부정한 취업 제공 포함)을 제공하거나 담합 등 불공정 행위를 하지 않도록 하는 회사윤리강령과 공익신고자에 대해서 비밀보장 보호 및 일체의 불이익처분을 하지 않는 사규를 제정토록 노력하겠습니다.</t>
  </si>
  <si>
    <t>20        .    .    .</t>
  </si>
  <si>
    <t>서약자 업체명 :                              대표 :                              (인)</t>
  </si>
  <si>
    <t>[검토중 — 담당자 최종 확인 후 사용] 원본 HWPX 60쪽 [9-20] 대조. 최종 낙찰 업체가 작성·제출하는 문서라 업체명·대표자·서명은 수기 작성 공란. 금액비율(%)은 F-024와 동일 산식 재사용, 계약 금액(K-01)·합계(K-02)는 F-043 낙찰단가(C16) 기준 자동 계산</t>
  </si>
  <si>
    <t>교복 품목별 금액표(품목별 1인당 계약단가)</t>
  </si>
  <si>
    <t>2. 산출내역(※ 단가, 부가가치세 및 부속품, 부가비용(기장수선비 등) 일체 포함)</t>
  </si>
  <si>
    <t>■ 필수 항목</t>
  </si>
  <si>
    <t>금액비율(%)</t>
  </si>
  <si>
    <t>계약 금액(원단위 절사)</t>
  </si>
  <si>
    <t>K-02</t>
  </si>
  <si>
    <t>※ 본교 학생(신입생, 재학생, 전입생) 교복 구매 또는 희망에 따른 추가구매 시에도 동일하게 위의 단가로 납품할 것을 서약합니다.</t>
  </si>
  <si>
    <t>20        년    월    일</t>
  </si>
  <si>
    <t>업체명 :                              대표자                              (인)</t>
  </si>
  <si>
    <t>※ 최종 낙찰자는 당초 제출한 단가 비율표대로 작성하여 주시기 바랍니다.</t>
  </si>
  <si>
    <t>[검토중 — 담당자 최종 확인 후 사용] 원본 HWPX 61쪽 [10] 대조. 업체명만 자동 반영하며 접수일자·대표자는 수기 작성함</t>
  </si>
  <si>
    <t>□ 제안서 접수 결과 □</t>
  </si>
  <si>
    <t>접수번호</t>
  </si>
  <si>
    <t>접수일자</t>
  </si>
  <si>
    <t>업체현황</t>
  </si>
  <si>
    <t>[검토중 — 담당자 최종 확인 후 사용] 원본 HWPX 62쪽 [10-1] 대조. 업체명 외 대표자·연락처·대리인·수령인은 수기 공란임</t>
  </si>
  <si>
    <t>접수_x000D_
일자</t>
  </si>
  <si>
    <t>접수_x000D_
번호</t>
  </si>
  <si>
    <t>회사현황</t>
  </si>
  <si>
    <t>접수인(대리인)현황</t>
  </si>
  <si>
    <t>샘플 반환</t>
  </si>
  <si>
    <t xml:space="preserve">_x000D_
</t>
  </si>
  <si>
    <t>번호</t>
  </si>
  <si>
    <t>접수인</t>
  </si>
  <si>
    <t>일자</t>
  </si>
  <si>
    <t>수령인</t>
  </si>
  <si>
    <t>※ 샘플은 낙찰업체를 제외하고, 낙찰자 결정 이후 7일 이내 업체에서 수거</t>
  </si>
  <si>
    <t>(탈락업체에서 샘플 미수거 시 폐기처분 할 수 있음)</t>
  </si>
  <si>
    <t>[검토중 — 담당자 최종 확인 후 사용] 원본 HWPX 63쪽 [11] 대조. 위원 성명은 마스킹 식별표시만 반영하며 일시·장소는 수기 작성함</t>
  </si>
  <si>
    <t>가. 일시：</t>
  </si>
  <si>
    <t>나. 장소：</t>
  </si>
  <si>
    <t>다. 대상：</t>
  </si>
  <si>
    <t>라. 안내방법：개별통지. 끝.</t>
  </si>
  <si>
    <t>[검토중 — 담당자 최종 확인 후 사용] 원본 HWPX 64쪽 [12] 대조. 업체별 점수는 F-015 학교 정량평가 입력값(기초자료입력 C:F열)을 재조회함</t>
  </si>
  <si>
    <t>□ 정량평가 □</t>
  </si>
  <si>
    <t>수행경험</t>
  </si>
  <si>
    <t>품질인증</t>
  </si>
  <si>
    <t>접근성</t>
  </si>
  <si>
    <t>상한가격</t>
  </si>
  <si>
    <t>붙임  1. 정량 평가표 각 1부.  2. 업체별 실적, 품질 인증, 상한 가격 자료(별첨) 각 1부.  끝.</t>
  </si>
  <si>
    <t>[검토중 — 담당자 최종 확인 후 사용] 원본 HWPX 65쪽 [13] 대조. 원문 표 헤더가 "성 명"이나 실제 값은 적격/부적격 판정이라 "적부 판정"으로 표시함(매핑표 미수정, 기록만)</t>
  </si>
  <si>
    <t>규격 평가(제안서 평가)</t>
  </si>
  <si>
    <t>정량평가</t>
  </si>
  <si>
    <t>정성평가</t>
  </si>
  <si>
    <t>적부 판정</t>
  </si>
  <si>
    <t>비 고</t>
  </si>
  <si>
    <t>※ 적격 여부 판정 점수：합계 80점 이상</t>
  </si>
  <si>
    <t>붙임  1. 제안서 평가위원 등록부 1부.  2. 제안서 설명 업체 참가자 등록부 1부.  3. 제안서 평가의결서 및 집계표 각 1부.  4. 업체별 평가표 00부.  5. 평가위원 청렴 및 보안각서 각 1부.  끝.</t>
  </si>
  <si>
    <t>[검토중 — 담당자 최종 확인 후 사용] 원본 HWPX 66쪽 [13-1] 대조. 참석자 성명·서명은 자필 작성 공란임</t>
  </si>
  <si>
    <t>1. 일시：</t>
  </si>
  <si>
    <t>2. 장소：</t>
  </si>
  <si>
    <t>회의실</t>
  </si>
  <si>
    <t>3. 참석자 현황</t>
  </si>
  <si>
    <t>서명</t>
  </si>
  <si>
    <t>[검토중 — 담당자 최종 확인 후 사용] 원본 HWPX 67쪽 [13-2] 대조. 업체명 외 개인정보·연락처·대리인 정보는 수기 공란임</t>
  </si>
  <si>
    <t>제안서 설명 업체 참가 등록부</t>
  </si>
  <si>
    <t>회사</t>
  </si>
  <si>
    <t>제안자</t>
  </si>
  <si>
    <t>제안심사_x000D_
관리번호</t>
  </si>
  <si>
    <t>※ 제안 심사 관리 번호</t>
  </si>
  <si>
    <t>○ 제안서 블라인드 평가를 위한 관리번호</t>
  </si>
  <si>
    <t>○ 접수 완료 후 제안평가 심사 실시(30분 이상 확보) 전 추첨하여 관리번호 부여</t>
  </si>
  <si>
    <t>- 관리번호는 교복 샘플과 평가위원용 제안서에 표기하여 관리한다.</t>
  </si>
  <si>
    <t>[검토중 — 담당자 최종 확인 후 사용] 원본 HWPX 68쪽 [13-3] 대조. 위원명은 자필 공란이며 옷감·완성도·A/S·하자 점수만 입력함(이 문서 전용 입력칸)</t>
  </si>
  <si>
    <t>위원명</t>
  </si>
  <si>
    <t>옷감의재질
(15점)</t>
  </si>
  <si>
    <t>교복의완성도
(10점)</t>
  </si>
  <si>
    <t>A/S
(15점)</t>
  </si>
  <si>
    <t>하자
(10점)</t>
  </si>
  <si>
    <t>점수합계
(50점)</t>
  </si>
  <si>
    <t>위원별 평가 점수 중
최고점 및 최저점을 제외</t>
  </si>
  <si>
    <t>총계</t>
  </si>
  <si>
    <t>평균</t>
  </si>
  <si>
    <t>※ 학교의 제안서 평가항목에 맞게 변경 가능</t>
  </si>
  <si>
    <t>[검토중 — 담당자 최종 확인 후 사용] 원본 HWPX 69쪽 [13-4] 대조. 서약자 성명·서명은 자필 작성 공란임</t>
  </si>
  <si>
    <t>교복선정위원회 위원 청렴 및 보안 서약서</t>
  </si>
  <si>
    <t>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t>
  </si>
  <si>
    <t>3. 업무상 취득한 비밀을 준수하고 보안관계 규정 및 지침을 성실히 수행하겠습니다.</t>
  </si>
  <si>
    <t>4. 평가와 관련하여 알게 된 업무상 비밀을 타인에게 누설하지 않겠으며, 업무상 취득한 비밀을 누설할 때에는 관계법규에 따라 처벌을 받는 것에 이의를 제기하지 않겠습니다.</t>
  </si>
  <si>
    <t>20 년 월 일</t>
  </si>
  <si>
    <t>서 약 자  성 명 :                         (인)</t>
  </si>
  <si>
    <t>지역</t>
  </si>
  <si>
    <t>급별</t>
  </si>
  <si>
    <t>설립</t>
  </si>
  <si>
    <t>전주</t>
  </si>
  <si>
    <t>고등</t>
  </si>
  <si>
    <t>사립</t>
  </si>
  <si>
    <t>상산고등학교</t>
  </si>
  <si>
    <t>전주시 완산구 거마평로 130</t>
  </si>
  <si>
    <t>239-5300</t>
  </si>
  <si>
    <t>중등</t>
  </si>
  <si>
    <t>공립</t>
  </si>
  <si>
    <t>서전주중학교</t>
  </si>
  <si>
    <t>전주시 완산구 거마평로 205</t>
  </si>
  <si>
    <t>221-1359</t>
  </si>
  <si>
    <t>양현고등학교</t>
  </si>
  <si>
    <t>전주시 덕진구 틀못2길 9</t>
  </si>
  <si>
    <t>249-6101</t>
  </si>
  <si>
    <t>완산고등학교</t>
  </si>
  <si>
    <t>전주시 완산구 능안자구길 55</t>
  </si>
  <si>
    <t>220-9202</t>
  </si>
  <si>
    <t>완산여자고등학교</t>
  </si>
  <si>
    <t>전주시 완산구 덕적골1길 60</t>
  </si>
  <si>
    <t>227-4452</t>
  </si>
  <si>
    <t>완산중학교</t>
  </si>
  <si>
    <t>227-0741</t>
  </si>
  <si>
    <t>우석고등학교</t>
  </si>
  <si>
    <t>전주시 덕진구 쪽구름2길 22</t>
  </si>
  <si>
    <t>211-0991</t>
  </si>
  <si>
    <t>유일여자고등학교</t>
  </si>
  <si>
    <t>전주시 덕진구 안덕원로 301</t>
  </si>
  <si>
    <t>245-3314</t>
  </si>
  <si>
    <t>전라고등학교</t>
  </si>
  <si>
    <t>전주시 덕진구 솔내7길 25</t>
  </si>
  <si>
    <t>251-4902</t>
  </si>
  <si>
    <t>전라중학교</t>
  </si>
  <si>
    <t>전주시 덕진구 들사평1길 39</t>
  </si>
  <si>
    <t>252-2758</t>
  </si>
  <si>
    <t>국립</t>
  </si>
  <si>
    <t>전북대학교사범대학부설고등학교</t>
  </si>
  <si>
    <t>전주시 덕진구 백제대로 567</t>
  </si>
  <si>
    <t>270-3549</t>
  </si>
  <si>
    <t>전북여자고등학교</t>
  </si>
  <si>
    <t>전주시 덕진구 여산로 232</t>
  </si>
  <si>
    <t>210-5901</t>
  </si>
  <si>
    <t>전북중학교</t>
  </si>
  <si>
    <t>211-0993</t>
  </si>
  <si>
    <t>전일고등학교</t>
  </si>
  <si>
    <t>전주시 완산구 우전로 249</t>
  </si>
  <si>
    <t>239-3005</t>
  </si>
  <si>
    <t>전일중학교</t>
  </si>
  <si>
    <t>전주시 덕진구 모래내6길 36</t>
  </si>
  <si>
    <t>252-2708</t>
  </si>
  <si>
    <t>전주고등학교</t>
  </si>
  <si>
    <t>전주시 완산구 권삼득로 2</t>
  </si>
  <si>
    <t>285-0212</t>
  </si>
  <si>
    <t>전주곤지중학교</t>
  </si>
  <si>
    <t>전주시 완산구 매곡로 22</t>
  </si>
  <si>
    <t>230-2463</t>
  </si>
  <si>
    <t>전주공업고등학교</t>
  </si>
  <si>
    <t>전주시 덕진구 여산로 101</t>
  </si>
  <si>
    <t>210-9334</t>
  </si>
  <si>
    <t>초등</t>
  </si>
  <si>
    <t>전주교육대학교전주부설초등학교</t>
  </si>
  <si>
    <t>전주시 완산구 팔달로 74</t>
  </si>
  <si>
    <t>284-3198</t>
  </si>
  <si>
    <t>전주근영여자고등학교</t>
  </si>
  <si>
    <t>전주시 완산구 영경1길 11</t>
  </si>
  <si>
    <t>223-8984</t>
  </si>
  <si>
    <t>전주근영중학교</t>
  </si>
  <si>
    <t>223-8512</t>
  </si>
  <si>
    <t>전주금암초등학교</t>
  </si>
  <si>
    <t>전주시 덕진구 권삼득로 210</t>
  </si>
  <si>
    <t>254-2274</t>
  </si>
  <si>
    <t>전주금평초등학교</t>
  </si>
  <si>
    <t>전주시 덕진구 명주3길 16</t>
  </si>
  <si>
    <t>246-4119</t>
  </si>
  <si>
    <t>전주기린중학교</t>
  </si>
  <si>
    <t>전주시 덕진구 동부대로 739</t>
  </si>
  <si>
    <t>245-5690</t>
  </si>
  <si>
    <t>전주기린초등학교</t>
  </si>
  <si>
    <t>전주시 덕진구 견훤로 260</t>
  </si>
  <si>
    <t>241-7442</t>
  </si>
  <si>
    <t>전주기전여자고등학교</t>
  </si>
  <si>
    <t>전주시 완산구 유연로 133</t>
  </si>
  <si>
    <t>236-8930</t>
  </si>
  <si>
    <t>전주기전중학교</t>
  </si>
  <si>
    <t>236-5083</t>
  </si>
  <si>
    <t>전주남중학교</t>
  </si>
  <si>
    <t>전주시 완산구 덕적골2길 30</t>
  </si>
  <si>
    <t>282-6304</t>
  </si>
  <si>
    <t>전주남초등학교</t>
  </si>
  <si>
    <t>전주시 완산구 장승배기로 376</t>
  </si>
  <si>
    <t>284-4064</t>
  </si>
  <si>
    <t>전주대성초등학교</t>
  </si>
  <si>
    <t>전주시 완산구 고덕산1길 20</t>
  </si>
  <si>
    <t>284-9927</t>
  </si>
  <si>
    <t>전주대정초등학교</t>
  </si>
  <si>
    <t>전주시 완산구 맏내로 57</t>
  </si>
  <si>
    <t>236-9551</t>
  </si>
  <si>
    <t>전주대학교사범대학부설고등학교</t>
  </si>
  <si>
    <t>전주시 완산구 천잠로 313</t>
  </si>
  <si>
    <t>220-9500</t>
  </si>
  <si>
    <t>전주덕일중학교</t>
  </si>
  <si>
    <t>전주시 덕진구 하가로 67</t>
  </si>
  <si>
    <t>249-2600</t>
  </si>
  <si>
    <t>전주덕일초등학교</t>
  </si>
  <si>
    <t>전주시 덕진구 하가로 71</t>
  </si>
  <si>
    <t>279-3105</t>
  </si>
  <si>
    <t>전주덕진중학교</t>
  </si>
  <si>
    <t>전주시 덕진구 기린대로 541-48</t>
  </si>
  <si>
    <t>276-1579</t>
  </si>
  <si>
    <t>전주덕진초등학교</t>
  </si>
  <si>
    <t>전주시 덕진구 들사평로 61</t>
  </si>
  <si>
    <t>252-0871</t>
  </si>
  <si>
    <t>전주동북초등학교</t>
  </si>
  <si>
    <t>전주시 덕진구 견훤왕궁로 227</t>
  </si>
  <si>
    <t>275-6211</t>
  </si>
  <si>
    <t>전주동신초등학교</t>
  </si>
  <si>
    <t>전주시 덕진구 우아9길 1</t>
  </si>
  <si>
    <t>245-1527</t>
  </si>
  <si>
    <t>전주동중학교</t>
  </si>
  <si>
    <t>전주시 덕진구 심방죽로 23</t>
  </si>
  <si>
    <t>246-1394</t>
  </si>
  <si>
    <t>전주동초등학교</t>
  </si>
  <si>
    <t>전주시 완산구 물왕멀로 72</t>
  </si>
  <si>
    <t>285-0671</t>
  </si>
  <si>
    <t>전주만성중학교</t>
  </si>
  <si>
    <t>전주시 덕진구 오공로 99</t>
  </si>
  <si>
    <t>717-3008</t>
  </si>
  <si>
    <t>전주만성초등학교</t>
  </si>
  <si>
    <t>전주시 덕진구 중동로 32</t>
  </si>
  <si>
    <t>290-0900</t>
  </si>
  <si>
    <t>전주만수초등학교</t>
  </si>
  <si>
    <t>전주시 덕진구 호성로 130</t>
  </si>
  <si>
    <t>247-7752</t>
  </si>
  <si>
    <t>전주문정초등학교</t>
  </si>
  <si>
    <t>전주시 완산구 구이로 1979</t>
  </si>
  <si>
    <t>221-8097</t>
  </si>
  <si>
    <t>전주문학초등학교</t>
  </si>
  <si>
    <t>전주시 완산구 문학로 30</t>
  </si>
  <si>
    <t>715-1034</t>
  </si>
  <si>
    <t>전주미산초등학교</t>
  </si>
  <si>
    <t>전주시 덕진구 전미로 160</t>
  </si>
  <si>
    <t>253-7344</t>
  </si>
  <si>
    <t>전주반월초등학교</t>
  </si>
  <si>
    <t>전주시 덕진구 혁신로 707</t>
  </si>
  <si>
    <t>212-4308</t>
  </si>
  <si>
    <t>전주북일초등학교</t>
  </si>
  <si>
    <t>전주시 덕진구 견훤로 336</t>
  </si>
  <si>
    <t>242-4097</t>
  </si>
  <si>
    <t>전주북초등학교</t>
  </si>
  <si>
    <t>전주시 덕진구 소리로 180</t>
  </si>
  <si>
    <t>241-5949</t>
  </si>
  <si>
    <t>전주삼천남초등학교</t>
  </si>
  <si>
    <t>전주시 완산구 거마남로 65</t>
  </si>
  <si>
    <t>223-2911</t>
  </si>
  <si>
    <t>전주삼천초등학교</t>
  </si>
  <si>
    <t>전주시 완산구 성지산로 38</t>
  </si>
  <si>
    <t>221-5808</t>
  </si>
  <si>
    <t>전주상업정보고등학교</t>
  </si>
  <si>
    <t>전주시 완산구 따박골2길 21</t>
  </si>
  <si>
    <t>220-6401</t>
  </si>
  <si>
    <t>유치원</t>
  </si>
  <si>
    <t>전주새뜰유치원</t>
  </si>
  <si>
    <t>전주시 덕진구 중동 803</t>
  </si>
  <si>
    <t>717-3200</t>
  </si>
  <si>
    <t>전주새솔유치원</t>
  </si>
  <si>
    <t>전주시 덕진구 화암1길 24</t>
  </si>
  <si>
    <t>274-6102</t>
  </si>
  <si>
    <t>전주새연초등학교</t>
  </si>
  <si>
    <t>전주시 완산구 봉곡로 60</t>
  </si>
  <si>
    <t>270-8181</t>
  </si>
  <si>
    <t>전주생명과학고등학교</t>
  </si>
  <si>
    <t>전주시 덕진구 안덕원로 195</t>
  </si>
  <si>
    <t>240-1705</t>
  </si>
  <si>
    <t>전주서곡중학교</t>
  </si>
  <si>
    <t>전주시 완산구 서곡6길 23</t>
  </si>
  <si>
    <t>277-7832</t>
  </si>
  <si>
    <t>전주서곡초등학교</t>
  </si>
  <si>
    <t>전주시 완산구 서곡7길 30</t>
  </si>
  <si>
    <t>278-8121</t>
  </si>
  <si>
    <t>전주서문초등학교</t>
  </si>
  <si>
    <t>전주시 완산구 서신천변11길 19</t>
  </si>
  <si>
    <t>255-4382</t>
  </si>
  <si>
    <t>전주서신중학교</t>
  </si>
  <si>
    <t>전주시 완산구 안터2길 40</t>
  </si>
  <si>
    <t>253-6617</t>
  </si>
  <si>
    <t>전주서신초등학교</t>
  </si>
  <si>
    <t>전주시 완산구 전룡로 119</t>
  </si>
  <si>
    <t>254-5461</t>
  </si>
  <si>
    <t>전주서원초등학교</t>
  </si>
  <si>
    <t>전주시 완산구 오두정길 45</t>
  </si>
  <si>
    <t>221-8056</t>
  </si>
  <si>
    <t>전주서일초등학교</t>
  </si>
  <si>
    <t>전주시 완산구 새터로 73</t>
  </si>
  <si>
    <t>251-8991</t>
  </si>
  <si>
    <t>전주서중학교</t>
  </si>
  <si>
    <t>전주시 완산구 당산로 2</t>
  </si>
  <si>
    <t>254-2667</t>
  </si>
  <si>
    <t>전주서천초등학교</t>
  </si>
  <si>
    <t>전주시 완산구 당산로 9</t>
  </si>
  <si>
    <t>274-7075</t>
  </si>
  <si>
    <t>특수</t>
  </si>
  <si>
    <t>전주선화학교</t>
  </si>
  <si>
    <t>전주시 완산구 효자로 39</t>
  </si>
  <si>
    <t>220-0581</t>
  </si>
  <si>
    <t>전주성심여자고등학교</t>
  </si>
  <si>
    <t>전주시 완산구 경기전길 130</t>
  </si>
  <si>
    <t>232-2517</t>
  </si>
  <si>
    <t>전주성심여자중학교</t>
  </si>
  <si>
    <t>232-0131</t>
  </si>
  <si>
    <t>전주성현유치원</t>
  </si>
  <si>
    <t>전주시 덕진구 만성남로 39-7</t>
  </si>
  <si>
    <t>213-0511</t>
  </si>
  <si>
    <t>전주솔내고등학교</t>
  </si>
  <si>
    <t>전주시 덕진구 송천중앙로 170</t>
  </si>
  <si>
    <t>270-8208</t>
  </si>
  <si>
    <t>전주솔빛중학교</t>
  </si>
  <si>
    <t>전주시 덕진구 솔내6길 33</t>
  </si>
  <si>
    <t>254-9911</t>
  </si>
  <si>
    <t>전주송북초등학교</t>
  </si>
  <si>
    <t>전주시 덕진구 천마산로 16</t>
  </si>
  <si>
    <t>251-5811</t>
  </si>
  <si>
    <t>전주송원초등학교</t>
  </si>
  <si>
    <t>전주시 덕진구 와룡로 25</t>
  </si>
  <si>
    <t>251-7156</t>
  </si>
  <si>
    <t>전주송천초등학교</t>
  </si>
  <si>
    <t>전주시 덕진구 송천1길 10</t>
  </si>
  <si>
    <t>252-2616</t>
  </si>
  <si>
    <t>전주신동초등학교</t>
  </si>
  <si>
    <t>전주시 덕진구 솔내로 211</t>
  </si>
  <si>
    <t>278-4011</t>
  </si>
  <si>
    <t>전주신성초등학교</t>
  </si>
  <si>
    <t>전주시 완산구 평화8길 16-36</t>
  </si>
  <si>
    <t>225-6902</t>
  </si>
  <si>
    <t>전주신일중학교</t>
  </si>
  <si>
    <t>전주시 완산구 견훤왕궁2길 8</t>
  </si>
  <si>
    <t>288-3450</t>
  </si>
  <si>
    <t>전주신흥고등학교</t>
  </si>
  <si>
    <t>전주시 완산구 서원로 399</t>
  </si>
  <si>
    <t>232-7070</t>
  </si>
  <si>
    <t>전주신흥중학교</t>
  </si>
  <si>
    <t>287-2112</t>
  </si>
  <si>
    <t>전주아름유치원</t>
  </si>
  <si>
    <t>덕진구 정여립로 874</t>
  </si>
  <si>
    <t>279-6700</t>
  </si>
  <si>
    <t>전주아중중학교</t>
  </si>
  <si>
    <t>전주시 덕진구 중상보로 16</t>
  </si>
  <si>
    <t>240-7903</t>
  </si>
  <si>
    <t>전주아중초등학교</t>
  </si>
  <si>
    <t>전주시 덕진구 인교5길 23</t>
  </si>
  <si>
    <t>241-7743</t>
  </si>
  <si>
    <t>전주양지중학교</t>
  </si>
  <si>
    <t>전주시 완산구 양지2길 11-16</t>
  </si>
  <si>
    <t>226-0052</t>
  </si>
  <si>
    <t>전주양지초등학교</t>
  </si>
  <si>
    <t>전주시 완산구 양지2길 11-26</t>
  </si>
  <si>
    <t>226-2692</t>
  </si>
  <si>
    <t>전주양현중학교</t>
  </si>
  <si>
    <t>전주시 덕진구 만성북4길 10</t>
  </si>
  <si>
    <t>717-8600</t>
  </si>
  <si>
    <t>전주양현초등학교</t>
  </si>
  <si>
    <t>전주시 덕진구 만성서로 96</t>
  </si>
  <si>
    <t>717-1700</t>
  </si>
  <si>
    <t>전주여울초등학교</t>
  </si>
  <si>
    <t>전주시 완산구 고사평8길 11</t>
  </si>
  <si>
    <t>255-9078</t>
  </si>
  <si>
    <t>전주여자고등학교</t>
  </si>
  <si>
    <t>전주시 덕진구 모래내6길 14</t>
  </si>
  <si>
    <t>710-5500</t>
  </si>
  <si>
    <t>전주영생고등학교</t>
  </si>
  <si>
    <t>전주시 완산구 천잠로 333</t>
  </si>
  <si>
    <t>220-3500</t>
  </si>
  <si>
    <t>전주오송중학교</t>
  </si>
  <si>
    <t>전주시 덕진구 천마산로 69</t>
  </si>
  <si>
    <t>250-4301</t>
  </si>
  <si>
    <t>전주오송초등학교</t>
  </si>
  <si>
    <t>전주시 덕진구 천마산로 87</t>
  </si>
  <si>
    <t>251-6471</t>
  </si>
  <si>
    <t>전주온고을중학교</t>
  </si>
  <si>
    <t>전주시 덕진구 무삼지로 26</t>
  </si>
  <si>
    <t>245-5219</t>
  </si>
  <si>
    <t>전주온빛중학교</t>
  </si>
  <si>
    <t>전주시 덕진구 틀못4길 10</t>
  </si>
  <si>
    <t>214-8452</t>
  </si>
  <si>
    <t>전주온빛초등학교</t>
  </si>
  <si>
    <t>전주시 덕진구 틀못3길 7</t>
  </si>
  <si>
    <t>249-6610</t>
  </si>
  <si>
    <t>전주온샘유치원</t>
  </si>
  <si>
    <t>덕진구 심방죽로 24</t>
  </si>
  <si>
    <t>242-5412</t>
  </si>
  <si>
    <t>전주완산서초등학교</t>
  </si>
  <si>
    <t>전주시 완산구 안행로 127</t>
  </si>
  <si>
    <t>284-9303</t>
  </si>
  <si>
    <t>전주완산초등학교</t>
  </si>
  <si>
    <t>284-8844</t>
  </si>
  <si>
    <t>전주용덕초등학교</t>
  </si>
  <si>
    <t>전주시 덕진구 용덕길 30</t>
  </si>
  <si>
    <t>211-1626</t>
  </si>
  <si>
    <t>전주용소중학교</t>
  </si>
  <si>
    <t>전주시 덕진구 송천로 112</t>
  </si>
  <si>
    <t>270-0366</t>
  </si>
  <si>
    <t>전주용소초등학교</t>
  </si>
  <si>
    <t>전주시 덕진구 송천4길 38</t>
  </si>
  <si>
    <t>270-0200</t>
  </si>
  <si>
    <t>전주용와초등학교</t>
  </si>
  <si>
    <t>전주시 완산구 장승배기로 14</t>
  </si>
  <si>
    <t>237-3142</t>
  </si>
  <si>
    <t>전주용흥중학교</t>
  </si>
  <si>
    <t>전주시 완산구 장승배기로 12</t>
  </si>
  <si>
    <t>237-2732</t>
  </si>
  <si>
    <t>전주용흥초등학교</t>
  </si>
  <si>
    <t>전주시 완산구 삼천천변1길 16</t>
  </si>
  <si>
    <t>227-4636</t>
  </si>
  <si>
    <t>전주우림중학교</t>
  </si>
  <si>
    <t>전주시 완산구 우전로 119</t>
  </si>
  <si>
    <t>220-4900</t>
  </si>
  <si>
    <t>전주우림초등학교</t>
  </si>
  <si>
    <t>전주시 완산구 소태정로 21</t>
  </si>
  <si>
    <t>715-1052</t>
  </si>
  <si>
    <t>전주우아중학교</t>
  </si>
  <si>
    <t>전주시 덕진구 호성로 6</t>
  </si>
  <si>
    <t>241-2652</t>
  </si>
  <si>
    <t>전주우전중학교</t>
  </si>
  <si>
    <t>전주시 완산구 쑥고개로 375-28</t>
  </si>
  <si>
    <t>222-8932</t>
  </si>
  <si>
    <t>전주우전초등학교</t>
  </si>
  <si>
    <t>전주시 완산구 우전2길 11</t>
  </si>
  <si>
    <t>221-9892</t>
  </si>
  <si>
    <t>전주원동초등학교</t>
  </si>
  <si>
    <t>전주시 덕진구 원동로 3</t>
  </si>
  <si>
    <t>212-9119</t>
  </si>
  <si>
    <t>전주유치원</t>
  </si>
  <si>
    <t>완산구 대동로 33</t>
  </si>
  <si>
    <t>253-9561</t>
  </si>
  <si>
    <t>전주유화학교</t>
  </si>
  <si>
    <t>전주시 덕진구 모래내6길 26-16</t>
  </si>
  <si>
    <t>253-0686</t>
  </si>
  <si>
    <t>전주은화학교</t>
  </si>
  <si>
    <t>전주시 완산구 효자로 28-20</t>
  </si>
  <si>
    <t>220-0902</t>
  </si>
  <si>
    <t>전주인봉초등학교</t>
  </si>
  <si>
    <t>전주시 덕진구 무삼지로 7</t>
  </si>
  <si>
    <t>240-1907</t>
  </si>
  <si>
    <t>전주인후초등학교</t>
  </si>
  <si>
    <t>전주시 덕진구 무삼지로 67</t>
  </si>
  <si>
    <t>244-8983</t>
  </si>
  <si>
    <t>전주자연초등학교</t>
  </si>
  <si>
    <t>전주시 덕진구 세병로 150</t>
  </si>
  <si>
    <t>717-2300</t>
  </si>
  <si>
    <t>전주장동초등학교</t>
  </si>
  <si>
    <t>전주시 덕진구 원장동안길 73</t>
  </si>
  <si>
    <t>211-9494</t>
  </si>
  <si>
    <t>전주전라초등학교</t>
  </si>
  <si>
    <t>전주시 덕진구 심방죽로 24</t>
  </si>
  <si>
    <t>246-7356</t>
  </si>
  <si>
    <t>전주전일초등학교</t>
  </si>
  <si>
    <t>전주시 덕진구 태진로 98</t>
  </si>
  <si>
    <t>251-7121</t>
  </si>
  <si>
    <t>전주제일고등학교</t>
  </si>
  <si>
    <t>전주시 완산구 관선5길 15</t>
  </si>
  <si>
    <t>284-3161</t>
  </si>
  <si>
    <t>전주조촌초등학교</t>
  </si>
  <si>
    <t>전주시 덕진구 쪽구름로 39</t>
  </si>
  <si>
    <t>211-1574</t>
  </si>
  <si>
    <t>학교정보 표본 행 수</t>
  </si>
  <si>
    <t>학교정보 검색 (학교명 · 지역 · 급별)</t>
  </si>
  <si>
    <t>노란색 조건칸에 하나 이상을 입력하고 [검색]을 누르십시오. 결과 행 하나를 선택한 뒤 [선택 학교를 기초자료에 반영]을 누르면 학교명만 기초자료입력!C4에 반영됩니다.</t>
  </si>
  <si>
    <t>교복 학교주관구매 9단계 절차 안내</t>
  </si>
  <si>
    <t>단계 행을 선택하고 [관련 Form ID로 이동]을 누르면 서식선택_출력 시트의 대표 Form ID 행으로 이동합니다. 미구현 서식은 구현상태를 확인하고, 출력 전에는 행정실 담당자가 사실관계·계약조건·서식 상태를 최종 확인해야 합니다.</t>
  </si>
  <si>
    <t>단계</t>
  </si>
  <si>
    <t>해야 할 일</t>
  </si>
  <si>
    <t>관련 Form ID</t>
  </si>
  <si>
    <t>이동 Form ID</t>
  </si>
  <si>
    <t>1. 준비</t>
  </si>
  <si>
    <t>교복선정위원회 구성 및 구매 추진계획 수립</t>
  </si>
  <si>
    <t>F-001~F-006</t>
  </si>
  <si>
    <t>2. 심의</t>
  </si>
  <si>
    <t>학교운영위원회 심의안 상정 및 심의</t>
  </si>
  <si>
    <t>3. 구매요청·기초조사</t>
  </si>
  <si>
    <t>구매 요청, 사양·기초금액·계약방법을 확정</t>
  </si>
  <si>
    <t>F-007~F-010</t>
  </si>
  <si>
    <t>4. 입찰공고</t>
  </si>
  <si>
    <t>사전규격공개, 입찰공고, 특수조건 및 규격서를 확인</t>
  </si>
  <si>
    <t>F-011~F-013</t>
  </si>
  <si>
    <t>5. 제안·접수</t>
  </si>
  <si>
    <t>입찰참가 및 제안서 제출·접수 서류를 관리</t>
  </si>
  <si>
    <t>F-017~F-033</t>
  </si>
  <si>
    <t>6. 평가</t>
  </si>
  <si>
    <t>평가위원회 운영 및 정량·정성 평가를 수행</t>
  </si>
  <si>
    <t>F-014~F-016, F-034~F-040</t>
  </si>
  <si>
    <t>7. 낙찰</t>
  </si>
  <si>
    <t>낙찰자 결정 및 통보</t>
  </si>
  <si>
    <t>F-041~F-042</t>
  </si>
  <si>
    <t>8. 계약·납품</t>
  </si>
  <si>
    <t>계약 체결 및 납품 조건을 확인</t>
  </si>
  <si>
    <t>9. 구매안내·사후평가</t>
  </si>
  <si>
    <t>가정통신문, 수요·만족도 조사 및 결과 정리</t>
  </si>
  <si>
    <t>F-044~F-052</t>
  </si>
  <si>
    <t>교복 학교주관구매 계약방법 안내</t>
  </si>
  <si>
    <t>물품 구매(교복 등)의 주요 계약방법 유형을 선택해 안내합니다. 이 시트는 계약금액 구간·예외사유·법령 적용에 따른 계약방법을 자동 판정하지 않으며, 행정실 담당자가 최신 지방계약법 시행령·별표 기준과 사실관계를 확인한 뒤에만 반영해야 합니다.</t>
  </si>
  <si>
    <t>확인 항목</t>
  </si>
  <si>
    <t>확인 값</t>
  </si>
  <si>
    <t>안내</t>
  </si>
  <si>
    <t>계약방법 유형 선택</t>
  </si>
  <si>
    <t>선택 유형의 법령상 요건을 최신 기준으로 확인했는가</t>
  </si>
  <si>
    <t>안내된 계약방법</t>
  </si>
  <si>
    <t>물품 구매 계약방법은 지방계약법 시행령 체계상 수의계약·일반경쟁입찰·제한경쟁입찰·(필요 시)2단계 입찰로 나뉨. 유형별 적용 금액 구간·사유는 법령 개정이 잦아 이 표에 고정하지 않음</t>
  </si>
  <si>
    <t>반영 전 확인</t>
  </si>
  <si>
    <t>계약방법 유형을 먼저 선택하고, 담당자가 최신 법령·지침과 사실관계(금액 구간·수의계약 사유·지역제한 요건 등)를 확인한 뒤 '예'를 명시적으로 선택한 경우에만 [계약방법을 기초자료에 반영] 버튼이 B-03에 안내값을 기록합니다. 금액 기준에 따른 자동 판정은 제공하지 않습니다(법령 개정이 잦아 하드코딩하지 않음).</t>
  </si>
  <si>
    <t>계약 절차 안내(팝업) — 아래 버튼으로 유형별 단계 흐름과 관련 서식을 확인합니다</t>
  </si>
  <si>
    <t>불러온 레코드 순번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</si>
</sst>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yyyy\.mm\.dd\.\ hh:mm"/>
    <numFmt numFmtId="178" formatCode="0.0"/>
  </numFmts>
  <fonts count="22" x14ac:knownFonts="1">
    <font>
      <sz val="11"/>
      <color theme="1"/>
      <name val="맑은 고딕"/>
      <family val="2"/>
      <charset val="129"/>
      <scheme val="minor"/>
    </font>
    <font>
      <b/>
      <sz val="14"/>
      <color theme="1"/>
      <name val="맑은 고딕"/>
      <family val="3"/>
      <charset val="129"/>
      <scheme val="minor"/>
    </font>
    <font>
      <b/>
      <sz val="13"/>
      <color theme="1"/>
      <name val="맑은 고딕"/>
      <family val="3"/>
      <charset val="129"/>
      <scheme val="minor"/>
    </font>
    <font>
      <b/>
      <sz val="11"/>
      <color theme="1"/>
      <name val="맑은 고딕"/>
      <family val="3"/>
      <charset val="129"/>
      <scheme val="minor"/>
    </font>
    <font>
      <sz val="8"/>
      <color theme="1"/>
      <name val="맑은 고딕"/>
      <family val="2"/>
      <charset val="129"/>
      <scheme val="minor"/>
    </font>
    <font>
      <sz val="8"/>
      <color rgb="FFA0A0A0"/>
      <name val="맑은 고딕"/>
      <family val="2"/>
      <charset val="129"/>
      <scheme val="minor"/>
    </font>
    <font>
      <sz val="8"/>
      <name val="맑은 고딕"/>
      <family val="2"/>
      <charset val="129"/>
      <scheme val="minor"/>
    </font>
    <font>
      <sz val="8"/>
      <color rgb="FFFF0000"/>
      <name val="맑은 고딕"/>
      <family val="2"/>
      <charset val="129"/>
      <scheme val="minor"/>
    </font>
    <font>
      <b/>
      <sz val="16"/>
      <color theme="1"/>
      <name val="맑은 고딕"/>
      <family val="3"/>
      <charset val="129"/>
      <scheme val="minor"/>
    </font>
    <font>
      <sz val="10"/>
      <color theme="1"/>
      <name val="맑은 고딕"/>
      <family val="3"/>
      <charset val="129"/>
      <scheme val="minor"/>
    </font>
    <font>
      <b/>
      <sz val="10"/>
      <color theme="1"/>
      <name val="맑은 고딕"/>
      <family val="3"/>
      <charset val="129"/>
      <scheme val="minor"/>
    </font>
    <font>
      <b/>
      <sz val="15"/>
      <color theme="1"/>
      <name val="맑은 고딕"/>
      <family val="3"/>
      <charset val="129"/>
      <scheme val="minor"/>
    </font>
    <font>
      <b/>
      <sz val="9"/>
      <color theme="1"/>
      <name val="맑은 고딕"/>
      <family val="3"/>
      <charset val="129"/>
      <scheme val="minor"/>
    </font>
    <font>
      <sz val="9"/>
      <color theme="1"/>
      <name val="맑은 고딕"/>
      <family val="3"/>
      <charset val="129"/>
      <scheme val="minor"/>
    </font>
    <font>
      <sz val="7"/>
      <color theme="1"/>
      <name val="맑은 고딕"/>
      <family val="2"/>
      <charset val="129"/>
      <scheme val="minor"/>
    </font>
    <font>
      <b/>
      <sz val="8"/>
      <color theme="1"/>
      <name val="맑은 고딕"/>
      <family val="3"/>
      <charset val="129"/>
      <scheme val="minor"/>
    </font>
    <font>
      <sz val="8"/>
      <color theme="1"/>
      <name val="맑은 고딕"/>
      <family val="3"/>
      <charset val="129"/>
      <scheme val="minor"/>
    </font>
    <font>
      <sz val="7"/>
      <color rgb="FFFF0000"/>
      <name val="맑은 고딕"/>
      <family val="2"/>
      <charset val="129"/>
      <scheme val="minor"/>
    </font>
    <font>
      <sz val="9"/>
      <color theme="1"/>
      <name val="맑은 고딕"/>
      <family val="2"/>
      <charset val="129"/>
      <scheme val="minor"/>
    </font>
    <font>
      <sz val="11"/>
      <color theme="1"/>
      <name val="맑은 고딕"/>
      <family val="3"/>
      <charset val="129"/>
      <scheme val="minor"/>
    </font>
    <font>
      <sz val="11"/>
      <color rgb="FFFF0000"/>
      <name val="맑은 고딕"/>
      <family val="3"/>
      <charset val="129"/>
      <scheme val="minor"/>
    </font>
    <font>
      <sz val="11"/>
      <color rgb="FF000000"/>
      <name val="맑은 고딕"/>
      <family val="3"/>
      <charset val="129"/>
    </font>
  </fonts>
  <fills count="4">
    <fill>
      <patternFill patternType="none"/>
    </fill>
    <fill>
      <patternFill patternType="gray125"/>
    </fill>
    <fill>
      <patternFill patternType="solid">
        <fgColor rgb="FFCCFFFF"/>
        <bgColor indexed="64"/>
      </patternFill>
    </fill>
    <fill>
      <patternFill patternType="solid">
        <fgColor rgb="FFF3F3F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style="thin">
        <color auto="1"/>
      </top>
      <bottom style="thin">
        <color indexed="64"/>
      </bottom>
      <diagonal/>
    </border>
  </borders>
  <cellStyleXfs count="1">
    <xf numFmtId="0" fontId="0" fillId="0" borderId="0">
      <alignment vertical="center"/>
    </xf>
  </cellStyleXfs>
  <cellXfs count="148">
    <xf numFmtId="0" fontId="0" fillId="0" borderId="0" xfId="0">
      <alignment vertical="center"/>
    </xf>
    <xf numFmtId="0" fontId="1" fillId="0" borderId="0" xfId="0" applyFont="1">
      <alignment vertical="center"/>
    </xf>
    <xf numFmtId="0" fontId="0" fillId="0" borderId="0" xfId="0" applyAlignment="1">
      <alignment vertical="center"/>
    </xf>
    <xf numFmtId="0" fontId="3" fillId="0" borderId="0" xfId="0" applyFont="1">
      <alignment vertical="center"/>
    </xf>
    <xf numFmtId="0" fontId="4" fillId="0" borderId="0" xfId="0" applyFont="1">
      <alignment vertical="center"/>
    </xf>
    <xf numFmtId="0" fontId="5" fillId="0" borderId="0" xfId="0" applyFont="1">
      <alignment vertical="center"/>
    </xf>
    <xf numFmtId="1" fontId="0" fillId="0" borderId="0" xfId="0" applyNumberFormat="1">
      <alignment vertical="center"/>
    </xf>
    <xf numFmtId="3" fontId="0" fillId="0" borderId="0" xfId="0" applyNumberFormat="1">
      <alignment vertical="center"/>
    </xf>
    <xf numFmtId="3" fontId="3" fillId="0" borderId="0" xfId="0" applyNumberFormat="1" applyFont="1">
      <alignment vertical="center"/>
    </xf>
    <xf numFmtId="0" fontId="0" fillId="2" borderId="0" xfId="0" applyFill="1">
      <alignment vertical="center"/>
    </xf>
    <xf numFmtId="1" fontId="0" fillId="2" borderId="0" xfId="0" applyNumberFormat="1" applyFill="1">
      <alignment vertical="center"/>
    </xf>
    <xf numFmtId="2" fontId="0" fillId="0" borderId="0" xfId="0" applyNumberFormat="1">
      <alignment vertical="center"/>
    </xf>
    <xf numFmtId="2" fontId="3" fillId="0" borderId="0" xfId="0" applyNumberFormat="1" applyFont="1">
      <alignment vertical="center"/>
    </xf>
    <xf numFmtId="176" fontId="0" fillId="2" borderId="0" xfId="0" applyNumberFormat="1" applyFill="1">
      <alignment vertical="center"/>
    </xf>
    <xf numFmtId="3" fontId="0" fillId="2" borderId="0" xfId="0" applyNumberFormat="1" applyFill="1">
      <alignment vertical="center"/>
    </xf>
    <xf numFmtId="177" fontId="0" fillId="2" borderId="0" xfId="0" applyNumberFormat="1" applyFill="1">
      <alignment vertical="center"/>
    </xf>
    <xf numFmtId="0" fontId="3" fillId="0" borderId="1" xfId="0" applyFont="1" applyBorder="1">
      <alignment vertical="center"/>
    </xf>
    <xf numFmtId="0" fontId="0" fillId="0" borderId="1" xfId="0" applyBorder="1">
      <alignment vertical="center"/>
    </xf>
    <xf numFmtId="0" fontId="2" fillId="0" borderId="0" xfId="0" applyFont="1">
      <alignment vertical="center"/>
    </xf>
    <xf numFmtId="0" fontId="0" fillId="0" borderId="1" xfId="0" applyBorder="1" applyAlignment="1">
      <alignment horizontal="center" vertical="center"/>
    </xf>
    <xf numFmtId="0" fontId="7" fillId="0" borderId="0" xfId="0" applyFont="1">
      <alignment vertical="center"/>
    </xf>
    <xf numFmtId="0" fontId="9" fillId="0" borderId="0" xfId="0" applyFont="1">
      <alignment vertical="center"/>
    </xf>
    <xf numFmtId="0" fontId="9" fillId="0" borderId="1" xfId="0" applyFont="1" applyBorder="1">
      <alignment vertical="center"/>
    </xf>
    <xf numFmtId="0" fontId="10" fillId="0" borderId="0" xfId="0" applyFont="1">
      <alignment vertical="center"/>
    </xf>
    <xf numFmtId="0" fontId="10" fillId="3" borderId="1" xfId="0" applyFont="1" applyFill="1" applyBorder="1" applyAlignment="1">
      <alignment horizontal="center" vertical="center"/>
    </xf>
    <xf numFmtId="0" fontId="10" fillId="0" borderId="1" xfId="0" applyFont="1" applyBorder="1">
      <alignment vertical="center"/>
    </xf>
    <xf numFmtId="0" fontId="10" fillId="0" borderId="1" xfId="0" applyFont="1" applyBorder="1" applyAlignment="1">
      <alignment horizontal="center" vertical="center"/>
    </xf>
    <xf numFmtId="0" fontId="0" fillId="0" borderId="0" xfId="0" applyAlignment="1">
      <alignment vertical="center" wrapText="1"/>
    </xf>
    <xf numFmtId="0" fontId="3" fillId="0" borderId="1" xfId="0" applyFont="1" applyBorder="1" applyAlignment="1">
      <alignment vertical="center"/>
    </xf>
    <xf numFmtId="0" fontId="13" fillId="0" borderId="1" xfId="0" applyFont="1" applyBorder="1" applyAlignment="1">
      <alignment horizontal="center" vertical="center"/>
    </xf>
    <xf numFmtId="0" fontId="13" fillId="0" borderId="1" xfId="0" applyFont="1" applyBorder="1" applyAlignment="1">
      <alignment vertical="center"/>
    </xf>
    <xf numFmtId="0" fontId="13" fillId="0" borderId="0" xfId="0" applyFont="1" applyAlignment="1">
      <alignment vertical="center"/>
    </xf>
    <xf numFmtId="0" fontId="12" fillId="0" borderId="1" xfId="0" applyFont="1" applyBorder="1" applyAlignment="1">
      <alignment horizontal="center" vertical="center"/>
    </xf>
    <xf numFmtId="0" fontId="13" fillId="0" borderId="1" xfId="0" applyFont="1" applyBorder="1" applyAlignment="1">
      <alignment vertical="center" wrapText="1"/>
    </xf>
    <xf numFmtId="2" fontId="13" fillId="0" borderId="1" xfId="0" applyNumberFormat="1" applyFont="1" applyBorder="1" applyAlignment="1">
      <alignment horizontal="center" vertical="center"/>
    </xf>
    <xf numFmtId="2" fontId="12" fillId="0" borderId="1" xfId="0" applyNumberFormat="1" applyFont="1" applyBorder="1" applyAlignment="1">
      <alignment horizontal="center" vertical="center"/>
    </xf>
    <xf numFmtId="0" fontId="14" fillId="0" borderId="0" xfId="0" applyFont="1">
      <alignment vertical="center"/>
    </xf>
    <xf numFmtId="0" fontId="13" fillId="0" borderId="1" xfId="0" applyFont="1" applyBorder="1">
      <alignment vertical="center"/>
    </xf>
    <xf numFmtId="0" fontId="13" fillId="0" borderId="0" xfId="0" applyFont="1">
      <alignment vertical="center"/>
    </xf>
    <xf numFmtId="0" fontId="16" fillId="0" borderId="0" xfId="0" applyFont="1">
      <alignment vertical="center"/>
    </xf>
    <xf numFmtId="0" fontId="15" fillId="0" borderId="1" xfId="0" applyFont="1" applyBorder="1" applyAlignment="1">
      <alignment horizontal="center" vertical="center" wrapText="1"/>
    </xf>
    <xf numFmtId="0" fontId="16" fillId="0" borderId="1" xfId="0" applyFont="1" applyBorder="1" applyAlignment="1">
      <alignment vertical="center" wrapText="1"/>
    </xf>
    <xf numFmtId="0" fontId="16" fillId="0" borderId="1" xfId="0" applyFont="1" applyBorder="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16" fillId="0" borderId="1" xfId="0" applyFont="1" applyBorder="1" applyAlignment="1">
      <alignment vertical="center" shrinkToFit="1"/>
    </xf>
    <xf numFmtId="0" fontId="16" fillId="0" borderId="1" xfId="0" applyFont="1" applyBorder="1" applyAlignment="1">
      <alignment horizontal="center" vertical="center" shrinkToFit="1"/>
    </xf>
    <xf numFmtId="0" fontId="13" fillId="0" borderId="0" xfId="0" applyFont="1" applyAlignment="1">
      <alignment horizontal="center" vertical="center"/>
    </xf>
    <xf numFmtId="0" fontId="10" fillId="0" borderId="1" xfId="0" applyFont="1" applyBorder="1" applyAlignment="1">
      <alignment vertical="center"/>
    </xf>
    <xf numFmtId="0" fontId="9" fillId="0" borderId="0" xfId="0" applyFont="1" applyAlignment="1">
      <alignment vertical="center"/>
    </xf>
    <xf numFmtId="0" fontId="10"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2" fillId="0" borderId="0" xfId="0" applyFont="1">
      <alignment vertical="center"/>
    </xf>
    <xf numFmtId="0" fontId="12" fillId="0" borderId="1" xfId="0" applyFont="1" applyBorder="1">
      <alignment vertical="center"/>
    </xf>
    <xf numFmtId="0" fontId="19" fillId="0" borderId="0" xfId="0" applyFont="1" applyAlignment="1">
      <alignment vertical="center"/>
    </xf>
    <xf numFmtId="0" fontId="19" fillId="0" borderId="1" xfId="0" applyFont="1" applyBorder="1" applyAlignment="1">
      <alignment vertical="center"/>
    </xf>
    <xf numFmtId="0" fontId="13" fillId="0" borderId="4" xfId="0" applyFont="1" applyBorder="1">
      <alignment vertical="center"/>
    </xf>
    <xf numFmtId="0" fontId="18" fillId="0" borderId="0" xfId="0" applyFont="1">
      <alignment vertical="center"/>
    </xf>
    <xf numFmtId="0" fontId="18" fillId="0" borderId="1" xfId="0" applyFont="1" applyBorder="1">
      <alignment vertical="center"/>
    </xf>
    <xf numFmtId="0" fontId="12" fillId="3" borderId="1" xfId="0" applyFont="1" applyFill="1" applyBorder="1">
      <alignment vertical="center"/>
    </xf>
    <xf numFmtId="0" fontId="12" fillId="3" borderId="1" xfId="0" applyFont="1" applyFill="1" applyBorder="1" applyAlignment="1">
      <alignment horizontal="center" vertical="center"/>
    </xf>
    <xf numFmtId="3" fontId="13" fillId="2" borderId="1" xfId="0" applyNumberFormat="1" applyFont="1" applyFill="1" applyBorder="1">
      <alignment vertical="center"/>
    </xf>
    <xf numFmtId="2" fontId="13" fillId="2" borderId="1" xfId="0" applyNumberFormat="1" applyFont="1" applyFill="1" applyBorder="1">
      <alignment vertical="center"/>
    </xf>
    <xf numFmtId="0" fontId="15" fillId="0" borderId="1" xfId="0" applyFont="1" applyBorder="1" applyAlignment="1">
      <alignment horizontal="center" vertical="center"/>
    </xf>
    <xf numFmtId="0" fontId="3" fillId="3" borderId="1" xfId="0" applyFont="1" applyFill="1" applyBorder="1">
      <alignment vertical="center"/>
    </xf>
    <xf numFmtId="3" fontId="9" fillId="0" borderId="1" xfId="0" applyNumberFormat="1" applyFont="1" applyBorder="1" applyAlignment="1">
      <alignment vertical="center"/>
    </xf>
    <xf numFmtId="0" fontId="13" fillId="2" borderId="1" xfId="0" applyFont="1" applyFill="1" applyBorder="1" applyAlignment="1">
      <alignment horizontal="center" vertical="center"/>
    </xf>
    <xf numFmtId="0" fontId="12" fillId="3"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0" borderId="1" xfId="0" applyFont="1" applyBorder="1" applyAlignment="1">
      <alignment horizontal="center" vertical="center" wrapText="1"/>
    </xf>
    <xf numFmtId="178" fontId="13" fillId="0" borderId="1" xfId="0" applyNumberFormat="1" applyFont="1" applyBorder="1" applyAlignment="1">
      <alignment horizontal="center" vertical="center"/>
    </xf>
    <xf numFmtId="0" fontId="0" fillId="0" borderId="1" xfId="0" applyBorder="1" applyAlignment="1">
      <alignment horizontal="center" vertical="top"/>
    </xf>
    <xf numFmtId="0" fontId="0" fillId="0" borderId="1" xfId="0" applyBorder="1" applyAlignment="1">
      <alignment vertical="top"/>
    </xf>
    <xf numFmtId="0" fontId="0" fillId="0" borderId="1" xfId="0" applyBorder="1" applyAlignment="1">
      <alignment vertical="top" wrapText="1"/>
    </xf>
    <xf numFmtId="0" fontId="0" fillId="2" borderId="1" xfId="0" applyFill="1" applyBorder="1" applyAlignment="1">
      <alignment vertical="top"/>
    </xf>
    <xf numFmtId="0" fontId="2" fillId="0" borderId="0" xfId="0" applyFont="1">
      <alignment vertical="center"/>
    </xf>
    <xf numFmtId="0" fontId="0" fillId="0" borderId="0" xfId="0">
      <alignment vertical="center"/>
    </xf>
    <xf numFmtId="0" fontId="0" fillId="2" borderId="0" xfId="0" applyFill="1" applyAlignment="1">
      <alignment vertical="top" wrapText="1"/>
    </xf>
    <xf numFmtId="0" fontId="0" fillId="0" borderId="0" xfId="0" applyAlignment="1">
      <alignment vertical="top" wrapText="1"/>
    </xf>
    <xf numFmtId="0" fontId="3" fillId="0" borderId="0" xfId="0" applyFont="1">
      <alignment vertical="center"/>
    </xf>
    <xf numFmtId="0" fontId="0" fillId="0" borderId="0" xfId="0" applyAlignment="1">
      <alignment vertical="center" wrapText="1"/>
    </xf>
    <xf numFmtId="0" fontId="13" fillId="0" borderId="1" xfId="0" applyFont="1" applyBorder="1">
      <alignment vertical="center"/>
    </xf>
    <xf numFmtId="0" fontId="11" fillId="0" borderId="0" xfId="0" applyFont="1" applyAlignment="1">
      <alignment horizontal="center" vertical="center"/>
    </xf>
    <xf numFmtId="0" fontId="0" fillId="0" borderId="0" xfId="0" applyAlignment="1">
      <alignment horizontal="center" vertical="center"/>
    </xf>
    <xf numFmtId="0" fontId="12" fillId="0" borderId="1" xfId="0" applyFont="1" applyBorder="1">
      <alignment vertical="center"/>
    </xf>
    <xf numFmtId="0" fontId="13" fillId="0" borderId="1" xfId="0" applyFont="1" applyBorder="1" applyAlignment="1">
      <alignment vertical="center" wrapText="1"/>
    </xf>
    <xf numFmtId="0" fontId="12" fillId="0" borderId="1" xfId="0" applyFont="1" applyBorder="1" applyAlignment="1">
      <alignment vertical="center" wrapText="1"/>
    </xf>
    <xf numFmtId="0" fontId="12" fillId="0" borderId="1" xfId="0" applyFont="1" applyBorder="1" applyAlignment="1">
      <alignment horizontal="center" vertical="center"/>
    </xf>
    <xf numFmtId="0" fontId="13" fillId="0" borderId="0" xfId="0" applyFont="1">
      <alignment vertical="center"/>
    </xf>
    <xf numFmtId="0" fontId="12" fillId="0" borderId="0" xfId="0" applyFont="1">
      <alignment vertical="center"/>
    </xf>
    <xf numFmtId="0" fontId="19" fillId="0" borderId="1" xfId="0" applyFont="1" applyBorder="1" applyAlignment="1">
      <alignment vertical="center"/>
    </xf>
    <xf numFmtId="0" fontId="19" fillId="0" borderId="1" xfId="0" applyFont="1" applyBorder="1" applyAlignment="1">
      <alignment horizontal="center" vertical="center"/>
    </xf>
    <xf numFmtId="0" fontId="3" fillId="0" borderId="1" xfId="0" applyFont="1" applyBorder="1" applyAlignment="1">
      <alignment horizontal="center" vertical="center"/>
    </xf>
    <xf numFmtId="0" fontId="19" fillId="0" borderId="1" xfId="0" applyFont="1" applyBorder="1" applyAlignment="1">
      <alignment vertical="center" wrapText="1"/>
    </xf>
    <xf numFmtId="0" fontId="9" fillId="0" borderId="0" xfId="0" applyFont="1" applyAlignment="1">
      <alignment vertical="center" wrapText="1"/>
    </xf>
    <xf numFmtId="0" fontId="9" fillId="0" borderId="1" xfId="0" applyFont="1" applyBorder="1">
      <alignment vertical="center"/>
    </xf>
    <xf numFmtId="0" fontId="10" fillId="0" borderId="1" xfId="0" applyFont="1" applyBorder="1">
      <alignment vertical="center"/>
    </xf>
    <xf numFmtId="0" fontId="9" fillId="0" borderId="0" xfId="0" applyFont="1">
      <alignment vertical="center"/>
    </xf>
    <xf numFmtId="0" fontId="10" fillId="0" borderId="0" xfId="0" applyFont="1">
      <alignment vertical="center"/>
    </xf>
    <xf numFmtId="0" fontId="13" fillId="0" borderId="0" xfId="0" applyFont="1" applyAlignment="1">
      <alignment vertical="center" wrapText="1"/>
    </xf>
    <xf numFmtId="0" fontId="12" fillId="0" borderId="2" xfId="0" applyFont="1" applyBorder="1">
      <alignment vertical="center"/>
    </xf>
    <xf numFmtId="0" fontId="13" fillId="0" borderId="4" xfId="0" applyFont="1" applyBorder="1">
      <alignment vertical="center"/>
    </xf>
    <xf numFmtId="0" fontId="13" fillId="0" borderId="3" xfId="0" applyFont="1" applyBorder="1" applyAlignment="1">
      <alignment vertical="center" wrapText="1"/>
    </xf>
    <xf numFmtId="0" fontId="10" fillId="0" borderId="0" xfId="0" applyFont="1" applyAlignment="1">
      <alignment horizontal="center" vertical="center"/>
    </xf>
    <xf numFmtId="0" fontId="9" fillId="0" borderId="0" xfId="0" applyFont="1" applyAlignment="1">
      <alignment horizontal="center" vertical="center"/>
    </xf>
    <xf numFmtId="0" fontId="10" fillId="0" borderId="1" xfId="0" applyFont="1" applyBorder="1" applyAlignment="1">
      <alignment horizontal="center" vertical="center"/>
    </xf>
    <xf numFmtId="0" fontId="8" fillId="0" borderId="0" xfId="0" applyFont="1" applyAlignment="1">
      <alignment horizontal="center" vertical="center"/>
    </xf>
    <xf numFmtId="0" fontId="9" fillId="0" borderId="1" xfId="0" applyFont="1" applyBorder="1" applyAlignment="1">
      <alignment vertical="center" wrapText="1"/>
    </xf>
    <xf numFmtId="0" fontId="13" fillId="0" borderId="0" xfId="0" applyFont="1" applyAlignment="1">
      <alignment horizontal="center" vertical="center"/>
    </xf>
    <xf numFmtId="0" fontId="12" fillId="3" borderId="1" xfId="0" applyFont="1" applyFill="1" applyBorder="1" applyAlignment="1">
      <alignment horizontal="center" vertical="center"/>
    </xf>
    <xf numFmtId="0" fontId="13" fillId="3" borderId="1" xfId="0" applyFont="1" applyFill="1" applyBorder="1">
      <alignment vertical="center"/>
    </xf>
    <xf numFmtId="0" fontId="13" fillId="0" borderId="1" xfId="0" applyFont="1" applyBorder="1" applyAlignment="1">
      <alignment horizontal="center" vertical="center"/>
    </xf>
    <xf numFmtId="0" fontId="12" fillId="0" borderId="0" xfId="0" applyFont="1" applyAlignment="1">
      <alignment vertical="center" wrapText="1"/>
    </xf>
    <xf numFmtId="0" fontId="13" fillId="0" borderId="0" xfId="0" applyFont="1" applyAlignment="1">
      <alignment vertical="top" wrapText="1"/>
    </xf>
    <xf numFmtId="0" fontId="12" fillId="0" borderId="0" xfId="0" applyFont="1" applyAlignment="1">
      <alignment horizontal="center" vertical="center"/>
    </xf>
    <xf numFmtId="0" fontId="12" fillId="0" borderId="0" xfId="0" applyFont="1" applyAlignment="1">
      <alignment vertical="center"/>
    </xf>
    <xf numFmtId="0" fontId="13" fillId="0" borderId="0" xfId="0" applyFont="1" applyAlignment="1">
      <alignment vertical="center"/>
    </xf>
    <xf numFmtId="0" fontId="12" fillId="0" borderId="1" xfId="0" applyFont="1" applyBorder="1" applyAlignment="1">
      <alignment vertical="center"/>
    </xf>
    <xf numFmtId="0" fontId="13" fillId="0" borderId="1" xfId="0" applyFont="1" applyBorder="1" applyAlignment="1">
      <alignment horizontal="center" vertical="center" wrapText="1"/>
    </xf>
    <xf numFmtId="0" fontId="15" fillId="0" borderId="0" xfId="0" applyFont="1" applyAlignment="1">
      <alignment horizontal="center" vertical="center"/>
    </xf>
    <xf numFmtId="0" fontId="16" fillId="0" borderId="0" xfId="0" applyFont="1" applyAlignment="1">
      <alignment horizontal="center" vertical="center"/>
    </xf>
    <xf numFmtId="0" fontId="16" fillId="0" borderId="0" xfId="0" applyFont="1" applyAlignment="1">
      <alignment vertical="center" wrapText="1"/>
    </xf>
    <xf numFmtId="0" fontId="13" fillId="0" borderId="1" xfId="0" applyFont="1" applyBorder="1" applyAlignment="1">
      <alignment vertical="center"/>
    </xf>
    <xf numFmtId="0" fontId="12"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7" fillId="0" borderId="0" xfId="0" applyFont="1" applyAlignment="1">
      <alignment vertical="center"/>
    </xf>
    <xf numFmtId="0" fontId="0" fillId="0" borderId="0" xfId="0" applyAlignment="1">
      <alignment vertical="center"/>
    </xf>
    <xf numFmtId="0" fontId="10" fillId="0" borderId="0" xfId="0" applyFont="1" applyAlignment="1">
      <alignment horizontal="center" vertical="center" wrapText="1"/>
    </xf>
    <xf numFmtId="0" fontId="9" fillId="0" borderId="0" xfId="0" applyFont="1" applyAlignment="1">
      <alignment horizontal="center" vertical="center" wrapText="1"/>
    </xf>
    <xf numFmtId="0" fontId="10" fillId="0" borderId="1" xfId="0" applyFont="1" applyBorder="1" applyAlignment="1">
      <alignment vertical="center"/>
    </xf>
    <xf numFmtId="0" fontId="10" fillId="0" borderId="1" xfId="0" applyFont="1" applyBorder="1" applyAlignment="1">
      <alignment vertical="center" wrapText="1"/>
    </xf>
    <xf numFmtId="0" fontId="19" fillId="0" borderId="0" xfId="0" applyFont="1" applyAlignment="1">
      <alignment vertical="center"/>
    </xf>
    <xf numFmtId="0" fontId="3" fillId="0" borderId="0" xfId="0" applyFont="1" applyAlignment="1">
      <alignment horizontal="center" vertical="center"/>
    </xf>
    <xf numFmtId="0" fontId="19" fillId="0" borderId="0" xfId="0" applyFont="1" applyAlignment="1">
      <alignment horizontal="center" vertical="center"/>
    </xf>
    <xf numFmtId="0" fontId="19" fillId="0" borderId="0" xfId="0" applyFont="1" applyAlignment="1">
      <alignment vertical="center" wrapText="1"/>
    </xf>
    <xf numFmtId="0" fontId="20"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3" fontId="10" fillId="0" borderId="1" xfId="0" applyNumberFormat="1" applyFont="1" applyBorder="1" applyAlignment="1">
      <alignment vertical="center"/>
    </xf>
    <xf numFmtId="0" fontId="12" fillId="3" borderId="1" xfId="0" applyFont="1" applyFill="1" applyBorder="1" applyAlignment="1">
      <alignment horizontal="center" vertical="center" wrapText="1"/>
    </xf>
    <xf numFmtId="0" fontId="13" fillId="2" borderId="0" xfId="0" applyFont="1" applyFill="1">
      <alignment vertical="center"/>
    </xf>
    <xf numFmtId="3" fontId="13" fillId="2" borderId="0" xfId="0" applyNumberFormat="1" applyFont="1" applyFill="1">
      <alignment vertical="center"/>
    </xf>
    <xf numFmtId="0" fontId="16" fillId="0" borderId="0" xfId="0" applyFont="1">
      <alignment vertical="center"/>
    </xf>
    <xf numFmtId="0" fontId="10" fillId="3"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vertical="top" wrapText="1"/>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서식선택_출력!$A$5"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서식선택_출력!$A$6"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서식선택_출력!$A$7"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서식선택_출력!$A$8"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서식선택_출력!$A$9"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fmlaLink="서식선택_출력!$A$10"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fmlaLink="서식선택_출력!$A$11"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서식선택_출력!$A$12"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fmlaLink="서식선택_출력!$A$13"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CheckBox" fmlaLink="서식선택_출력!$A$14"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fmlaLink="서식선택_출력!$A$15"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fmlaLink="서식선택_출력!$A$16"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서식선택_출력!$A$17" lockText="1" noThreeD="1"/>
</file>

<file path=xl/ctrlProps/ctrlProp33.xml><?xml version="1.0" encoding="utf-8"?>
<formControlPr xmlns="http://schemas.microsoft.com/office/spreadsheetml/2009/9/main" objectType="CheckBox" fmlaLink="서식선택_출력!$A$18" lockText="1" noThreeD="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서식선택_출력!$A$19"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서식선택_출력!$A$20"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fmlaLink="서식선택_출력!$A$21"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fmlaLink="서식선택_출력!$A$22"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fmlaLink="서식선택_출력!$A$23" lockText="1"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CheckBox" fmlaLink="서식선택_출력!$A$24" lockText="1" noThreeD="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fmlaLink="서식선택_출력!$A$25"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서식선택_출력!$A$26"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CheckBox" fmlaLink="서식선택_출력!$A$27"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서식선택_출력!$A$28" lockText="1" noThreeD="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CheckBox" fmlaLink="서식선택_출력!$A$29"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CheckBox" fmlaLink="서식선택_출력!$A$30" lockText="1" noThreeD="1"/>
</file>

<file path=xl/ctrlProps/ctrlProp58.xml><?xml version="1.0" encoding="utf-8"?>
<formControlPr xmlns="http://schemas.microsoft.com/office/spreadsheetml/2009/9/main" objectType="CheckBox" fmlaLink="서식선택_출력!$A$31" lockText="1" noThreeD="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CheckBox" fmlaLink="서식선택_출력!$A$32" lockText="1" noThreeD="1"/>
</file>

<file path=xl/ctrlProps/ctrlProp61.xml><?xml version="1.0" encoding="utf-8"?>
<formControlPr xmlns="http://schemas.microsoft.com/office/spreadsheetml/2009/9/main" objectType="CheckBox" fmlaLink="서식선택_출력!$A$33" lockText="1" noThreeD="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fmlaLink="서식선택_출력!$A$34"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fmlaLink="서식선택_출력!$A$35"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fmlaLink="서식선택_출력!$A$36"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CheckBox" fmlaLink="서식선택_출력!$A$37" lockText="1" noThreeD="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fmlaLink="서식선택_출력!$A$38"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서식선택_출력!$A$39" lockText="1" noThreeD="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CheckBox" fmlaLink="서식선택_출력!$A$40" lockText="1"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서식선택_출력!$A$41" lockText="1" noThreeD="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CheckBox" fmlaLink="서식선택_출력!$A$42" lockText="1" noThreeD="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CheckBox" fmlaLink="서식선택_출력!$A$43" lockText="1" noThreeD="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CheckBox" fmlaLink="서식선택_출력!$A$44" lockText="1" noThreeD="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CheckBox" fmlaLink="서식선택_출력!$A$45" lockText="1" noThreeD="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서식선택_출력!$A$46" lockText="1" noThreeD="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서식선택_출력!$A$47" lockText="1" noThreeD="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서식선택_출력!$A$48" lockText="1" noThreeD="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fmlaLink="서식선택_출력!$A$49"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서식선택_출력!$A$50" lockText="1" noThreeD="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CheckBox" fmlaLink="서식선택_출력!$A$51"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서식선택_출력!$A$52" lockText="1" noThreeD="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CheckBox" fmlaLink="서식선택_출력!$A$53" lockText="1" noThreeD="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서식선택_출력!$A$54" lockText="1" noThreeD="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CheckBox" fmlaLink="서식선택_출력!$A$55" lockText="1" noThreeD="1"/>
</file>

<file path=xl/ctrlProps/ctrlProp106.xml><?xml version="1.0" encoding="utf-8"?>
<formControlPr xmlns="http://schemas.microsoft.com/office/spreadsheetml/2009/9/main" objectType="CheckBox" fmlaLink="서식선택_출력!$A$56" lockText="1" noThreeD="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571500</xdr:colOff>
          <xdr:row>0</xdr:row>
          <xdr:rowOff>123825</xdr:rowOff>
        </xdr:from>
        <xdr:to>
          <xdr:col>6</xdr:col>
          <xdr:colOff>323850</xdr:colOff>
          <xdr:row>1</xdr:row>
          <xdr:rowOff>180975</xdr:rowOff>
        </xdr:to>
        <xdr:sp macro="" textlink="">
          <xdr:nvSpPr>
            <xdr:cNvPr id="2049" name="btn초기화"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초기화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447675</xdr:colOff>
          <xdr:row>0</xdr:row>
          <xdr:rowOff>123825</xdr:rowOff>
        </xdr:from>
        <xdr:to>
          <xdr:col>8</xdr:col>
          <xdr:colOff>95250</xdr:colOff>
          <xdr:row>1</xdr:row>
          <xdr:rowOff>180975</xdr:rowOff>
        </xdr:to>
        <xdr:sp macro="" textlink="">
          <xdr:nvSpPr>
            <xdr:cNvPr id="2050" name="btn저장하기"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저장하기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219075</xdr:colOff>
          <xdr:row>0</xdr:row>
          <xdr:rowOff>123825</xdr:rowOff>
        </xdr:from>
        <xdr:to>
          <xdr:col>9</xdr:col>
          <xdr:colOff>552450</xdr:colOff>
          <xdr:row>1</xdr:row>
          <xdr:rowOff>180975</xdr:rowOff>
        </xdr:to>
        <xdr:sp macro="" textlink="">
          <xdr:nvSpPr>
            <xdr:cNvPr id="2051" name="btn수정하기"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수정하기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676275</xdr:colOff>
          <xdr:row>0</xdr:row>
          <xdr:rowOff>123825</xdr:rowOff>
        </xdr:from>
        <xdr:to>
          <xdr:col>11</xdr:col>
          <xdr:colOff>323850</xdr:colOff>
          <xdr:row>1</xdr:row>
          <xdr:rowOff>180975</xdr:rowOff>
        </xdr:to>
        <xdr:sp macro="" textlink="">
          <xdr:nvSpPr>
            <xdr:cNvPr id="2052" name="btn불러오기"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불러오기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xdr:row>
          <xdr:rowOff>0</xdr:rowOff>
        </xdr:from>
        <xdr:to>
          <xdr:col>21</xdr:col>
          <xdr:colOff>561975</xdr:colOff>
          <xdr:row>2</xdr:row>
          <xdr:rowOff>95250</xdr:rowOff>
        </xdr:to>
        <xdr:sp macro="" textlink="">
          <xdr:nvSpPr>
            <xdr:cNvPr id="2053" name="btn빠른미리보기"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선택 서식 인쇄 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685800</xdr:colOff>
          <xdr:row>1</xdr:row>
          <xdr:rowOff>0</xdr:rowOff>
        </xdr:from>
        <xdr:to>
          <xdr:col>22</xdr:col>
          <xdr:colOff>390525</xdr:colOff>
          <xdr:row>2</xdr:row>
          <xdr:rowOff>95250</xdr:rowOff>
        </xdr:to>
        <xdr:sp macro="" textlink="">
          <xdr:nvSpPr>
            <xdr:cNvPr id="2054" name="btn빠른PDF"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선택 서식 PDF 저장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514350</xdr:colOff>
          <xdr:row>1</xdr:row>
          <xdr:rowOff>0</xdr:rowOff>
        </xdr:from>
        <xdr:to>
          <xdr:col>25</xdr:col>
          <xdr:colOff>314325</xdr:colOff>
          <xdr:row>2</xdr:row>
          <xdr:rowOff>95250</xdr:rowOff>
        </xdr:to>
        <xdr:sp macro="" textlink="">
          <xdr:nvSpPr>
            <xdr:cNvPr id="2055" name="btn이동_계약방법안내"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4</xdr:row>
          <xdr:rowOff>9525</xdr:rowOff>
        </xdr:from>
        <xdr:to>
          <xdr:col>19</xdr:col>
          <xdr:colOff>314325</xdr:colOff>
          <xdr:row>5</xdr:row>
          <xdr:rowOff>38100</xdr:rowOff>
        </xdr:to>
        <xdr:sp macro="" textlink="">
          <xdr:nvSpPr>
            <xdr:cNvPr id="2056" name="chkQuick_F-001"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9525</xdr:rowOff>
        </xdr:from>
        <xdr:to>
          <xdr:col>23</xdr:col>
          <xdr:colOff>66675</xdr:colOff>
          <xdr:row>4</xdr:row>
          <xdr:rowOff>200025</xdr:rowOff>
        </xdr:to>
        <xdr:sp macro="" textlink="">
          <xdr:nvSpPr>
            <xdr:cNvPr id="2057" name="btnQuickView_F-001"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5</xdr:row>
          <xdr:rowOff>9525</xdr:rowOff>
        </xdr:from>
        <xdr:to>
          <xdr:col>19</xdr:col>
          <xdr:colOff>314325</xdr:colOff>
          <xdr:row>6</xdr:row>
          <xdr:rowOff>38100</xdr:rowOff>
        </xdr:to>
        <xdr:sp macro="" textlink="">
          <xdr:nvSpPr>
            <xdr:cNvPr id="2058" name="chkQuick_F-002"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5</xdr:row>
          <xdr:rowOff>9525</xdr:rowOff>
        </xdr:from>
        <xdr:to>
          <xdr:col>23</xdr:col>
          <xdr:colOff>66675</xdr:colOff>
          <xdr:row>5</xdr:row>
          <xdr:rowOff>200025</xdr:rowOff>
        </xdr:to>
        <xdr:sp macro="" textlink="">
          <xdr:nvSpPr>
            <xdr:cNvPr id="2059" name="btnQuickView_F-002"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6</xdr:row>
          <xdr:rowOff>9525</xdr:rowOff>
        </xdr:from>
        <xdr:to>
          <xdr:col>19</xdr:col>
          <xdr:colOff>314325</xdr:colOff>
          <xdr:row>7</xdr:row>
          <xdr:rowOff>38100</xdr:rowOff>
        </xdr:to>
        <xdr:sp macro="" textlink="">
          <xdr:nvSpPr>
            <xdr:cNvPr id="2060" name="chkQuick_F-003"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6</xdr:row>
          <xdr:rowOff>9525</xdr:rowOff>
        </xdr:from>
        <xdr:to>
          <xdr:col>23</xdr:col>
          <xdr:colOff>66675</xdr:colOff>
          <xdr:row>6</xdr:row>
          <xdr:rowOff>200025</xdr:rowOff>
        </xdr:to>
        <xdr:sp macro="" textlink="">
          <xdr:nvSpPr>
            <xdr:cNvPr id="2061" name="btnQuickView_F-00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7</xdr:row>
          <xdr:rowOff>9525</xdr:rowOff>
        </xdr:from>
        <xdr:to>
          <xdr:col>19</xdr:col>
          <xdr:colOff>314325</xdr:colOff>
          <xdr:row>8</xdr:row>
          <xdr:rowOff>38100</xdr:rowOff>
        </xdr:to>
        <xdr:sp macro="" textlink="">
          <xdr:nvSpPr>
            <xdr:cNvPr id="2062" name="chkQuick_F-00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7</xdr:row>
          <xdr:rowOff>9525</xdr:rowOff>
        </xdr:from>
        <xdr:to>
          <xdr:col>23</xdr:col>
          <xdr:colOff>66675</xdr:colOff>
          <xdr:row>7</xdr:row>
          <xdr:rowOff>200025</xdr:rowOff>
        </xdr:to>
        <xdr:sp macro="" textlink="">
          <xdr:nvSpPr>
            <xdr:cNvPr id="2063" name="btnQuickView_F-004"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8</xdr:row>
          <xdr:rowOff>9525</xdr:rowOff>
        </xdr:from>
        <xdr:to>
          <xdr:col>19</xdr:col>
          <xdr:colOff>314325</xdr:colOff>
          <xdr:row>9</xdr:row>
          <xdr:rowOff>38100</xdr:rowOff>
        </xdr:to>
        <xdr:sp macro="" textlink="">
          <xdr:nvSpPr>
            <xdr:cNvPr id="2064" name="chkQuick_F-005"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8</xdr:row>
          <xdr:rowOff>9525</xdr:rowOff>
        </xdr:from>
        <xdr:to>
          <xdr:col>23</xdr:col>
          <xdr:colOff>66675</xdr:colOff>
          <xdr:row>8</xdr:row>
          <xdr:rowOff>200025</xdr:rowOff>
        </xdr:to>
        <xdr:sp macro="" textlink="">
          <xdr:nvSpPr>
            <xdr:cNvPr id="2065" name="btnQuickView_F-005"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9</xdr:row>
          <xdr:rowOff>9525</xdr:rowOff>
        </xdr:from>
        <xdr:to>
          <xdr:col>19</xdr:col>
          <xdr:colOff>314325</xdr:colOff>
          <xdr:row>10</xdr:row>
          <xdr:rowOff>38100</xdr:rowOff>
        </xdr:to>
        <xdr:sp macro="" textlink="">
          <xdr:nvSpPr>
            <xdr:cNvPr id="2066" name="chkQuick_F-006"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9</xdr:row>
          <xdr:rowOff>9525</xdr:rowOff>
        </xdr:from>
        <xdr:to>
          <xdr:col>23</xdr:col>
          <xdr:colOff>66675</xdr:colOff>
          <xdr:row>9</xdr:row>
          <xdr:rowOff>200025</xdr:rowOff>
        </xdr:to>
        <xdr:sp macro="" textlink="">
          <xdr:nvSpPr>
            <xdr:cNvPr id="2067" name="btnQuickView_F-006"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10</xdr:row>
          <xdr:rowOff>9525</xdr:rowOff>
        </xdr:from>
        <xdr:to>
          <xdr:col>19</xdr:col>
          <xdr:colOff>314325</xdr:colOff>
          <xdr:row>11</xdr:row>
          <xdr:rowOff>38100</xdr:rowOff>
        </xdr:to>
        <xdr:sp macro="" textlink="">
          <xdr:nvSpPr>
            <xdr:cNvPr id="2068" name="chkQuick_F-007"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10</xdr:row>
          <xdr:rowOff>9525</xdr:rowOff>
        </xdr:from>
        <xdr:to>
          <xdr:col>23</xdr:col>
          <xdr:colOff>66675</xdr:colOff>
          <xdr:row>10</xdr:row>
          <xdr:rowOff>200025</xdr:rowOff>
        </xdr:to>
        <xdr:sp macro="" textlink="">
          <xdr:nvSpPr>
            <xdr:cNvPr id="2069" name="btnQuickView_F-007"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11</xdr:row>
          <xdr:rowOff>9525</xdr:rowOff>
        </xdr:from>
        <xdr:to>
          <xdr:col>19</xdr:col>
          <xdr:colOff>314325</xdr:colOff>
          <xdr:row>12</xdr:row>
          <xdr:rowOff>38100</xdr:rowOff>
        </xdr:to>
        <xdr:sp macro="" textlink="">
          <xdr:nvSpPr>
            <xdr:cNvPr id="2070" name="chkQuick_F-008"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11</xdr:row>
          <xdr:rowOff>9525</xdr:rowOff>
        </xdr:from>
        <xdr:to>
          <xdr:col>23</xdr:col>
          <xdr:colOff>66675</xdr:colOff>
          <xdr:row>11</xdr:row>
          <xdr:rowOff>200025</xdr:rowOff>
        </xdr:to>
        <xdr:sp macro="" textlink="">
          <xdr:nvSpPr>
            <xdr:cNvPr id="2071" name="btnQuickView_F-008"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12</xdr:row>
          <xdr:rowOff>9525</xdr:rowOff>
        </xdr:from>
        <xdr:to>
          <xdr:col>19</xdr:col>
          <xdr:colOff>314325</xdr:colOff>
          <xdr:row>13</xdr:row>
          <xdr:rowOff>38100</xdr:rowOff>
        </xdr:to>
        <xdr:sp macro="" textlink="">
          <xdr:nvSpPr>
            <xdr:cNvPr id="2072" name="chkQuick_F-009"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12</xdr:row>
          <xdr:rowOff>9525</xdr:rowOff>
        </xdr:from>
        <xdr:to>
          <xdr:col>23</xdr:col>
          <xdr:colOff>66675</xdr:colOff>
          <xdr:row>12</xdr:row>
          <xdr:rowOff>200025</xdr:rowOff>
        </xdr:to>
        <xdr:sp macro="" textlink="">
          <xdr:nvSpPr>
            <xdr:cNvPr id="2073" name="btnQuickView_F-009"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13</xdr:row>
          <xdr:rowOff>9525</xdr:rowOff>
        </xdr:from>
        <xdr:to>
          <xdr:col>19</xdr:col>
          <xdr:colOff>314325</xdr:colOff>
          <xdr:row>14</xdr:row>
          <xdr:rowOff>38100</xdr:rowOff>
        </xdr:to>
        <xdr:sp macro="" textlink="">
          <xdr:nvSpPr>
            <xdr:cNvPr id="2074" name="chkQuick_F-010"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13</xdr:row>
          <xdr:rowOff>9525</xdr:rowOff>
        </xdr:from>
        <xdr:to>
          <xdr:col>23</xdr:col>
          <xdr:colOff>66675</xdr:colOff>
          <xdr:row>13</xdr:row>
          <xdr:rowOff>200025</xdr:rowOff>
        </xdr:to>
        <xdr:sp macro="" textlink="">
          <xdr:nvSpPr>
            <xdr:cNvPr id="2075" name="btnQuickView_F-010"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14</xdr:row>
          <xdr:rowOff>9525</xdr:rowOff>
        </xdr:from>
        <xdr:to>
          <xdr:col>19</xdr:col>
          <xdr:colOff>314325</xdr:colOff>
          <xdr:row>15</xdr:row>
          <xdr:rowOff>38100</xdr:rowOff>
        </xdr:to>
        <xdr:sp macro="" textlink="">
          <xdr:nvSpPr>
            <xdr:cNvPr id="2076" name="chkQuick_F-011"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14</xdr:row>
          <xdr:rowOff>9525</xdr:rowOff>
        </xdr:from>
        <xdr:to>
          <xdr:col>23</xdr:col>
          <xdr:colOff>66675</xdr:colOff>
          <xdr:row>14</xdr:row>
          <xdr:rowOff>200025</xdr:rowOff>
        </xdr:to>
        <xdr:sp macro="" textlink="">
          <xdr:nvSpPr>
            <xdr:cNvPr id="2077" name="btnQuickView_F-011"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15</xdr:row>
          <xdr:rowOff>9525</xdr:rowOff>
        </xdr:from>
        <xdr:to>
          <xdr:col>19</xdr:col>
          <xdr:colOff>314325</xdr:colOff>
          <xdr:row>16</xdr:row>
          <xdr:rowOff>38100</xdr:rowOff>
        </xdr:to>
        <xdr:sp macro="" textlink="">
          <xdr:nvSpPr>
            <xdr:cNvPr id="2078" name="chkQuick_F-012"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15</xdr:row>
          <xdr:rowOff>9525</xdr:rowOff>
        </xdr:from>
        <xdr:to>
          <xdr:col>23</xdr:col>
          <xdr:colOff>66675</xdr:colOff>
          <xdr:row>15</xdr:row>
          <xdr:rowOff>200025</xdr:rowOff>
        </xdr:to>
        <xdr:sp macro="" textlink="">
          <xdr:nvSpPr>
            <xdr:cNvPr id="2079" name="btnQuickView_F-012"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16</xdr:row>
          <xdr:rowOff>9525</xdr:rowOff>
        </xdr:from>
        <xdr:to>
          <xdr:col>19</xdr:col>
          <xdr:colOff>314325</xdr:colOff>
          <xdr:row>17</xdr:row>
          <xdr:rowOff>38100</xdr:rowOff>
        </xdr:to>
        <xdr:sp macro="" textlink="">
          <xdr:nvSpPr>
            <xdr:cNvPr id="2080" name="chkQuick_F-013"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17</xdr:row>
          <xdr:rowOff>9525</xdr:rowOff>
        </xdr:from>
        <xdr:to>
          <xdr:col>19</xdr:col>
          <xdr:colOff>314325</xdr:colOff>
          <xdr:row>18</xdr:row>
          <xdr:rowOff>38100</xdr:rowOff>
        </xdr:to>
        <xdr:sp macro="" textlink="">
          <xdr:nvSpPr>
            <xdr:cNvPr id="2081" name="chkQuick_F-014"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17</xdr:row>
          <xdr:rowOff>9525</xdr:rowOff>
        </xdr:from>
        <xdr:to>
          <xdr:col>23</xdr:col>
          <xdr:colOff>66675</xdr:colOff>
          <xdr:row>17</xdr:row>
          <xdr:rowOff>200025</xdr:rowOff>
        </xdr:to>
        <xdr:sp macro="" textlink="">
          <xdr:nvSpPr>
            <xdr:cNvPr id="2082" name="btnQuickView_F-01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18</xdr:row>
          <xdr:rowOff>9525</xdr:rowOff>
        </xdr:from>
        <xdr:to>
          <xdr:col>19</xdr:col>
          <xdr:colOff>314325</xdr:colOff>
          <xdr:row>19</xdr:row>
          <xdr:rowOff>38100</xdr:rowOff>
        </xdr:to>
        <xdr:sp macro="" textlink="">
          <xdr:nvSpPr>
            <xdr:cNvPr id="2083" name="chkQuick_F-01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18</xdr:row>
          <xdr:rowOff>9525</xdr:rowOff>
        </xdr:from>
        <xdr:to>
          <xdr:col>23</xdr:col>
          <xdr:colOff>66675</xdr:colOff>
          <xdr:row>18</xdr:row>
          <xdr:rowOff>200025</xdr:rowOff>
        </xdr:to>
        <xdr:sp macro="" textlink="">
          <xdr:nvSpPr>
            <xdr:cNvPr id="2084" name="btnQuickView_F-015"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19</xdr:row>
          <xdr:rowOff>9525</xdr:rowOff>
        </xdr:from>
        <xdr:to>
          <xdr:col>19</xdr:col>
          <xdr:colOff>314325</xdr:colOff>
          <xdr:row>20</xdr:row>
          <xdr:rowOff>38100</xdr:rowOff>
        </xdr:to>
        <xdr:sp macro="" textlink="">
          <xdr:nvSpPr>
            <xdr:cNvPr id="2085" name="chkQuick_F-016"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19</xdr:row>
          <xdr:rowOff>9525</xdr:rowOff>
        </xdr:from>
        <xdr:to>
          <xdr:col>23</xdr:col>
          <xdr:colOff>66675</xdr:colOff>
          <xdr:row>19</xdr:row>
          <xdr:rowOff>200025</xdr:rowOff>
        </xdr:to>
        <xdr:sp macro="" textlink="">
          <xdr:nvSpPr>
            <xdr:cNvPr id="2086" name="btnQuickView_F-016"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20</xdr:row>
          <xdr:rowOff>9525</xdr:rowOff>
        </xdr:from>
        <xdr:to>
          <xdr:col>19</xdr:col>
          <xdr:colOff>314325</xdr:colOff>
          <xdr:row>21</xdr:row>
          <xdr:rowOff>38100</xdr:rowOff>
        </xdr:to>
        <xdr:sp macro="" textlink="">
          <xdr:nvSpPr>
            <xdr:cNvPr id="2087" name="chkQuick_F-017"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20</xdr:row>
          <xdr:rowOff>9525</xdr:rowOff>
        </xdr:from>
        <xdr:to>
          <xdr:col>23</xdr:col>
          <xdr:colOff>66675</xdr:colOff>
          <xdr:row>20</xdr:row>
          <xdr:rowOff>200025</xdr:rowOff>
        </xdr:to>
        <xdr:sp macro="" textlink="">
          <xdr:nvSpPr>
            <xdr:cNvPr id="2088" name="btnQuickView_F-017"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21</xdr:row>
          <xdr:rowOff>9525</xdr:rowOff>
        </xdr:from>
        <xdr:to>
          <xdr:col>19</xdr:col>
          <xdr:colOff>314325</xdr:colOff>
          <xdr:row>22</xdr:row>
          <xdr:rowOff>38100</xdr:rowOff>
        </xdr:to>
        <xdr:sp macro="" textlink="">
          <xdr:nvSpPr>
            <xdr:cNvPr id="2089" name="chkQuick_F-018"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21</xdr:row>
          <xdr:rowOff>9525</xdr:rowOff>
        </xdr:from>
        <xdr:to>
          <xdr:col>23</xdr:col>
          <xdr:colOff>66675</xdr:colOff>
          <xdr:row>21</xdr:row>
          <xdr:rowOff>200025</xdr:rowOff>
        </xdr:to>
        <xdr:sp macro="" textlink="">
          <xdr:nvSpPr>
            <xdr:cNvPr id="2090" name="btnQuickView_F-018"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22</xdr:row>
          <xdr:rowOff>9525</xdr:rowOff>
        </xdr:from>
        <xdr:to>
          <xdr:col>19</xdr:col>
          <xdr:colOff>314325</xdr:colOff>
          <xdr:row>23</xdr:row>
          <xdr:rowOff>38100</xdr:rowOff>
        </xdr:to>
        <xdr:sp macro="" textlink="">
          <xdr:nvSpPr>
            <xdr:cNvPr id="2091" name="chkQuick_F-019"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22</xdr:row>
          <xdr:rowOff>9525</xdr:rowOff>
        </xdr:from>
        <xdr:to>
          <xdr:col>23</xdr:col>
          <xdr:colOff>66675</xdr:colOff>
          <xdr:row>22</xdr:row>
          <xdr:rowOff>200025</xdr:rowOff>
        </xdr:to>
        <xdr:sp macro="" textlink="">
          <xdr:nvSpPr>
            <xdr:cNvPr id="2092" name="btnQuickView_F-019"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23</xdr:row>
          <xdr:rowOff>9525</xdr:rowOff>
        </xdr:from>
        <xdr:to>
          <xdr:col>19</xdr:col>
          <xdr:colOff>314325</xdr:colOff>
          <xdr:row>24</xdr:row>
          <xdr:rowOff>38100</xdr:rowOff>
        </xdr:to>
        <xdr:sp macro="" textlink="">
          <xdr:nvSpPr>
            <xdr:cNvPr id="2093" name="chkQuick_F-020"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23</xdr:row>
          <xdr:rowOff>9525</xdr:rowOff>
        </xdr:from>
        <xdr:to>
          <xdr:col>23</xdr:col>
          <xdr:colOff>66675</xdr:colOff>
          <xdr:row>23</xdr:row>
          <xdr:rowOff>200025</xdr:rowOff>
        </xdr:to>
        <xdr:sp macro="" textlink="">
          <xdr:nvSpPr>
            <xdr:cNvPr id="2094" name="btnQuickView_F-020"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24</xdr:row>
          <xdr:rowOff>9525</xdr:rowOff>
        </xdr:from>
        <xdr:to>
          <xdr:col>19</xdr:col>
          <xdr:colOff>314325</xdr:colOff>
          <xdr:row>24</xdr:row>
          <xdr:rowOff>247650</xdr:rowOff>
        </xdr:to>
        <xdr:sp macro="" textlink="">
          <xdr:nvSpPr>
            <xdr:cNvPr id="2095" name="chkQuick_F-021"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24</xdr:row>
          <xdr:rowOff>285750</xdr:rowOff>
        </xdr:from>
        <xdr:to>
          <xdr:col>23</xdr:col>
          <xdr:colOff>66675</xdr:colOff>
          <xdr:row>24</xdr:row>
          <xdr:rowOff>476250</xdr:rowOff>
        </xdr:to>
        <xdr:sp macro="" textlink="">
          <xdr:nvSpPr>
            <xdr:cNvPr id="2096" name="btnQuickView_F-021"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25</xdr:row>
          <xdr:rowOff>9525</xdr:rowOff>
        </xdr:from>
        <xdr:to>
          <xdr:col>19</xdr:col>
          <xdr:colOff>314325</xdr:colOff>
          <xdr:row>26</xdr:row>
          <xdr:rowOff>38100</xdr:rowOff>
        </xdr:to>
        <xdr:sp macro="" textlink="">
          <xdr:nvSpPr>
            <xdr:cNvPr id="2097" name="chkQuick_F-022"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25</xdr:row>
          <xdr:rowOff>9525</xdr:rowOff>
        </xdr:from>
        <xdr:to>
          <xdr:col>23</xdr:col>
          <xdr:colOff>66675</xdr:colOff>
          <xdr:row>25</xdr:row>
          <xdr:rowOff>200025</xdr:rowOff>
        </xdr:to>
        <xdr:sp macro="" textlink="">
          <xdr:nvSpPr>
            <xdr:cNvPr id="2098" name="btnQuickView_F-022"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26</xdr:row>
          <xdr:rowOff>9525</xdr:rowOff>
        </xdr:from>
        <xdr:to>
          <xdr:col>19</xdr:col>
          <xdr:colOff>314325</xdr:colOff>
          <xdr:row>27</xdr:row>
          <xdr:rowOff>38100</xdr:rowOff>
        </xdr:to>
        <xdr:sp macro="" textlink="">
          <xdr:nvSpPr>
            <xdr:cNvPr id="2099" name="chkQuick_F-023"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26</xdr:row>
          <xdr:rowOff>9525</xdr:rowOff>
        </xdr:from>
        <xdr:to>
          <xdr:col>23</xdr:col>
          <xdr:colOff>66675</xdr:colOff>
          <xdr:row>26</xdr:row>
          <xdr:rowOff>200025</xdr:rowOff>
        </xdr:to>
        <xdr:sp macro="" textlink="">
          <xdr:nvSpPr>
            <xdr:cNvPr id="2100" name="btnQuickView_F-023"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27</xdr:row>
          <xdr:rowOff>9525</xdr:rowOff>
        </xdr:from>
        <xdr:to>
          <xdr:col>19</xdr:col>
          <xdr:colOff>314325</xdr:colOff>
          <xdr:row>28</xdr:row>
          <xdr:rowOff>38100</xdr:rowOff>
        </xdr:to>
        <xdr:sp macro="" textlink="">
          <xdr:nvSpPr>
            <xdr:cNvPr id="2101" name="chkQuick_F-024"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27</xdr:row>
          <xdr:rowOff>9525</xdr:rowOff>
        </xdr:from>
        <xdr:to>
          <xdr:col>23</xdr:col>
          <xdr:colOff>66675</xdr:colOff>
          <xdr:row>27</xdr:row>
          <xdr:rowOff>200025</xdr:rowOff>
        </xdr:to>
        <xdr:sp macro="" textlink="">
          <xdr:nvSpPr>
            <xdr:cNvPr id="2102" name="btnQuickView_F-024"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28</xdr:row>
          <xdr:rowOff>9525</xdr:rowOff>
        </xdr:from>
        <xdr:to>
          <xdr:col>19</xdr:col>
          <xdr:colOff>314325</xdr:colOff>
          <xdr:row>29</xdr:row>
          <xdr:rowOff>38100</xdr:rowOff>
        </xdr:to>
        <xdr:sp macro="" textlink="">
          <xdr:nvSpPr>
            <xdr:cNvPr id="2103" name="chkQuick_F-025"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28</xdr:row>
          <xdr:rowOff>9525</xdr:rowOff>
        </xdr:from>
        <xdr:to>
          <xdr:col>23</xdr:col>
          <xdr:colOff>66675</xdr:colOff>
          <xdr:row>28</xdr:row>
          <xdr:rowOff>200025</xdr:rowOff>
        </xdr:to>
        <xdr:sp macro="" textlink="">
          <xdr:nvSpPr>
            <xdr:cNvPr id="2104" name="btnQuickView_F-025"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29</xdr:row>
          <xdr:rowOff>9525</xdr:rowOff>
        </xdr:from>
        <xdr:to>
          <xdr:col>19</xdr:col>
          <xdr:colOff>314325</xdr:colOff>
          <xdr:row>30</xdr:row>
          <xdr:rowOff>38100</xdr:rowOff>
        </xdr:to>
        <xdr:sp macro="" textlink="">
          <xdr:nvSpPr>
            <xdr:cNvPr id="2105" name="chkQuick_F-026"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30</xdr:row>
          <xdr:rowOff>9525</xdr:rowOff>
        </xdr:from>
        <xdr:to>
          <xdr:col>19</xdr:col>
          <xdr:colOff>314325</xdr:colOff>
          <xdr:row>31</xdr:row>
          <xdr:rowOff>38100</xdr:rowOff>
        </xdr:to>
        <xdr:sp macro="" textlink="">
          <xdr:nvSpPr>
            <xdr:cNvPr id="2106" name="chkQuick_F-027"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30</xdr:row>
          <xdr:rowOff>9525</xdr:rowOff>
        </xdr:from>
        <xdr:to>
          <xdr:col>23</xdr:col>
          <xdr:colOff>66675</xdr:colOff>
          <xdr:row>30</xdr:row>
          <xdr:rowOff>200025</xdr:rowOff>
        </xdr:to>
        <xdr:sp macro="" textlink="">
          <xdr:nvSpPr>
            <xdr:cNvPr id="2107" name="btnQuickView_F-027"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31</xdr:row>
          <xdr:rowOff>9525</xdr:rowOff>
        </xdr:from>
        <xdr:to>
          <xdr:col>19</xdr:col>
          <xdr:colOff>314325</xdr:colOff>
          <xdr:row>32</xdr:row>
          <xdr:rowOff>38100</xdr:rowOff>
        </xdr:to>
        <xdr:sp macro="" textlink="">
          <xdr:nvSpPr>
            <xdr:cNvPr id="2108" name="chkQuick_F-028"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32</xdr:row>
          <xdr:rowOff>9525</xdr:rowOff>
        </xdr:from>
        <xdr:to>
          <xdr:col>19</xdr:col>
          <xdr:colOff>314325</xdr:colOff>
          <xdr:row>33</xdr:row>
          <xdr:rowOff>38100</xdr:rowOff>
        </xdr:to>
        <xdr:sp macro="" textlink="">
          <xdr:nvSpPr>
            <xdr:cNvPr id="2109" name="chkQuick_F-029"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32</xdr:row>
          <xdr:rowOff>9525</xdr:rowOff>
        </xdr:from>
        <xdr:to>
          <xdr:col>23</xdr:col>
          <xdr:colOff>66675</xdr:colOff>
          <xdr:row>32</xdr:row>
          <xdr:rowOff>200025</xdr:rowOff>
        </xdr:to>
        <xdr:sp macro="" textlink="">
          <xdr:nvSpPr>
            <xdr:cNvPr id="2110" name="btnQuickView_F-029"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33</xdr:row>
          <xdr:rowOff>9525</xdr:rowOff>
        </xdr:from>
        <xdr:to>
          <xdr:col>19</xdr:col>
          <xdr:colOff>314325</xdr:colOff>
          <xdr:row>34</xdr:row>
          <xdr:rowOff>38100</xdr:rowOff>
        </xdr:to>
        <xdr:sp macro="" textlink="">
          <xdr:nvSpPr>
            <xdr:cNvPr id="2111" name="chkQuick_F-030"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33</xdr:row>
          <xdr:rowOff>9525</xdr:rowOff>
        </xdr:from>
        <xdr:to>
          <xdr:col>23</xdr:col>
          <xdr:colOff>66675</xdr:colOff>
          <xdr:row>33</xdr:row>
          <xdr:rowOff>200025</xdr:rowOff>
        </xdr:to>
        <xdr:sp macro="" textlink="">
          <xdr:nvSpPr>
            <xdr:cNvPr id="2112" name="btnQuickView_F-030"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34</xdr:row>
          <xdr:rowOff>9525</xdr:rowOff>
        </xdr:from>
        <xdr:to>
          <xdr:col>19</xdr:col>
          <xdr:colOff>314325</xdr:colOff>
          <xdr:row>35</xdr:row>
          <xdr:rowOff>38100</xdr:rowOff>
        </xdr:to>
        <xdr:sp macro="" textlink="">
          <xdr:nvSpPr>
            <xdr:cNvPr id="2113" name="chkQuick_F-031"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34</xdr:row>
          <xdr:rowOff>9525</xdr:rowOff>
        </xdr:from>
        <xdr:to>
          <xdr:col>23</xdr:col>
          <xdr:colOff>66675</xdr:colOff>
          <xdr:row>34</xdr:row>
          <xdr:rowOff>200025</xdr:rowOff>
        </xdr:to>
        <xdr:sp macro="" textlink="">
          <xdr:nvSpPr>
            <xdr:cNvPr id="2114" name="btnQuickView_F-031"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35</xdr:row>
          <xdr:rowOff>9525</xdr:rowOff>
        </xdr:from>
        <xdr:to>
          <xdr:col>19</xdr:col>
          <xdr:colOff>314325</xdr:colOff>
          <xdr:row>36</xdr:row>
          <xdr:rowOff>38100</xdr:rowOff>
        </xdr:to>
        <xdr:sp macro="" textlink="">
          <xdr:nvSpPr>
            <xdr:cNvPr id="2115" name="chkQuick_F-032"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35</xdr:row>
          <xdr:rowOff>9525</xdr:rowOff>
        </xdr:from>
        <xdr:to>
          <xdr:col>23</xdr:col>
          <xdr:colOff>66675</xdr:colOff>
          <xdr:row>35</xdr:row>
          <xdr:rowOff>200025</xdr:rowOff>
        </xdr:to>
        <xdr:sp macro="" textlink="">
          <xdr:nvSpPr>
            <xdr:cNvPr id="2116" name="btnQuickView_F-032"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36</xdr:row>
          <xdr:rowOff>9525</xdr:rowOff>
        </xdr:from>
        <xdr:to>
          <xdr:col>19</xdr:col>
          <xdr:colOff>314325</xdr:colOff>
          <xdr:row>37</xdr:row>
          <xdr:rowOff>38100</xdr:rowOff>
        </xdr:to>
        <xdr:sp macro="" textlink="">
          <xdr:nvSpPr>
            <xdr:cNvPr id="2117" name="chkQuick_F-033"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36</xdr:row>
          <xdr:rowOff>9525</xdr:rowOff>
        </xdr:from>
        <xdr:to>
          <xdr:col>23</xdr:col>
          <xdr:colOff>66675</xdr:colOff>
          <xdr:row>36</xdr:row>
          <xdr:rowOff>200025</xdr:rowOff>
        </xdr:to>
        <xdr:sp macro="" textlink="">
          <xdr:nvSpPr>
            <xdr:cNvPr id="2118" name="btnQuickView_F-033"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37</xdr:row>
          <xdr:rowOff>9525</xdr:rowOff>
        </xdr:from>
        <xdr:to>
          <xdr:col>19</xdr:col>
          <xdr:colOff>314325</xdr:colOff>
          <xdr:row>38</xdr:row>
          <xdr:rowOff>38100</xdr:rowOff>
        </xdr:to>
        <xdr:sp macro="" textlink="">
          <xdr:nvSpPr>
            <xdr:cNvPr id="2119" name="chkQuick_F-034"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37</xdr:row>
          <xdr:rowOff>9525</xdr:rowOff>
        </xdr:from>
        <xdr:to>
          <xdr:col>23</xdr:col>
          <xdr:colOff>66675</xdr:colOff>
          <xdr:row>37</xdr:row>
          <xdr:rowOff>200025</xdr:rowOff>
        </xdr:to>
        <xdr:sp macro="" textlink="">
          <xdr:nvSpPr>
            <xdr:cNvPr id="2120" name="btnQuickView_F-034"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38</xdr:row>
          <xdr:rowOff>9525</xdr:rowOff>
        </xdr:from>
        <xdr:to>
          <xdr:col>19</xdr:col>
          <xdr:colOff>314325</xdr:colOff>
          <xdr:row>39</xdr:row>
          <xdr:rowOff>38100</xdr:rowOff>
        </xdr:to>
        <xdr:sp macro="" textlink="">
          <xdr:nvSpPr>
            <xdr:cNvPr id="2121" name="chkQuick_F-035"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38</xdr:row>
          <xdr:rowOff>9525</xdr:rowOff>
        </xdr:from>
        <xdr:to>
          <xdr:col>23</xdr:col>
          <xdr:colOff>66675</xdr:colOff>
          <xdr:row>38</xdr:row>
          <xdr:rowOff>200025</xdr:rowOff>
        </xdr:to>
        <xdr:sp macro="" textlink="">
          <xdr:nvSpPr>
            <xdr:cNvPr id="2122" name="btnQuickView_F-035"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39</xdr:row>
          <xdr:rowOff>9525</xdr:rowOff>
        </xdr:from>
        <xdr:to>
          <xdr:col>19</xdr:col>
          <xdr:colOff>314325</xdr:colOff>
          <xdr:row>40</xdr:row>
          <xdr:rowOff>38100</xdr:rowOff>
        </xdr:to>
        <xdr:sp macro="" textlink="">
          <xdr:nvSpPr>
            <xdr:cNvPr id="2123" name="chkQuick_F-036"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39</xdr:row>
          <xdr:rowOff>9525</xdr:rowOff>
        </xdr:from>
        <xdr:to>
          <xdr:col>23</xdr:col>
          <xdr:colOff>66675</xdr:colOff>
          <xdr:row>39</xdr:row>
          <xdr:rowOff>200025</xdr:rowOff>
        </xdr:to>
        <xdr:sp macro="" textlink="">
          <xdr:nvSpPr>
            <xdr:cNvPr id="2124" name="btnQuickView_F-036"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40</xdr:row>
          <xdr:rowOff>9525</xdr:rowOff>
        </xdr:from>
        <xdr:to>
          <xdr:col>19</xdr:col>
          <xdr:colOff>314325</xdr:colOff>
          <xdr:row>41</xdr:row>
          <xdr:rowOff>38100</xdr:rowOff>
        </xdr:to>
        <xdr:sp macro="" textlink="">
          <xdr:nvSpPr>
            <xdr:cNvPr id="2125" name="chkQuick_F-037"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40</xdr:row>
          <xdr:rowOff>9525</xdr:rowOff>
        </xdr:from>
        <xdr:to>
          <xdr:col>23</xdr:col>
          <xdr:colOff>66675</xdr:colOff>
          <xdr:row>40</xdr:row>
          <xdr:rowOff>200025</xdr:rowOff>
        </xdr:to>
        <xdr:sp macro="" textlink="">
          <xdr:nvSpPr>
            <xdr:cNvPr id="2126" name="btnQuickView_F-037"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41</xdr:row>
          <xdr:rowOff>9525</xdr:rowOff>
        </xdr:from>
        <xdr:to>
          <xdr:col>19</xdr:col>
          <xdr:colOff>314325</xdr:colOff>
          <xdr:row>42</xdr:row>
          <xdr:rowOff>38100</xdr:rowOff>
        </xdr:to>
        <xdr:sp macro="" textlink="">
          <xdr:nvSpPr>
            <xdr:cNvPr id="2127" name="chkQuick_F-038"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41</xdr:row>
          <xdr:rowOff>9525</xdr:rowOff>
        </xdr:from>
        <xdr:to>
          <xdr:col>23</xdr:col>
          <xdr:colOff>66675</xdr:colOff>
          <xdr:row>41</xdr:row>
          <xdr:rowOff>200025</xdr:rowOff>
        </xdr:to>
        <xdr:sp macro="" textlink="">
          <xdr:nvSpPr>
            <xdr:cNvPr id="2128" name="btnQuickView_F-038"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42</xdr:row>
          <xdr:rowOff>9525</xdr:rowOff>
        </xdr:from>
        <xdr:to>
          <xdr:col>19</xdr:col>
          <xdr:colOff>314325</xdr:colOff>
          <xdr:row>43</xdr:row>
          <xdr:rowOff>38100</xdr:rowOff>
        </xdr:to>
        <xdr:sp macro="" textlink="">
          <xdr:nvSpPr>
            <xdr:cNvPr id="2129" name="chkQuick_F-039"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42</xdr:row>
          <xdr:rowOff>9525</xdr:rowOff>
        </xdr:from>
        <xdr:to>
          <xdr:col>23</xdr:col>
          <xdr:colOff>66675</xdr:colOff>
          <xdr:row>42</xdr:row>
          <xdr:rowOff>200025</xdr:rowOff>
        </xdr:to>
        <xdr:sp macro="" textlink="">
          <xdr:nvSpPr>
            <xdr:cNvPr id="2130" name="btnQuickView_F-039"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43</xdr:row>
          <xdr:rowOff>9525</xdr:rowOff>
        </xdr:from>
        <xdr:to>
          <xdr:col>19</xdr:col>
          <xdr:colOff>314325</xdr:colOff>
          <xdr:row>44</xdr:row>
          <xdr:rowOff>38100</xdr:rowOff>
        </xdr:to>
        <xdr:sp macro="" textlink="">
          <xdr:nvSpPr>
            <xdr:cNvPr id="2131" name="chkQuick_F-040"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43</xdr:row>
          <xdr:rowOff>9525</xdr:rowOff>
        </xdr:from>
        <xdr:to>
          <xdr:col>23</xdr:col>
          <xdr:colOff>66675</xdr:colOff>
          <xdr:row>43</xdr:row>
          <xdr:rowOff>200025</xdr:rowOff>
        </xdr:to>
        <xdr:sp macro="" textlink="">
          <xdr:nvSpPr>
            <xdr:cNvPr id="2132" name="btnQuickView_F-040"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44</xdr:row>
          <xdr:rowOff>9525</xdr:rowOff>
        </xdr:from>
        <xdr:to>
          <xdr:col>19</xdr:col>
          <xdr:colOff>314325</xdr:colOff>
          <xdr:row>45</xdr:row>
          <xdr:rowOff>38100</xdr:rowOff>
        </xdr:to>
        <xdr:sp macro="" textlink="">
          <xdr:nvSpPr>
            <xdr:cNvPr id="2133" name="chkQuick_F-041"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44</xdr:row>
          <xdr:rowOff>9525</xdr:rowOff>
        </xdr:from>
        <xdr:to>
          <xdr:col>23</xdr:col>
          <xdr:colOff>66675</xdr:colOff>
          <xdr:row>44</xdr:row>
          <xdr:rowOff>200025</xdr:rowOff>
        </xdr:to>
        <xdr:sp macro="" textlink="">
          <xdr:nvSpPr>
            <xdr:cNvPr id="2134" name="btnQuickView_F-041"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45</xdr:row>
          <xdr:rowOff>9525</xdr:rowOff>
        </xdr:from>
        <xdr:to>
          <xdr:col>19</xdr:col>
          <xdr:colOff>314325</xdr:colOff>
          <xdr:row>46</xdr:row>
          <xdr:rowOff>38100</xdr:rowOff>
        </xdr:to>
        <xdr:sp macro="" textlink="">
          <xdr:nvSpPr>
            <xdr:cNvPr id="2135" name="chkQuick_F-042"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45</xdr:row>
          <xdr:rowOff>9525</xdr:rowOff>
        </xdr:from>
        <xdr:to>
          <xdr:col>23</xdr:col>
          <xdr:colOff>66675</xdr:colOff>
          <xdr:row>45</xdr:row>
          <xdr:rowOff>200025</xdr:rowOff>
        </xdr:to>
        <xdr:sp macro="" textlink="">
          <xdr:nvSpPr>
            <xdr:cNvPr id="2136" name="btnQuickView_F-042" hidden="1">
              <a:extLst>
                <a:ext uri="{63B3BB69-23CF-44E3-9099-C40C66FF867C}">
                  <a14:compatExt spid="_x0000_s2136"/>
                </a:ext>
                <a:ext uri="{FF2B5EF4-FFF2-40B4-BE49-F238E27FC236}">
                  <a16:creationId xmlns:a16="http://schemas.microsoft.com/office/drawing/2014/main" id="{00000000-0008-0000-0100-000058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46</xdr:row>
          <xdr:rowOff>9525</xdr:rowOff>
        </xdr:from>
        <xdr:to>
          <xdr:col>19</xdr:col>
          <xdr:colOff>314325</xdr:colOff>
          <xdr:row>47</xdr:row>
          <xdr:rowOff>38100</xdr:rowOff>
        </xdr:to>
        <xdr:sp macro="" textlink="">
          <xdr:nvSpPr>
            <xdr:cNvPr id="2137" name="chkQuick_F-043"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46</xdr:row>
          <xdr:rowOff>9525</xdr:rowOff>
        </xdr:from>
        <xdr:to>
          <xdr:col>23</xdr:col>
          <xdr:colOff>66675</xdr:colOff>
          <xdr:row>46</xdr:row>
          <xdr:rowOff>200025</xdr:rowOff>
        </xdr:to>
        <xdr:sp macro="" textlink="">
          <xdr:nvSpPr>
            <xdr:cNvPr id="2138" name="btnQuickView_F-043"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47</xdr:row>
          <xdr:rowOff>9525</xdr:rowOff>
        </xdr:from>
        <xdr:to>
          <xdr:col>19</xdr:col>
          <xdr:colOff>314325</xdr:colOff>
          <xdr:row>48</xdr:row>
          <xdr:rowOff>38100</xdr:rowOff>
        </xdr:to>
        <xdr:sp macro="" textlink="">
          <xdr:nvSpPr>
            <xdr:cNvPr id="2139" name="chkQuick_F-044"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47</xdr:row>
          <xdr:rowOff>9525</xdr:rowOff>
        </xdr:from>
        <xdr:to>
          <xdr:col>23</xdr:col>
          <xdr:colOff>66675</xdr:colOff>
          <xdr:row>47</xdr:row>
          <xdr:rowOff>200025</xdr:rowOff>
        </xdr:to>
        <xdr:sp macro="" textlink="">
          <xdr:nvSpPr>
            <xdr:cNvPr id="2140" name="btnQuickView_F-044"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48</xdr:row>
          <xdr:rowOff>9525</xdr:rowOff>
        </xdr:from>
        <xdr:to>
          <xdr:col>19</xdr:col>
          <xdr:colOff>314325</xdr:colOff>
          <xdr:row>49</xdr:row>
          <xdr:rowOff>38100</xdr:rowOff>
        </xdr:to>
        <xdr:sp macro="" textlink="">
          <xdr:nvSpPr>
            <xdr:cNvPr id="2141" name="chkQuick_F-045" hidden="1">
              <a:extLst>
                <a:ext uri="{63B3BB69-23CF-44E3-9099-C40C66FF867C}">
                  <a14:compatExt spid="_x0000_s2141"/>
                </a:ext>
                <a:ext uri="{FF2B5EF4-FFF2-40B4-BE49-F238E27FC236}">
                  <a16:creationId xmlns:a16="http://schemas.microsoft.com/office/drawing/2014/main" id="{00000000-0008-0000-0100-00005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48</xdr:row>
          <xdr:rowOff>9525</xdr:rowOff>
        </xdr:from>
        <xdr:to>
          <xdr:col>23</xdr:col>
          <xdr:colOff>66675</xdr:colOff>
          <xdr:row>48</xdr:row>
          <xdr:rowOff>200025</xdr:rowOff>
        </xdr:to>
        <xdr:sp macro="" textlink="">
          <xdr:nvSpPr>
            <xdr:cNvPr id="2142" name="btnQuickView_F-045" hidden="1">
              <a:extLst>
                <a:ext uri="{63B3BB69-23CF-44E3-9099-C40C66FF867C}">
                  <a14:compatExt spid="_x0000_s2142"/>
                </a:ext>
                <a:ext uri="{FF2B5EF4-FFF2-40B4-BE49-F238E27FC236}">
                  <a16:creationId xmlns:a16="http://schemas.microsoft.com/office/drawing/2014/main" id="{00000000-0008-0000-0100-00005E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49</xdr:row>
          <xdr:rowOff>9525</xdr:rowOff>
        </xdr:from>
        <xdr:to>
          <xdr:col>19</xdr:col>
          <xdr:colOff>314325</xdr:colOff>
          <xdr:row>50</xdr:row>
          <xdr:rowOff>38100</xdr:rowOff>
        </xdr:to>
        <xdr:sp macro="" textlink="">
          <xdr:nvSpPr>
            <xdr:cNvPr id="2143" name="chkQuick_F-046" hidden="1">
              <a:extLst>
                <a:ext uri="{63B3BB69-23CF-44E3-9099-C40C66FF867C}">
                  <a14:compatExt spid="_x0000_s2143"/>
                </a:ext>
                <a:ext uri="{FF2B5EF4-FFF2-40B4-BE49-F238E27FC236}">
                  <a16:creationId xmlns:a16="http://schemas.microsoft.com/office/drawing/2014/main" id="{00000000-0008-0000-0100-00005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49</xdr:row>
          <xdr:rowOff>9525</xdr:rowOff>
        </xdr:from>
        <xdr:to>
          <xdr:col>23</xdr:col>
          <xdr:colOff>66675</xdr:colOff>
          <xdr:row>49</xdr:row>
          <xdr:rowOff>200025</xdr:rowOff>
        </xdr:to>
        <xdr:sp macro="" textlink="">
          <xdr:nvSpPr>
            <xdr:cNvPr id="2144" name="btnQuickView_F-046" hidden="1">
              <a:extLst>
                <a:ext uri="{63B3BB69-23CF-44E3-9099-C40C66FF867C}">
                  <a14:compatExt spid="_x0000_s2144"/>
                </a:ext>
                <a:ext uri="{FF2B5EF4-FFF2-40B4-BE49-F238E27FC236}">
                  <a16:creationId xmlns:a16="http://schemas.microsoft.com/office/drawing/2014/main" id="{00000000-0008-0000-0100-000060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50</xdr:row>
          <xdr:rowOff>9525</xdr:rowOff>
        </xdr:from>
        <xdr:to>
          <xdr:col>19</xdr:col>
          <xdr:colOff>314325</xdr:colOff>
          <xdr:row>51</xdr:row>
          <xdr:rowOff>38100</xdr:rowOff>
        </xdr:to>
        <xdr:sp macro="" textlink="">
          <xdr:nvSpPr>
            <xdr:cNvPr id="2145" name="chkQuick_F-047" hidden="1">
              <a:extLst>
                <a:ext uri="{63B3BB69-23CF-44E3-9099-C40C66FF867C}">
                  <a14:compatExt spid="_x0000_s2145"/>
                </a:ext>
                <a:ext uri="{FF2B5EF4-FFF2-40B4-BE49-F238E27FC236}">
                  <a16:creationId xmlns:a16="http://schemas.microsoft.com/office/drawing/2014/main" id="{00000000-0008-0000-0100-00006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50</xdr:row>
          <xdr:rowOff>9525</xdr:rowOff>
        </xdr:from>
        <xdr:to>
          <xdr:col>23</xdr:col>
          <xdr:colOff>66675</xdr:colOff>
          <xdr:row>50</xdr:row>
          <xdr:rowOff>200025</xdr:rowOff>
        </xdr:to>
        <xdr:sp macro="" textlink="">
          <xdr:nvSpPr>
            <xdr:cNvPr id="2146" name="btnQuickView_F-047" hidden="1">
              <a:extLst>
                <a:ext uri="{63B3BB69-23CF-44E3-9099-C40C66FF867C}">
                  <a14:compatExt spid="_x0000_s2146"/>
                </a:ext>
                <a:ext uri="{FF2B5EF4-FFF2-40B4-BE49-F238E27FC236}">
                  <a16:creationId xmlns:a16="http://schemas.microsoft.com/office/drawing/2014/main" id="{00000000-0008-0000-0100-000062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51</xdr:row>
          <xdr:rowOff>9525</xdr:rowOff>
        </xdr:from>
        <xdr:to>
          <xdr:col>19</xdr:col>
          <xdr:colOff>314325</xdr:colOff>
          <xdr:row>52</xdr:row>
          <xdr:rowOff>38100</xdr:rowOff>
        </xdr:to>
        <xdr:sp macro="" textlink="">
          <xdr:nvSpPr>
            <xdr:cNvPr id="2147" name="chkQuick_F-048" hidden="1">
              <a:extLst>
                <a:ext uri="{63B3BB69-23CF-44E3-9099-C40C66FF867C}">
                  <a14:compatExt spid="_x0000_s2147"/>
                </a:ext>
                <a:ext uri="{FF2B5EF4-FFF2-40B4-BE49-F238E27FC236}">
                  <a16:creationId xmlns:a16="http://schemas.microsoft.com/office/drawing/2014/main" id="{00000000-0008-0000-0100-00006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51</xdr:row>
          <xdr:rowOff>9525</xdr:rowOff>
        </xdr:from>
        <xdr:to>
          <xdr:col>23</xdr:col>
          <xdr:colOff>66675</xdr:colOff>
          <xdr:row>51</xdr:row>
          <xdr:rowOff>200025</xdr:rowOff>
        </xdr:to>
        <xdr:sp macro="" textlink="">
          <xdr:nvSpPr>
            <xdr:cNvPr id="2148" name="btnQuickView_F-048" hidden="1">
              <a:extLst>
                <a:ext uri="{63B3BB69-23CF-44E3-9099-C40C66FF867C}">
                  <a14:compatExt spid="_x0000_s2148"/>
                </a:ext>
                <a:ext uri="{FF2B5EF4-FFF2-40B4-BE49-F238E27FC236}">
                  <a16:creationId xmlns:a16="http://schemas.microsoft.com/office/drawing/2014/main" id="{00000000-0008-0000-0100-000064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52</xdr:row>
          <xdr:rowOff>9525</xdr:rowOff>
        </xdr:from>
        <xdr:to>
          <xdr:col>19</xdr:col>
          <xdr:colOff>314325</xdr:colOff>
          <xdr:row>53</xdr:row>
          <xdr:rowOff>38100</xdr:rowOff>
        </xdr:to>
        <xdr:sp macro="" textlink="">
          <xdr:nvSpPr>
            <xdr:cNvPr id="2149" name="chkQuick_F-049" hidden="1">
              <a:extLst>
                <a:ext uri="{63B3BB69-23CF-44E3-9099-C40C66FF867C}">
                  <a14:compatExt spid="_x0000_s2149"/>
                </a:ext>
                <a:ext uri="{FF2B5EF4-FFF2-40B4-BE49-F238E27FC236}">
                  <a16:creationId xmlns:a16="http://schemas.microsoft.com/office/drawing/2014/main" id="{00000000-0008-0000-0100-00006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52</xdr:row>
          <xdr:rowOff>9525</xdr:rowOff>
        </xdr:from>
        <xdr:to>
          <xdr:col>23</xdr:col>
          <xdr:colOff>66675</xdr:colOff>
          <xdr:row>52</xdr:row>
          <xdr:rowOff>200025</xdr:rowOff>
        </xdr:to>
        <xdr:sp macro="" textlink="">
          <xdr:nvSpPr>
            <xdr:cNvPr id="2150" name="btnQuickView_F-049" hidden="1">
              <a:extLst>
                <a:ext uri="{63B3BB69-23CF-44E3-9099-C40C66FF867C}">
                  <a14:compatExt spid="_x0000_s2150"/>
                </a:ext>
                <a:ext uri="{FF2B5EF4-FFF2-40B4-BE49-F238E27FC236}">
                  <a16:creationId xmlns:a16="http://schemas.microsoft.com/office/drawing/2014/main" id="{00000000-0008-0000-0100-000066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53</xdr:row>
          <xdr:rowOff>9525</xdr:rowOff>
        </xdr:from>
        <xdr:to>
          <xdr:col>19</xdr:col>
          <xdr:colOff>314325</xdr:colOff>
          <xdr:row>54</xdr:row>
          <xdr:rowOff>38100</xdr:rowOff>
        </xdr:to>
        <xdr:sp macro="" textlink="">
          <xdr:nvSpPr>
            <xdr:cNvPr id="2151" name="chkQuick_F-050" hidden="1">
              <a:extLst>
                <a:ext uri="{63B3BB69-23CF-44E3-9099-C40C66FF867C}">
                  <a14:compatExt spid="_x0000_s2151"/>
                </a:ext>
                <a:ext uri="{FF2B5EF4-FFF2-40B4-BE49-F238E27FC236}">
                  <a16:creationId xmlns:a16="http://schemas.microsoft.com/office/drawing/2014/main" id="{00000000-0008-0000-0100-00006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53</xdr:row>
          <xdr:rowOff>9525</xdr:rowOff>
        </xdr:from>
        <xdr:to>
          <xdr:col>23</xdr:col>
          <xdr:colOff>66675</xdr:colOff>
          <xdr:row>53</xdr:row>
          <xdr:rowOff>200025</xdr:rowOff>
        </xdr:to>
        <xdr:sp macro="" textlink="">
          <xdr:nvSpPr>
            <xdr:cNvPr id="2152" name="btnQuickView_F-050" hidden="1">
              <a:extLst>
                <a:ext uri="{63B3BB69-23CF-44E3-9099-C40C66FF867C}">
                  <a14:compatExt spid="_x0000_s2152"/>
                </a:ext>
                <a:ext uri="{FF2B5EF4-FFF2-40B4-BE49-F238E27FC236}">
                  <a16:creationId xmlns:a16="http://schemas.microsoft.com/office/drawing/2014/main" id="{00000000-0008-0000-0100-000068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54</xdr:row>
          <xdr:rowOff>9525</xdr:rowOff>
        </xdr:from>
        <xdr:to>
          <xdr:col>19</xdr:col>
          <xdr:colOff>314325</xdr:colOff>
          <xdr:row>55</xdr:row>
          <xdr:rowOff>38100</xdr:rowOff>
        </xdr:to>
        <xdr:sp macro="" textlink="">
          <xdr:nvSpPr>
            <xdr:cNvPr id="2153" name="chkQuick_F-051" hidden="1">
              <a:extLst>
                <a:ext uri="{63B3BB69-23CF-44E3-9099-C40C66FF867C}">
                  <a14:compatExt spid="_x0000_s2153"/>
                </a:ext>
                <a:ext uri="{FF2B5EF4-FFF2-40B4-BE49-F238E27FC236}">
                  <a16:creationId xmlns:a16="http://schemas.microsoft.com/office/drawing/2014/main" id="{00000000-0008-0000-0100-00006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55</xdr:row>
          <xdr:rowOff>9525</xdr:rowOff>
        </xdr:from>
        <xdr:to>
          <xdr:col>19</xdr:col>
          <xdr:colOff>314325</xdr:colOff>
          <xdr:row>56</xdr:row>
          <xdr:rowOff>38100</xdr:rowOff>
        </xdr:to>
        <xdr:sp macro="" textlink="">
          <xdr:nvSpPr>
            <xdr:cNvPr id="2154" name="chkQuick_F-052"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1933575</xdr:colOff>
          <xdr:row>1</xdr:row>
          <xdr:rowOff>485775</xdr:rowOff>
        </xdr:from>
        <xdr:to>
          <xdr:col>2</xdr:col>
          <xdr:colOff>4476750</xdr:colOff>
          <xdr:row>3</xdr:row>
          <xdr:rowOff>47625</xdr:rowOff>
        </xdr:to>
        <xdr:sp macro="" textlink="">
          <xdr:nvSpPr>
            <xdr:cNvPr id="3073" name="btn계약방법반영"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계약방법을 기초자료에 반영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247650</xdr:colOff>
          <xdr:row>12</xdr:row>
          <xdr:rowOff>0</xdr:rowOff>
        </xdr:from>
        <xdr:to>
          <xdr:col>0</xdr:col>
          <xdr:colOff>2152650</xdr:colOff>
          <xdr:row>13</xdr:row>
          <xdr:rowOff>114300</xdr:rowOff>
        </xdr:to>
        <xdr:sp macro="" textlink="">
          <xdr:nvSpPr>
            <xdr:cNvPr id="3074" name="btn계약절차_1인견적"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1인견적 수의계약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2286000</xdr:colOff>
          <xdr:row>12</xdr:row>
          <xdr:rowOff>0</xdr:rowOff>
        </xdr:from>
        <xdr:to>
          <xdr:col>1</xdr:col>
          <xdr:colOff>1704975</xdr:colOff>
          <xdr:row>13</xdr:row>
          <xdr:rowOff>114300</xdr:rowOff>
        </xdr:to>
        <xdr:sp macro="" textlink="">
          <xdr:nvSpPr>
            <xdr:cNvPr id="3075" name="btn계약절차_2인견적"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2인견적 수의계약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1828800</xdr:colOff>
          <xdr:row>12</xdr:row>
          <xdr:rowOff>0</xdr:rowOff>
        </xdr:from>
        <xdr:to>
          <xdr:col>2</xdr:col>
          <xdr:colOff>1552575</xdr:colOff>
          <xdr:row>13</xdr:row>
          <xdr:rowOff>114300</xdr:rowOff>
        </xdr:to>
        <xdr:sp macro="" textlink="">
          <xdr:nvSpPr>
            <xdr:cNvPr id="3076" name="btn계약절차_입찰계약"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입찰계약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1676400</xdr:colOff>
          <xdr:row>12</xdr:row>
          <xdr:rowOff>0</xdr:rowOff>
        </xdr:from>
        <xdr:to>
          <xdr:col>2</xdr:col>
          <xdr:colOff>3581400</xdr:colOff>
          <xdr:row>13</xdr:row>
          <xdr:rowOff>114300</xdr:rowOff>
        </xdr:to>
        <xdr:sp macro="" textlink="">
          <xdr:nvSpPr>
            <xdr:cNvPr id="3077" name="btn이동_기초자료입력"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기초자료입력으로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3714750</xdr:colOff>
          <xdr:row>12</xdr:row>
          <xdr:rowOff>0</xdr:rowOff>
        </xdr:from>
        <xdr:to>
          <xdr:col>4</xdr:col>
          <xdr:colOff>161925</xdr:colOff>
          <xdr:row>13</xdr:row>
          <xdr:rowOff>114300</xdr:rowOff>
        </xdr:to>
        <xdr:sp macro="" textlink="">
          <xdr:nvSpPr>
            <xdr:cNvPr id="3078" name="btn이동_서식선택출력"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서식선택_출력으로</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2343150</xdr:colOff>
          <xdr:row>0</xdr:row>
          <xdr:rowOff>123825</xdr:rowOff>
        </xdr:from>
        <xdr:to>
          <xdr:col>5</xdr:col>
          <xdr:colOff>266700</xdr:colOff>
          <xdr:row>1</xdr:row>
          <xdr:rowOff>180975</xdr:rowOff>
        </xdr:to>
        <xdr:sp macro="" textlink="">
          <xdr:nvSpPr>
            <xdr:cNvPr id="4097" name="btn인쇄미리보기"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선택 서식 인쇄 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390525</xdr:colOff>
          <xdr:row>0</xdr:row>
          <xdr:rowOff>123825</xdr:rowOff>
        </xdr:from>
        <xdr:to>
          <xdr:col>6</xdr:col>
          <xdr:colOff>400050</xdr:colOff>
          <xdr:row>1</xdr:row>
          <xdr:rowOff>180975</xdr:rowOff>
        </xdr:to>
        <xdr:sp macro="" textlink="">
          <xdr:nvSpPr>
            <xdr:cNvPr id="4098" name="btnPDF저장"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선택 서식 PDF 저장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xdr:row>
          <xdr:rowOff>19050</xdr:rowOff>
        </xdr:from>
        <xdr:to>
          <xdr:col>6</xdr:col>
          <xdr:colOff>800100</xdr:colOff>
          <xdr:row>4</xdr:row>
          <xdr:rowOff>209550</xdr:rowOff>
        </xdr:to>
        <xdr:sp macro="" textlink="">
          <xdr:nvSpPr>
            <xdr:cNvPr id="4099" name="btnPrev_F-001"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xdr:row>
          <xdr:rowOff>19050</xdr:rowOff>
        </xdr:from>
        <xdr:to>
          <xdr:col>7</xdr:col>
          <xdr:colOff>800100</xdr:colOff>
          <xdr:row>4</xdr:row>
          <xdr:rowOff>209550</xdr:rowOff>
        </xdr:to>
        <xdr:sp macro="" textlink="">
          <xdr:nvSpPr>
            <xdr:cNvPr id="4100" name="btnPdf_F-001"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xdr:row>
          <xdr:rowOff>19050</xdr:rowOff>
        </xdr:from>
        <xdr:to>
          <xdr:col>6</xdr:col>
          <xdr:colOff>800100</xdr:colOff>
          <xdr:row>5</xdr:row>
          <xdr:rowOff>209550</xdr:rowOff>
        </xdr:to>
        <xdr:sp macro="" textlink="">
          <xdr:nvSpPr>
            <xdr:cNvPr id="4101" name="btnPrev_F-002"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19050</xdr:rowOff>
        </xdr:from>
        <xdr:to>
          <xdr:col>7</xdr:col>
          <xdr:colOff>800100</xdr:colOff>
          <xdr:row>5</xdr:row>
          <xdr:rowOff>209550</xdr:rowOff>
        </xdr:to>
        <xdr:sp macro="" textlink="">
          <xdr:nvSpPr>
            <xdr:cNvPr id="4102" name="btnPdf_F-002"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19050</xdr:rowOff>
        </xdr:from>
        <xdr:to>
          <xdr:col>6</xdr:col>
          <xdr:colOff>800100</xdr:colOff>
          <xdr:row>6</xdr:row>
          <xdr:rowOff>209550</xdr:rowOff>
        </xdr:to>
        <xdr:sp macro="" textlink="">
          <xdr:nvSpPr>
            <xdr:cNvPr id="4103" name="btnPrev_F-003"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6</xdr:row>
          <xdr:rowOff>19050</xdr:rowOff>
        </xdr:from>
        <xdr:to>
          <xdr:col>7</xdr:col>
          <xdr:colOff>800100</xdr:colOff>
          <xdr:row>6</xdr:row>
          <xdr:rowOff>209550</xdr:rowOff>
        </xdr:to>
        <xdr:sp macro="" textlink="">
          <xdr:nvSpPr>
            <xdr:cNvPr id="4104" name="btnPdf_F-003"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7</xdr:row>
          <xdr:rowOff>19050</xdr:rowOff>
        </xdr:from>
        <xdr:to>
          <xdr:col>6</xdr:col>
          <xdr:colOff>800100</xdr:colOff>
          <xdr:row>7</xdr:row>
          <xdr:rowOff>209550</xdr:rowOff>
        </xdr:to>
        <xdr:sp macro="" textlink="">
          <xdr:nvSpPr>
            <xdr:cNvPr id="4105" name="btnPrev_F-004"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7</xdr:row>
          <xdr:rowOff>19050</xdr:rowOff>
        </xdr:from>
        <xdr:to>
          <xdr:col>7</xdr:col>
          <xdr:colOff>800100</xdr:colOff>
          <xdr:row>7</xdr:row>
          <xdr:rowOff>209550</xdr:rowOff>
        </xdr:to>
        <xdr:sp macro="" textlink="">
          <xdr:nvSpPr>
            <xdr:cNvPr id="4106" name="btnPdf_F-004"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8</xdr:row>
          <xdr:rowOff>19050</xdr:rowOff>
        </xdr:from>
        <xdr:to>
          <xdr:col>6</xdr:col>
          <xdr:colOff>800100</xdr:colOff>
          <xdr:row>8</xdr:row>
          <xdr:rowOff>209550</xdr:rowOff>
        </xdr:to>
        <xdr:sp macro="" textlink="">
          <xdr:nvSpPr>
            <xdr:cNvPr id="4107" name="btnPrev_F-005"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8</xdr:row>
          <xdr:rowOff>19050</xdr:rowOff>
        </xdr:from>
        <xdr:to>
          <xdr:col>7</xdr:col>
          <xdr:colOff>800100</xdr:colOff>
          <xdr:row>8</xdr:row>
          <xdr:rowOff>209550</xdr:rowOff>
        </xdr:to>
        <xdr:sp macro="" textlink="">
          <xdr:nvSpPr>
            <xdr:cNvPr id="4108" name="btnPdf_F-005"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xdr:row>
          <xdr:rowOff>19050</xdr:rowOff>
        </xdr:from>
        <xdr:to>
          <xdr:col>6</xdr:col>
          <xdr:colOff>800100</xdr:colOff>
          <xdr:row>9</xdr:row>
          <xdr:rowOff>209550</xdr:rowOff>
        </xdr:to>
        <xdr:sp macro="" textlink="">
          <xdr:nvSpPr>
            <xdr:cNvPr id="4109" name="btnPrev_F-006"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9</xdr:row>
          <xdr:rowOff>19050</xdr:rowOff>
        </xdr:from>
        <xdr:to>
          <xdr:col>7</xdr:col>
          <xdr:colOff>800100</xdr:colOff>
          <xdr:row>9</xdr:row>
          <xdr:rowOff>209550</xdr:rowOff>
        </xdr:to>
        <xdr:sp macro="" textlink="">
          <xdr:nvSpPr>
            <xdr:cNvPr id="4110" name="btnPdf_F-006"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xdr:row>
          <xdr:rowOff>19050</xdr:rowOff>
        </xdr:from>
        <xdr:to>
          <xdr:col>6</xdr:col>
          <xdr:colOff>800100</xdr:colOff>
          <xdr:row>10</xdr:row>
          <xdr:rowOff>209550</xdr:rowOff>
        </xdr:to>
        <xdr:sp macro="" textlink="">
          <xdr:nvSpPr>
            <xdr:cNvPr id="4111" name="btnPrev_F-007"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10</xdr:row>
          <xdr:rowOff>19050</xdr:rowOff>
        </xdr:from>
        <xdr:to>
          <xdr:col>7</xdr:col>
          <xdr:colOff>800100</xdr:colOff>
          <xdr:row>10</xdr:row>
          <xdr:rowOff>209550</xdr:rowOff>
        </xdr:to>
        <xdr:sp macro="" textlink="">
          <xdr:nvSpPr>
            <xdr:cNvPr id="4112" name="btnPdf_F-007"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xdr:row>
          <xdr:rowOff>19050</xdr:rowOff>
        </xdr:from>
        <xdr:to>
          <xdr:col>6</xdr:col>
          <xdr:colOff>800100</xdr:colOff>
          <xdr:row>11</xdr:row>
          <xdr:rowOff>209550</xdr:rowOff>
        </xdr:to>
        <xdr:sp macro="" textlink="">
          <xdr:nvSpPr>
            <xdr:cNvPr id="4113" name="btnPrev_F-008"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11</xdr:row>
          <xdr:rowOff>19050</xdr:rowOff>
        </xdr:from>
        <xdr:to>
          <xdr:col>7</xdr:col>
          <xdr:colOff>800100</xdr:colOff>
          <xdr:row>11</xdr:row>
          <xdr:rowOff>209550</xdr:rowOff>
        </xdr:to>
        <xdr:sp macro="" textlink="">
          <xdr:nvSpPr>
            <xdr:cNvPr id="4114" name="btnPdf_F-008"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12</xdr:row>
          <xdr:rowOff>19050</xdr:rowOff>
        </xdr:from>
        <xdr:to>
          <xdr:col>6</xdr:col>
          <xdr:colOff>800100</xdr:colOff>
          <xdr:row>12</xdr:row>
          <xdr:rowOff>209550</xdr:rowOff>
        </xdr:to>
        <xdr:sp macro="" textlink="">
          <xdr:nvSpPr>
            <xdr:cNvPr id="4115" name="btnPrev_F-00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12</xdr:row>
          <xdr:rowOff>19050</xdr:rowOff>
        </xdr:from>
        <xdr:to>
          <xdr:col>7</xdr:col>
          <xdr:colOff>800100</xdr:colOff>
          <xdr:row>12</xdr:row>
          <xdr:rowOff>209550</xdr:rowOff>
        </xdr:to>
        <xdr:sp macro="" textlink="">
          <xdr:nvSpPr>
            <xdr:cNvPr id="4116" name="btnPdf_F-009"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13</xdr:row>
          <xdr:rowOff>19050</xdr:rowOff>
        </xdr:from>
        <xdr:to>
          <xdr:col>6</xdr:col>
          <xdr:colOff>800100</xdr:colOff>
          <xdr:row>13</xdr:row>
          <xdr:rowOff>209550</xdr:rowOff>
        </xdr:to>
        <xdr:sp macro="" textlink="">
          <xdr:nvSpPr>
            <xdr:cNvPr id="4117" name="btnPrev_F-010" hidden="1">
              <a:extLst>
                <a:ext uri="{63B3BB69-23CF-44E3-9099-C40C66FF867C}">
                  <a14:compatExt spid="_x0000_s4117"/>
                </a:ext>
                <a:ext uri="{FF2B5EF4-FFF2-40B4-BE49-F238E27FC236}">
                  <a16:creationId xmlns:a16="http://schemas.microsoft.com/office/drawing/2014/main" id="{00000000-0008-0000-0300-000015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13</xdr:row>
          <xdr:rowOff>19050</xdr:rowOff>
        </xdr:from>
        <xdr:to>
          <xdr:col>7</xdr:col>
          <xdr:colOff>800100</xdr:colOff>
          <xdr:row>13</xdr:row>
          <xdr:rowOff>209550</xdr:rowOff>
        </xdr:to>
        <xdr:sp macro="" textlink="">
          <xdr:nvSpPr>
            <xdr:cNvPr id="4118" name="btnPdf_F-010" hidden="1">
              <a:extLst>
                <a:ext uri="{63B3BB69-23CF-44E3-9099-C40C66FF867C}">
                  <a14:compatExt spid="_x0000_s4118"/>
                </a:ext>
                <a:ext uri="{FF2B5EF4-FFF2-40B4-BE49-F238E27FC236}">
                  <a16:creationId xmlns:a16="http://schemas.microsoft.com/office/drawing/2014/main" id="{00000000-0008-0000-0300-000016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14</xdr:row>
          <xdr:rowOff>19050</xdr:rowOff>
        </xdr:from>
        <xdr:to>
          <xdr:col>6</xdr:col>
          <xdr:colOff>800100</xdr:colOff>
          <xdr:row>14</xdr:row>
          <xdr:rowOff>209550</xdr:rowOff>
        </xdr:to>
        <xdr:sp macro="" textlink="">
          <xdr:nvSpPr>
            <xdr:cNvPr id="4119" name="btnPrev_F-011" hidden="1">
              <a:extLst>
                <a:ext uri="{63B3BB69-23CF-44E3-9099-C40C66FF867C}">
                  <a14:compatExt spid="_x0000_s4119"/>
                </a:ext>
                <a:ext uri="{FF2B5EF4-FFF2-40B4-BE49-F238E27FC236}">
                  <a16:creationId xmlns:a16="http://schemas.microsoft.com/office/drawing/2014/main" id="{00000000-0008-0000-0300-000017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14</xdr:row>
          <xdr:rowOff>19050</xdr:rowOff>
        </xdr:from>
        <xdr:to>
          <xdr:col>7</xdr:col>
          <xdr:colOff>800100</xdr:colOff>
          <xdr:row>14</xdr:row>
          <xdr:rowOff>209550</xdr:rowOff>
        </xdr:to>
        <xdr:sp macro="" textlink="">
          <xdr:nvSpPr>
            <xdr:cNvPr id="4120" name="btnPdf_F-011" hidden="1">
              <a:extLst>
                <a:ext uri="{63B3BB69-23CF-44E3-9099-C40C66FF867C}">
                  <a14:compatExt spid="_x0000_s4120"/>
                </a:ext>
                <a:ext uri="{FF2B5EF4-FFF2-40B4-BE49-F238E27FC236}">
                  <a16:creationId xmlns:a16="http://schemas.microsoft.com/office/drawing/2014/main" id="{00000000-0008-0000-0300-000018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15</xdr:row>
          <xdr:rowOff>19050</xdr:rowOff>
        </xdr:from>
        <xdr:to>
          <xdr:col>6</xdr:col>
          <xdr:colOff>800100</xdr:colOff>
          <xdr:row>15</xdr:row>
          <xdr:rowOff>209550</xdr:rowOff>
        </xdr:to>
        <xdr:sp macro="" textlink="">
          <xdr:nvSpPr>
            <xdr:cNvPr id="4121" name="btnPrev_F-012" hidden="1">
              <a:extLst>
                <a:ext uri="{63B3BB69-23CF-44E3-9099-C40C66FF867C}">
                  <a14:compatExt spid="_x0000_s4121"/>
                </a:ext>
                <a:ext uri="{FF2B5EF4-FFF2-40B4-BE49-F238E27FC236}">
                  <a16:creationId xmlns:a16="http://schemas.microsoft.com/office/drawing/2014/main" id="{00000000-0008-0000-0300-000019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15</xdr:row>
          <xdr:rowOff>19050</xdr:rowOff>
        </xdr:from>
        <xdr:to>
          <xdr:col>7</xdr:col>
          <xdr:colOff>800100</xdr:colOff>
          <xdr:row>15</xdr:row>
          <xdr:rowOff>209550</xdr:rowOff>
        </xdr:to>
        <xdr:sp macro="" textlink="">
          <xdr:nvSpPr>
            <xdr:cNvPr id="4122" name="btnPdf_F-012" hidden="1">
              <a:extLst>
                <a:ext uri="{63B3BB69-23CF-44E3-9099-C40C66FF867C}">
                  <a14:compatExt spid="_x0000_s4122"/>
                </a:ext>
                <a:ext uri="{FF2B5EF4-FFF2-40B4-BE49-F238E27FC236}">
                  <a16:creationId xmlns:a16="http://schemas.microsoft.com/office/drawing/2014/main" id="{00000000-0008-0000-0300-00001A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17</xdr:row>
          <xdr:rowOff>19050</xdr:rowOff>
        </xdr:from>
        <xdr:to>
          <xdr:col>6</xdr:col>
          <xdr:colOff>800100</xdr:colOff>
          <xdr:row>17</xdr:row>
          <xdr:rowOff>209550</xdr:rowOff>
        </xdr:to>
        <xdr:sp macro="" textlink="">
          <xdr:nvSpPr>
            <xdr:cNvPr id="4123" name="btnPrev_F-014" hidden="1">
              <a:extLst>
                <a:ext uri="{63B3BB69-23CF-44E3-9099-C40C66FF867C}">
                  <a14:compatExt spid="_x0000_s4123"/>
                </a:ext>
                <a:ext uri="{FF2B5EF4-FFF2-40B4-BE49-F238E27FC236}">
                  <a16:creationId xmlns:a16="http://schemas.microsoft.com/office/drawing/2014/main" id="{00000000-0008-0000-0300-00001B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17</xdr:row>
          <xdr:rowOff>19050</xdr:rowOff>
        </xdr:from>
        <xdr:to>
          <xdr:col>7</xdr:col>
          <xdr:colOff>800100</xdr:colOff>
          <xdr:row>17</xdr:row>
          <xdr:rowOff>209550</xdr:rowOff>
        </xdr:to>
        <xdr:sp macro="" textlink="">
          <xdr:nvSpPr>
            <xdr:cNvPr id="4124" name="btnPdf_F-014" hidden="1">
              <a:extLst>
                <a:ext uri="{63B3BB69-23CF-44E3-9099-C40C66FF867C}">
                  <a14:compatExt spid="_x0000_s4124"/>
                </a:ext>
                <a:ext uri="{FF2B5EF4-FFF2-40B4-BE49-F238E27FC236}">
                  <a16:creationId xmlns:a16="http://schemas.microsoft.com/office/drawing/2014/main" id="{00000000-0008-0000-0300-00001C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18</xdr:row>
          <xdr:rowOff>19050</xdr:rowOff>
        </xdr:from>
        <xdr:to>
          <xdr:col>6</xdr:col>
          <xdr:colOff>800100</xdr:colOff>
          <xdr:row>18</xdr:row>
          <xdr:rowOff>209550</xdr:rowOff>
        </xdr:to>
        <xdr:sp macro="" textlink="">
          <xdr:nvSpPr>
            <xdr:cNvPr id="4125" name="btnPrev_F-015" hidden="1">
              <a:extLst>
                <a:ext uri="{63B3BB69-23CF-44E3-9099-C40C66FF867C}">
                  <a14:compatExt spid="_x0000_s4125"/>
                </a:ext>
                <a:ext uri="{FF2B5EF4-FFF2-40B4-BE49-F238E27FC236}">
                  <a16:creationId xmlns:a16="http://schemas.microsoft.com/office/drawing/2014/main" id="{00000000-0008-0000-0300-00001D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18</xdr:row>
          <xdr:rowOff>19050</xdr:rowOff>
        </xdr:from>
        <xdr:to>
          <xdr:col>7</xdr:col>
          <xdr:colOff>800100</xdr:colOff>
          <xdr:row>18</xdr:row>
          <xdr:rowOff>209550</xdr:rowOff>
        </xdr:to>
        <xdr:sp macro="" textlink="">
          <xdr:nvSpPr>
            <xdr:cNvPr id="4126" name="btnPdf_F-015" hidden="1">
              <a:extLst>
                <a:ext uri="{63B3BB69-23CF-44E3-9099-C40C66FF867C}">
                  <a14:compatExt spid="_x0000_s4126"/>
                </a:ext>
                <a:ext uri="{FF2B5EF4-FFF2-40B4-BE49-F238E27FC236}">
                  <a16:creationId xmlns:a16="http://schemas.microsoft.com/office/drawing/2014/main" id="{00000000-0008-0000-0300-00001E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19</xdr:row>
          <xdr:rowOff>19050</xdr:rowOff>
        </xdr:from>
        <xdr:to>
          <xdr:col>6</xdr:col>
          <xdr:colOff>800100</xdr:colOff>
          <xdr:row>19</xdr:row>
          <xdr:rowOff>209550</xdr:rowOff>
        </xdr:to>
        <xdr:sp macro="" textlink="">
          <xdr:nvSpPr>
            <xdr:cNvPr id="4127" name="btnPrev_F-016" hidden="1">
              <a:extLst>
                <a:ext uri="{63B3BB69-23CF-44E3-9099-C40C66FF867C}">
                  <a14:compatExt spid="_x0000_s4127"/>
                </a:ext>
                <a:ext uri="{FF2B5EF4-FFF2-40B4-BE49-F238E27FC236}">
                  <a16:creationId xmlns:a16="http://schemas.microsoft.com/office/drawing/2014/main" id="{00000000-0008-0000-0300-00001F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19</xdr:row>
          <xdr:rowOff>19050</xdr:rowOff>
        </xdr:from>
        <xdr:to>
          <xdr:col>7</xdr:col>
          <xdr:colOff>800100</xdr:colOff>
          <xdr:row>19</xdr:row>
          <xdr:rowOff>209550</xdr:rowOff>
        </xdr:to>
        <xdr:sp macro="" textlink="">
          <xdr:nvSpPr>
            <xdr:cNvPr id="4128" name="btnPdf_F-016"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20</xdr:row>
          <xdr:rowOff>19050</xdr:rowOff>
        </xdr:from>
        <xdr:to>
          <xdr:col>6</xdr:col>
          <xdr:colOff>800100</xdr:colOff>
          <xdr:row>20</xdr:row>
          <xdr:rowOff>209550</xdr:rowOff>
        </xdr:to>
        <xdr:sp macro="" textlink="">
          <xdr:nvSpPr>
            <xdr:cNvPr id="4129" name="btnPrev_F-017"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20</xdr:row>
          <xdr:rowOff>19050</xdr:rowOff>
        </xdr:from>
        <xdr:to>
          <xdr:col>7</xdr:col>
          <xdr:colOff>800100</xdr:colOff>
          <xdr:row>20</xdr:row>
          <xdr:rowOff>209550</xdr:rowOff>
        </xdr:to>
        <xdr:sp macro="" textlink="">
          <xdr:nvSpPr>
            <xdr:cNvPr id="4130" name="btnPdf_F-017"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21</xdr:row>
          <xdr:rowOff>19050</xdr:rowOff>
        </xdr:from>
        <xdr:to>
          <xdr:col>6</xdr:col>
          <xdr:colOff>800100</xdr:colOff>
          <xdr:row>21</xdr:row>
          <xdr:rowOff>209550</xdr:rowOff>
        </xdr:to>
        <xdr:sp macro="" textlink="">
          <xdr:nvSpPr>
            <xdr:cNvPr id="4131" name="btnPrev_F-018" hidden="1">
              <a:extLst>
                <a:ext uri="{63B3BB69-23CF-44E3-9099-C40C66FF867C}">
                  <a14:compatExt spid="_x0000_s4131"/>
                </a:ext>
                <a:ext uri="{FF2B5EF4-FFF2-40B4-BE49-F238E27FC236}">
                  <a16:creationId xmlns:a16="http://schemas.microsoft.com/office/drawing/2014/main" id="{00000000-0008-0000-0300-000023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21</xdr:row>
          <xdr:rowOff>19050</xdr:rowOff>
        </xdr:from>
        <xdr:to>
          <xdr:col>7</xdr:col>
          <xdr:colOff>800100</xdr:colOff>
          <xdr:row>21</xdr:row>
          <xdr:rowOff>209550</xdr:rowOff>
        </xdr:to>
        <xdr:sp macro="" textlink="">
          <xdr:nvSpPr>
            <xdr:cNvPr id="4132" name="btnPdf_F-018" hidden="1">
              <a:extLst>
                <a:ext uri="{63B3BB69-23CF-44E3-9099-C40C66FF867C}">
                  <a14:compatExt spid="_x0000_s4132"/>
                </a:ext>
                <a:ext uri="{FF2B5EF4-FFF2-40B4-BE49-F238E27FC236}">
                  <a16:creationId xmlns:a16="http://schemas.microsoft.com/office/drawing/2014/main" id="{00000000-0008-0000-0300-000024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22</xdr:row>
          <xdr:rowOff>19050</xdr:rowOff>
        </xdr:from>
        <xdr:to>
          <xdr:col>6</xdr:col>
          <xdr:colOff>800100</xdr:colOff>
          <xdr:row>22</xdr:row>
          <xdr:rowOff>209550</xdr:rowOff>
        </xdr:to>
        <xdr:sp macro="" textlink="">
          <xdr:nvSpPr>
            <xdr:cNvPr id="4133" name="btnPrev_F-019" hidden="1">
              <a:extLst>
                <a:ext uri="{63B3BB69-23CF-44E3-9099-C40C66FF867C}">
                  <a14:compatExt spid="_x0000_s4133"/>
                </a:ext>
                <a:ext uri="{FF2B5EF4-FFF2-40B4-BE49-F238E27FC236}">
                  <a16:creationId xmlns:a16="http://schemas.microsoft.com/office/drawing/2014/main" id="{00000000-0008-0000-0300-000025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22</xdr:row>
          <xdr:rowOff>19050</xdr:rowOff>
        </xdr:from>
        <xdr:to>
          <xdr:col>7</xdr:col>
          <xdr:colOff>800100</xdr:colOff>
          <xdr:row>22</xdr:row>
          <xdr:rowOff>209550</xdr:rowOff>
        </xdr:to>
        <xdr:sp macro="" textlink="">
          <xdr:nvSpPr>
            <xdr:cNvPr id="4134" name="btnPdf_F-019" hidden="1">
              <a:extLst>
                <a:ext uri="{63B3BB69-23CF-44E3-9099-C40C66FF867C}">
                  <a14:compatExt spid="_x0000_s4134"/>
                </a:ext>
                <a:ext uri="{FF2B5EF4-FFF2-40B4-BE49-F238E27FC236}">
                  <a16:creationId xmlns:a16="http://schemas.microsoft.com/office/drawing/2014/main" id="{00000000-0008-0000-0300-000026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23</xdr:row>
          <xdr:rowOff>19050</xdr:rowOff>
        </xdr:from>
        <xdr:to>
          <xdr:col>6</xdr:col>
          <xdr:colOff>800100</xdr:colOff>
          <xdr:row>23</xdr:row>
          <xdr:rowOff>209550</xdr:rowOff>
        </xdr:to>
        <xdr:sp macro="" textlink="">
          <xdr:nvSpPr>
            <xdr:cNvPr id="4135" name="btnPrev_F-020" hidden="1">
              <a:extLst>
                <a:ext uri="{63B3BB69-23CF-44E3-9099-C40C66FF867C}">
                  <a14:compatExt spid="_x0000_s4135"/>
                </a:ext>
                <a:ext uri="{FF2B5EF4-FFF2-40B4-BE49-F238E27FC236}">
                  <a16:creationId xmlns:a16="http://schemas.microsoft.com/office/drawing/2014/main" id="{00000000-0008-0000-0300-000027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23</xdr:row>
          <xdr:rowOff>19050</xdr:rowOff>
        </xdr:from>
        <xdr:to>
          <xdr:col>7</xdr:col>
          <xdr:colOff>800100</xdr:colOff>
          <xdr:row>23</xdr:row>
          <xdr:rowOff>209550</xdr:rowOff>
        </xdr:to>
        <xdr:sp macro="" textlink="">
          <xdr:nvSpPr>
            <xdr:cNvPr id="4136" name="btnPdf_F-020" hidden="1">
              <a:extLst>
                <a:ext uri="{63B3BB69-23CF-44E3-9099-C40C66FF867C}">
                  <a14:compatExt spid="_x0000_s4136"/>
                </a:ext>
                <a:ext uri="{FF2B5EF4-FFF2-40B4-BE49-F238E27FC236}">
                  <a16:creationId xmlns:a16="http://schemas.microsoft.com/office/drawing/2014/main" id="{00000000-0008-0000-0300-000028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24</xdr:row>
          <xdr:rowOff>19050</xdr:rowOff>
        </xdr:from>
        <xdr:to>
          <xdr:col>6</xdr:col>
          <xdr:colOff>800100</xdr:colOff>
          <xdr:row>24</xdr:row>
          <xdr:rowOff>209550</xdr:rowOff>
        </xdr:to>
        <xdr:sp macro="" textlink="">
          <xdr:nvSpPr>
            <xdr:cNvPr id="4137" name="btnPrev_F-021" hidden="1">
              <a:extLst>
                <a:ext uri="{63B3BB69-23CF-44E3-9099-C40C66FF867C}">
                  <a14:compatExt spid="_x0000_s4137"/>
                </a:ext>
                <a:ext uri="{FF2B5EF4-FFF2-40B4-BE49-F238E27FC236}">
                  <a16:creationId xmlns:a16="http://schemas.microsoft.com/office/drawing/2014/main" id="{00000000-0008-0000-0300-000029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24</xdr:row>
          <xdr:rowOff>19050</xdr:rowOff>
        </xdr:from>
        <xdr:to>
          <xdr:col>7</xdr:col>
          <xdr:colOff>800100</xdr:colOff>
          <xdr:row>24</xdr:row>
          <xdr:rowOff>209550</xdr:rowOff>
        </xdr:to>
        <xdr:sp macro="" textlink="">
          <xdr:nvSpPr>
            <xdr:cNvPr id="4138" name="btnPdf_F-021" hidden="1">
              <a:extLst>
                <a:ext uri="{63B3BB69-23CF-44E3-9099-C40C66FF867C}">
                  <a14:compatExt spid="_x0000_s4138"/>
                </a:ext>
                <a:ext uri="{FF2B5EF4-FFF2-40B4-BE49-F238E27FC236}">
                  <a16:creationId xmlns:a16="http://schemas.microsoft.com/office/drawing/2014/main" id="{00000000-0008-0000-0300-00002A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25</xdr:row>
          <xdr:rowOff>19050</xdr:rowOff>
        </xdr:from>
        <xdr:to>
          <xdr:col>6</xdr:col>
          <xdr:colOff>800100</xdr:colOff>
          <xdr:row>25</xdr:row>
          <xdr:rowOff>209550</xdr:rowOff>
        </xdr:to>
        <xdr:sp macro="" textlink="">
          <xdr:nvSpPr>
            <xdr:cNvPr id="4139" name="btnPrev_F-022" hidden="1">
              <a:extLst>
                <a:ext uri="{63B3BB69-23CF-44E3-9099-C40C66FF867C}">
                  <a14:compatExt spid="_x0000_s4139"/>
                </a:ext>
                <a:ext uri="{FF2B5EF4-FFF2-40B4-BE49-F238E27FC236}">
                  <a16:creationId xmlns:a16="http://schemas.microsoft.com/office/drawing/2014/main" id="{00000000-0008-0000-0300-00002B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25</xdr:row>
          <xdr:rowOff>19050</xdr:rowOff>
        </xdr:from>
        <xdr:to>
          <xdr:col>7</xdr:col>
          <xdr:colOff>800100</xdr:colOff>
          <xdr:row>25</xdr:row>
          <xdr:rowOff>209550</xdr:rowOff>
        </xdr:to>
        <xdr:sp macro="" textlink="">
          <xdr:nvSpPr>
            <xdr:cNvPr id="4140" name="btnPdf_F-022" hidden="1">
              <a:extLst>
                <a:ext uri="{63B3BB69-23CF-44E3-9099-C40C66FF867C}">
                  <a14:compatExt spid="_x0000_s4140"/>
                </a:ext>
                <a:ext uri="{FF2B5EF4-FFF2-40B4-BE49-F238E27FC236}">
                  <a16:creationId xmlns:a16="http://schemas.microsoft.com/office/drawing/2014/main" id="{00000000-0008-0000-0300-00002C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26</xdr:row>
          <xdr:rowOff>19050</xdr:rowOff>
        </xdr:from>
        <xdr:to>
          <xdr:col>6</xdr:col>
          <xdr:colOff>800100</xdr:colOff>
          <xdr:row>26</xdr:row>
          <xdr:rowOff>209550</xdr:rowOff>
        </xdr:to>
        <xdr:sp macro="" textlink="">
          <xdr:nvSpPr>
            <xdr:cNvPr id="4141" name="btnPrev_F-023" hidden="1">
              <a:extLst>
                <a:ext uri="{63B3BB69-23CF-44E3-9099-C40C66FF867C}">
                  <a14:compatExt spid="_x0000_s4141"/>
                </a:ext>
                <a:ext uri="{FF2B5EF4-FFF2-40B4-BE49-F238E27FC236}">
                  <a16:creationId xmlns:a16="http://schemas.microsoft.com/office/drawing/2014/main" id="{00000000-0008-0000-0300-00002D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26</xdr:row>
          <xdr:rowOff>19050</xdr:rowOff>
        </xdr:from>
        <xdr:to>
          <xdr:col>7</xdr:col>
          <xdr:colOff>800100</xdr:colOff>
          <xdr:row>26</xdr:row>
          <xdr:rowOff>209550</xdr:rowOff>
        </xdr:to>
        <xdr:sp macro="" textlink="">
          <xdr:nvSpPr>
            <xdr:cNvPr id="4142" name="btnPdf_F-023" hidden="1">
              <a:extLst>
                <a:ext uri="{63B3BB69-23CF-44E3-9099-C40C66FF867C}">
                  <a14:compatExt spid="_x0000_s4142"/>
                </a:ext>
                <a:ext uri="{FF2B5EF4-FFF2-40B4-BE49-F238E27FC236}">
                  <a16:creationId xmlns:a16="http://schemas.microsoft.com/office/drawing/2014/main" id="{00000000-0008-0000-0300-00002E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27</xdr:row>
          <xdr:rowOff>19050</xdr:rowOff>
        </xdr:from>
        <xdr:to>
          <xdr:col>6</xdr:col>
          <xdr:colOff>800100</xdr:colOff>
          <xdr:row>27</xdr:row>
          <xdr:rowOff>209550</xdr:rowOff>
        </xdr:to>
        <xdr:sp macro="" textlink="">
          <xdr:nvSpPr>
            <xdr:cNvPr id="4143" name="btnPrev_F-024" hidden="1">
              <a:extLst>
                <a:ext uri="{63B3BB69-23CF-44E3-9099-C40C66FF867C}">
                  <a14:compatExt spid="_x0000_s4143"/>
                </a:ext>
                <a:ext uri="{FF2B5EF4-FFF2-40B4-BE49-F238E27FC236}">
                  <a16:creationId xmlns:a16="http://schemas.microsoft.com/office/drawing/2014/main" id="{00000000-0008-0000-0300-00002F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27</xdr:row>
          <xdr:rowOff>19050</xdr:rowOff>
        </xdr:from>
        <xdr:to>
          <xdr:col>7</xdr:col>
          <xdr:colOff>800100</xdr:colOff>
          <xdr:row>27</xdr:row>
          <xdr:rowOff>209550</xdr:rowOff>
        </xdr:to>
        <xdr:sp macro="" textlink="">
          <xdr:nvSpPr>
            <xdr:cNvPr id="4144" name="btnPdf_F-024" hidden="1">
              <a:extLst>
                <a:ext uri="{63B3BB69-23CF-44E3-9099-C40C66FF867C}">
                  <a14:compatExt spid="_x0000_s4144"/>
                </a:ext>
                <a:ext uri="{FF2B5EF4-FFF2-40B4-BE49-F238E27FC236}">
                  <a16:creationId xmlns:a16="http://schemas.microsoft.com/office/drawing/2014/main" id="{00000000-0008-0000-0300-000030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28</xdr:row>
          <xdr:rowOff>19050</xdr:rowOff>
        </xdr:from>
        <xdr:to>
          <xdr:col>6</xdr:col>
          <xdr:colOff>800100</xdr:colOff>
          <xdr:row>28</xdr:row>
          <xdr:rowOff>209550</xdr:rowOff>
        </xdr:to>
        <xdr:sp macro="" textlink="">
          <xdr:nvSpPr>
            <xdr:cNvPr id="4145" name="btnPrev_F-025" hidden="1">
              <a:extLst>
                <a:ext uri="{63B3BB69-23CF-44E3-9099-C40C66FF867C}">
                  <a14:compatExt spid="_x0000_s4145"/>
                </a:ext>
                <a:ext uri="{FF2B5EF4-FFF2-40B4-BE49-F238E27FC236}">
                  <a16:creationId xmlns:a16="http://schemas.microsoft.com/office/drawing/2014/main" id="{00000000-0008-0000-0300-000031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28</xdr:row>
          <xdr:rowOff>19050</xdr:rowOff>
        </xdr:from>
        <xdr:to>
          <xdr:col>7</xdr:col>
          <xdr:colOff>800100</xdr:colOff>
          <xdr:row>28</xdr:row>
          <xdr:rowOff>209550</xdr:rowOff>
        </xdr:to>
        <xdr:sp macro="" textlink="">
          <xdr:nvSpPr>
            <xdr:cNvPr id="4146" name="btnPdf_F-025" hidden="1">
              <a:extLst>
                <a:ext uri="{63B3BB69-23CF-44E3-9099-C40C66FF867C}">
                  <a14:compatExt spid="_x0000_s4146"/>
                </a:ext>
                <a:ext uri="{FF2B5EF4-FFF2-40B4-BE49-F238E27FC236}">
                  <a16:creationId xmlns:a16="http://schemas.microsoft.com/office/drawing/2014/main" id="{00000000-0008-0000-0300-000032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30</xdr:row>
          <xdr:rowOff>19050</xdr:rowOff>
        </xdr:from>
        <xdr:to>
          <xdr:col>6</xdr:col>
          <xdr:colOff>800100</xdr:colOff>
          <xdr:row>30</xdr:row>
          <xdr:rowOff>209550</xdr:rowOff>
        </xdr:to>
        <xdr:sp macro="" textlink="">
          <xdr:nvSpPr>
            <xdr:cNvPr id="4147" name="btnPrev_F-027" hidden="1">
              <a:extLst>
                <a:ext uri="{63B3BB69-23CF-44E3-9099-C40C66FF867C}">
                  <a14:compatExt spid="_x0000_s4147"/>
                </a:ext>
                <a:ext uri="{FF2B5EF4-FFF2-40B4-BE49-F238E27FC236}">
                  <a16:creationId xmlns:a16="http://schemas.microsoft.com/office/drawing/2014/main" id="{00000000-0008-0000-0300-000033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30</xdr:row>
          <xdr:rowOff>19050</xdr:rowOff>
        </xdr:from>
        <xdr:to>
          <xdr:col>7</xdr:col>
          <xdr:colOff>800100</xdr:colOff>
          <xdr:row>30</xdr:row>
          <xdr:rowOff>209550</xdr:rowOff>
        </xdr:to>
        <xdr:sp macro="" textlink="">
          <xdr:nvSpPr>
            <xdr:cNvPr id="4148" name="btnPdf_F-027" hidden="1">
              <a:extLst>
                <a:ext uri="{63B3BB69-23CF-44E3-9099-C40C66FF867C}">
                  <a14:compatExt spid="_x0000_s4148"/>
                </a:ext>
                <a:ext uri="{FF2B5EF4-FFF2-40B4-BE49-F238E27FC236}">
                  <a16:creationId xmlns:a16="http://schemas.microsoft.com/office/drawing/2014/main" id="{00000000-0008-0000-0300-000034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32</xdr:row>
          <xdr:rowOff>19050</xdr:rowOff>
        </xdr:from>
        <xdr:to>
          <xdr:col>6</xdr:col>
          <xdr:colOff>800100</xdr:colOff>
          <xdr:row>32</xdr:row>
          <xdr:rowOff>209550</xdr:rowOff>
        </xdr:to>
        <xdr:sp macro="" textlink="">
          <xdr:nvSpPr>
            <xdr:cNvPr id="4149" name="btnPrev_F-029" hidden="1">
              <a:extLst>
                <a:ext uri="{63B3BB69-23CF-44E3-9099-C40C66FF867C}">
                  <a14:compatExt spid="_x0000_s4149"/>
                </a:ext>
                <a:ext uri="{FF2B5EF4-FFF2-40B4-BE49-F238E27FC236}">
                  <a16:creationId xmlns:a16="http://schemas.microsoft.com/office/drawing/2014/main" id="{00000000-0008-0000-0300-000035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32</xdr:row>
          <xdr:rowOff>19050</xdr:rowOff>
        </xdr:from>
        <xdr:to>
          <xdr:col>7</xdr:col>
          <xdr:colOff>800100</xdr:colOff>
          <xdr:row>32</xdr:row>
          <xdr:rowOff>209550</xdr:rowOff>
        </xdr:to>
        <xdr:sp macro="" textlink="">
          <xdr:nvSpPr>
            <xdr:cNvPr id="4150" name="btnPdf_F-029" hidden="1">
              <a:extLst>
                <a:ext uri="{63B3BB69-23CF-44E3-9099-C40C66FF867C}">
                  <a14:compatExt spid="_x0000_s4150"/>
                </a:ext>
                <a:ext uri="{FF2B5EF4-FFF2-40B4-BE49-F238E27FC236}">
                  <a16:creationId xmlns:a16="http://schemas.microsoft.com/office/drawing/2014/main" id="{00000000-0008-0000-0300-000036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33</xdr:row>
          <xdr:rowOff>19050</xdr:rowOff>
        </xdr:from>
        <xdr:to>
          <xdr:col>6</xdr:col>
          <xdr:colOff>800100</xdr:colOff>
          <xdr:row>33</xdr:row>
          <xdr:rowOff>209550</xdr:rowOff>
        </xdr:to>
        <xdr:sp macro="" textlink="">
          <xdr:nvSpPr>
            <xdr:cNvPr id="4151" name="btnPrev_F-030" hidden="1">
              <a:extLst>
                <a:ext uri="{63B3BB69-23CF-44E3-9099-C40C66FF867C}">
                  <a14:compatExt spid="_x0000_s4151"/>
                </a:ext>
                <a:ext uri="{FF2B5EF4-FFF2-40B4-BE49-F238E27FC236}">
                  <a16:creationId xmlns:a16="http://schemas.microsoft.com/office/drawing/2014/main" id="{00000000-0008-0000-0300-000037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33</xdr:row>
          <xdr:rowOff>19050</xdr:rowOff>
        </xdr:from>
        <xdr:to>
          <xdr:col>7</xdr:col>
          <xdr:colOff>800100</xdr:colOff>
          <xdr:row>33</xdr:row>
          <xdr:rowOff>209550</xdr:rowOff>
        </xdr:to>
        <xdr:sp macro="" textlink="">
          <xdr:nvSpPr>
            <xdr:cNvPr id="4152" name="btnPdf_F-030" hidden="1">
              <a:extLst>
                <a:ext uri="{63B3BB69-23CF-44E3-9099-C40C66FF867C}">
                  <a14:compatExt spid="_x0000_s4152"/>
                </a:ext>
                <a:ext uri="{FF2B5EF4-FFF2-40B4-BE49-F238E27FC236}">
                  <a16:creationId xmlns:a16="http://schemas.microsoft.com/office/drawing/2014/main" id="{00000000-0008-0000-0300-000038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34</xdr:row>
          <xdr:rowOff>19050</xdr:rowOff>
        </xdr:from>
        <xdr:to>
          <xdr:col>6</xdr:col>
          <xdr:colOff>800100</xdr:colOff>
          <xdr:row>34</xdr:row>
          <xdr:rowOff>209550</xdr:rowOff>
        </xdr:to>
        <xdr:sp macro="" textlink="">
          <xdr:nvSpPr>
            <xdr:cNvPr id="4153" name="btnPrev_F-031" hidden="1">
              <a:extLst>
                <a:ext uri="{63B3BB69-23CF-44E3-9099-C40C66FF867C}">
                  <a14:compatExt spid="_x0000_s4153"/>
                </a:ext>
                <a:ext uri="{FF2B5EF4-FFF2-40B4-BE49-F238E27FC236}">
                  <a16:creationId xmlns:a16="http://schemas.microsoft.com/office/drawing/2014/main" id="{00000000-0008-0000-0300-000039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34</xdr:row>
          <xdr:rowOff>19050</xdr:rowOff>
        </xdr:from>
        <xdr:to>
          <xdr:col>7</xdr:col>
          <xdr:colOff>800100</xdr:colOff>
          <xdr:row>34</xdr:row>
          <xdr:rowOff>209550</xdr:rowOff>
        </xdr:to>
        <xdr:sp macro="" textlink="">
          <xdr:nvSpPr>
            <xdr:cNvPr id="4154" name="btnPdf_F-031" hidden="1">
              <a:extLst>
                <a:ext uri="{63B3BB69-23CF-44E3-9099-C40C66FF867C}">
                  <a14:compatExt spid="_x0000_s4154"/>
                </a:ext>
                <a:ext uri="{FF2B5EF4-FFF2-40B4-BE49-F238E27FC236}">
                  <a16:creationId xmlns:a16="http://schemas.microsoft.com/office/drawing/2014/main" id="{00000000-0008-0000-0300-00003A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35</xdr:row>
          <xdr:rowOff>19050</xdr:rowOff>
        </xdr:from>
        <xdr:to>
          <xdr:col>6</xdr:col>
          <xdr:colOff>800100</xdr:colOff>
          <xdr:row>35</xdr:row>
          <xdr:rowOff>209550</xdr:rowOff>
        </xdr:to>
        <xdr:sp macro="" textlink="">
          <xdr:nvSpPr>
            <xdr:cNvPr id="4155" name="btnPrev_F-032" hidden="1">
              <a:extLst>
                <a:ext uri="{63B3BB69-23CF-44E3-9099-C40C66FF867C}">
                  <a14:compatExt spid="_x0000_s4155"/>
                </a:ext>
                <a:ext uri="{FF2B5EF4-FFF2-40B4-BE49-F238E27FC236}">
                  <a16:creationId xmlns:a16="http://schemas.microsoft.com/office/drawing/2014/main" id="{00000000-0008-0000-0300-00003B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35</xdr:row>
          <xdr:rowOff>19050</xdr:rowOff>
        </xdr:from>
        <xdr:to>
          <xdr:col>7</xdr:col>
          <xdr:colOff>800100</xdr:colOff>
          <xdr:row>35</xdr:row>
          <xdr:rowOff>209550</xdr:rowOff>
        </xdr:to>
        <xdr:sp macro="" textlink="">
          <xdr:nvSpPr>
            <xdr:cNvPr id="4156" name="btnPdf_F-032" hidden="1">
              <a:extLst>
                <a:ext uri="{63B3BB69-23CF-44E3-9099-C40C66FF867C}">
                  <a14:compatExt spid="_x0000_s4156"/>
                </a:ext>
                <a:ext uri="{FF2B5EF4-FFF2-40B4-BE49-F238E27FC236}">
                  <a16:creationId xmlns:a16="http://schemas.microsoft.com/office/drawing/2014/main" id="{00000000-0008-0000-0300-00003C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36</xdr:row>
          <xdr:rowOff>19050</xdr:rowOff>
        </xdr:from>
        <xdr:to>
          <xdr:col>6</xdr:col>
          <xdr:colOff>800100</xdr:colOff>
          <xdr:row>36</xdr:row>
          <xdr:rowOff>209550</xdr:rowOff>
        </xdr:to>
        <xdr:sp macro="" textlink="">
          <xdr:nvSpPr>
            <xdr:cNvPr id="4157" name="btnPrev_F-033" hidden="1">
              <a:extLst>
                <a:ext uri="{63B3BB69-23CF-44E3-9099-C40C66FF867C}">
                  <a14:compatExt spid="_x0000_s4157"/>
                </a:ext>
                <a:ext uri="{FF2B5EF4-FFF2-40B4-BE49-F238E27FC236}">
                  <a16:creationId xmlns:a16="http://schemas.microsoft.com/office/drawing/2014/main" id="{00000000-0008-0000-0300-00003D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36</xdr:row>
          <xdr:rowOff>19050</xdr:rowOff>
        </xdr:from>
        <xdr:to>
          <xdr:col>7</xdr:col>
          <xdr:colOff>800100</xdr:colOff>
          <xdr:row>36</xdr:row>
          <xdr:rowOff>209550</xdr:rowOff>
        </xdr:to>
        <xdr:sp macro="" textlink="">
          <xdr:nvSpPr>
            <xdr:cNvPr id="4158" name="btnPdf_F-033" hidden="1">
              <a:extLst>
                <a:ext uri="{63B3BB69-23CF-44E3-9099-C40C66FF867C}">
                  <a14:compatExt spid="_x0000_s4158"/>
                </a:ext>
                <a:ext uri="{FF2B5EF4-FFF2-40B4-BE49-F238E27FC236}">
                  <a16:creationId xmlns:a16="http://schemas.microsoft.com/office/drawing/2014/main" id="{00000000-0008-0000-0300-00003E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37</xdr:row>
          <xdr:rowOff>19050</xdr:rowOff>
        </xdr:from>
        <xdr:to>
          <xdr:col>6</xdr:col>
          <xdr:colOff>800100</xdr:colOff>
          <xdr:row>37</xdr:row>
          <xdr:rowOff>209550</xdr:rowOff>
        </xdr:to>
        <xdr:sp macro="" textlink="">
          <xdr:nvSpPr>
            <xdr:cNvPr id="4159" name="btnPrev_F-034" hidden="1">
              <a:extLst>
                <a:ext uri="{63B3BB69-23CF-44E3-9099-C40C66FF867C}">
                  <a14:compatExt spid="_x0000_s4159"/>
                </a:ext>
                <a:ext uri="{FF2B5EF4-FFF2-40B4-BE49-F238E27FC236}">
                  <a16:creationId xmlns:a16="http://schemas.microsoft.com/office/drawing/2014/main" id="{00000000-0008-0000-0300-00003F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37</xdr:row>
          <xdr:rowOff>19050</xdr:rowOff>
        </xdr:from>
        <xdr:to>
          <xdr:col>7</xdr:col>
          <xdr:colOff>800100</xdr:colOff>
          <xdr:row>37</xdr:row>
          <xdr:rowOff>209550</xdr:rowOff>
        </xdr:to>
        <xdr:sp macro="" textlink="">
          <xdr:nvSpPr>
            <xdr:cNvPr id="4160" name="btnPdf_F-034" hidden="1">
              <a:extLst>
                <a:ext uri="{63B3BB69-23CF-44E3-9099-C40C66FF867C}">
                  <a14:compatExt spid="_x0000_s4160"/>
                </a:ext>
                <a:ext uri="{FF2B5EF4-FFF2-40B4-BE49-F238E27FC236}">
                  <a16:creationId xmlns:a16="http://schemas.microsoft.com/office/drawing/2014/main" id="{00000000-0008-0000-0300-000040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38</xdr:row>
          <xdr:rowOff>19050</xdr:rowOff>
        </xdr:from>
        <xdr:to>
          <xdr:col>6</xdr:col>
          <xdr:colOff>800100</xdr:colOff>
          <xdr:row>38</xdr:row>
          <xdr:rowOff>209550</xdr:rowOff>
        </xdr:to>
        <xdr:sp macro="" textlink="">
          <xdr:nvSpPr>
            <xdr:cNvPr id="4161" name="btnPrev_F-035" hidden="1">
              <a:extLst>
                <a:ext uri="{63B3BB69-23CF-44E3-9099-C40C66FF867C}">
                  <a14:compatExt spid="_x0000_s4161"/>
                </a:ext>
                <a:ext uri="{FF2B5EF4-FFF2-40B4-BE49-F238E27FC236}">
                  <a16:creationId xmlns:a16="http://schemas.microsoft.com/office/drawing/2014/main" id="{00000000-0008-0000-0300-000041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38</xdr:row>
          <xdr:rowOff>19050</xdr:rowOff>
        </xdr:from>
        <xdr:to>
          <xdr:col>7</xdr:col>
          <xdr:colOff>800100</xdr:colOff>
          <xdr:row>38</xdr:row>
          <xdr:rowOff>209550</xdr:rowOff>
        </xdr:to>
        <xdr:sp macro="" textlink="">
          <xdr:nvSpPr>
            <xdr:cNvPr id="4162" name="btnPdf_F-035" hidden="1">
              <a:extLst>
                <a:ext uri="{63B3BB69-23CF-44E3-9099-C40C66FF867C}">
                  <a14:compatExt spid="_x0000_s4162"/>
                </a:ext>
                <a:ext uri="{FF2B5EF4-FFF2-40B4-BE49-F238E27FC236}">
                  <a16:creationId xmlns:a16="http://schemas.microsoft.com/office/drawing/2014/main" id="{00000000-0008-0000-0300-000042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39</xdr:row>
          <xdr:rowOff>19050</xdr:rowOff>
        </xdr:from>
        <xdr:to>
          <xdr:col>6</xdr:col>
          <xdr:colOff>800100</xdr:colOff>
          <xdr:row>39</xdr:row>
          <xdr:rowOff>209550</xdr:rowOff>
        </xdr:to>
        <xdr:sp macro="" textlink="">
          <xdr:nvSpPr>
            <xdr:cNvPr id="4163" name="btnPrev_F-036" hidden="1">
              <a:extLst>
                <a:ext uri="{63B3BB69-23CF-44E3-9099-C40C66FF867C}">
                  <a14:compatExt spid="_x0000_s4163"/>
                </a:ext>
                <a:ext uri="{FF2B5EF4-FFF2-40B4-BE49-F238E27FC236}">
                  <a16:creationId xmlns:a16="http://schemas.microsoft.com/office/drawing/2014/main" id="{00000000-0008-0000-0300-000043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39</xdr:row>
          <xdr:rowOff>19050</xdr:rowOff>
        </xdr:from>
        <xdr:to>
          <xdr:col>7</xdr:col>
          <xdr:colOff>800100</xdr:colOff>
          <xdr:row>39</xdr:row>
          <xdr:rowOff>209550</xdr:rowOff>
        </xdr:to>
        <xdr:sp macro="" textlink="">
          <xdr:nvSpPr>
            <xdr:cNvPr id="4164" name="btnPdf_F-036" hidden="1">
              <a:extLst>
                <a:ext uri="{63B3BB69-23CF-44E3-9099-C40C66FF867C}">
                  <a14:compatExt spid="_x0000_s4164"/>
                </a:ext>
                <a:ext uri="{FF2B5EF4-FFF2-40B4-BE49-F238E27FC236}">
                  <a16:creationId xmlns:a16="http://schemas.microsoft.com/office/drawing/2014/main" id="{00000000-0008-0000-0300-000044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40</xdr:row>
          <xdr:rowOff>19050</xdr:rowOff>
        </xdr:from>
        <xdr:to>
          <xdr:col>6</xdr:col>
          <xdr:colOff>800100</xdr:colOff>
          <xdr:row>40</xdr:row>
          <xdr:rowOff>209550</xdr:rowOff>
        </xdr:to>
        <xdr:sp macro="" textlink="">
          <xdr:nvSpPr>
            <xdr:cNvPr id="4165" name="btnPrev_F-037" hidden="1">
              <a:extLst>
                <a:ext uri="{63B3BB69-23CF-44E3-9099-C40C66FF867C}">
                  <a14:compatExt spid="_x0000_s4165"/>
                </a:ext>
                <a:ext uri="{FF2B5EF4-FFF2-40B4-BE49-F238E27FC236}">
                  <a16:creationId xmlns:a16="http://schemas.microsoft.com/office/drawing/2014/main" id="{00000000-0008-0000-0300-000045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40</xdr:row>
          <xdr:rowOff>19050</xdr:rowOff>
        </xdr:from>
        <xdr:to>
          <xdr:col>7</xdr:col>
          <xdr:colOff>800100</xdr:colOff>
          <xdr:row>40</xdr:row>
          <xdr:rowOff>209550</xdr:rowOff>
        </xdr:to>
        <xdr:sp macro="" textlink="">
          <xdr:nvSpPr>
            <xdr:cNvPr id="4166" name="btnPdf_F-037" hidden="1">
              <a:extLst>
                <a:ext uri="{63B3BB69-23CF-44E3-9099-C40C66FF867C}">
                  <a14:compatExt spid="_x0000_s4166"/>
                </a:ext>
                <a:ext uri="{FF2B5EF4-FFF2-40B4-BE49-F238E27FC236}">
                  <a16:creationId xmlns:a16="http://schemas.microsoft.com/office/drawing/2014/main" id="{00000000-0008-0000-0300-000046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41</xdr:row>
          <xdr:rowOff>19050</xdr:rowOff>
        </xdr:from>
        <xdr:to>
          <xdr:col>6</xdr:col>
          <xdr:colOff>800100</xdr:colOff>
          <xdr:row>41</xdr:row>
          <xdr:rowOff>209550</xdr:rowOff>
        </xdr:to>
        <xdr:sp macro="" textlink="">
          <xdr:nvSpPr>
            <xdr:cNvPr id="4167" name="btnPrev_F-038" hidden="1">
              <a:extLst>
                <a:ext uri="{63B3BB69-23CF-44E3-9099-C40C66FF867C}">
                  <a14:compatExt spid="_x0000_s4167"/>
                </a:ext>
                <a:ext uri="{FF2B5EF4-FFF2-40B4-BE49-F238E27FC236}">
                  <a16:creationId xmlns:a16="http://schemas.microsoft.com/office/drawing/2014/main" id="{00000000-0008-0000-0300-000047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41</xdr:row>
          <xdr:rowOff>19050</xdr:rowOff>
        </xdr:from>
        <xdr:to>
          <xdr:col>7</xdr:col>
          <xdr:colOff>800100</xdr:colOff>
          <xdr:row>41</xdr:row>
          <xdr:rowOff>209550</xdr:rowOff>
        </xdr:to>
        <xdr:sp macro="" textlink="">
          <xdr:nvSpPr>
            <xdr:cNvPr id="4168" name="btnPdf_F-038" hidden="1">
              <a:extLst>
                <a:ext uri="{63B3BB69-23CF-44E3-9099-C40C66FF867C}">
                  <a14:compatExt spid="_x0000_s4168"/>
                </a:ext>
                <a:ext uri="{FF2B5EF4-FFF2-40B4-BE49-F238E27FC236}">
                  <a16:creationId xmlns:a16="http://schemas.microsoft.com/office/drawing/2014/main" id="{00000000-0008-0000-0300-000048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42</xdr:row>
          <xdr:rowOff>19050</xdr:rowOff>
        </xdr:from>
        <xdr:to>
          <xdr:col>6</xdr:col>
          <xdr:colOff>800100</xdr:colOff>
          <xdr:row>42</xdr:row>
          <xdr:rowOff>209550</xdr:rowOff>
        </xdr:to>
        <xdr:sp macro="" textlink="">
          <xdr:nvSpPr>
            <xdr:cNvPr id="4169" name="btnPrev_F-039" hidden="1">
              <a:extLst>
                <a:ext uri="{63B3BB69-23CF-44E3-9099-C40C66FF867C}">
                  <a14:compatExt spid="_x0000_s4169"/>
                </a:ext>
                <a:ext uri="{FF2B5EF4-FFF2-40B4-BE49-F238E27FC236}">
                  <a16:creationId xmlns:a16="http://schemas.microsoft.com/office/drawing/2014/main" id="{00000000-0008-0000-0300-000049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42</xdr:row>
          <xdr:rowOff>19050</xdr:rowOff>
        </xdr:from>
        <xdr:to>
          <xdr:col>7</xdr:col>
          <xdr:colOff>800100</xdr:colOff>
          <xdr:row>42</xdr:row>
          <xdr:rowOff>209550</xdr:rowOff>
        </xdr:to>
        <xdr:sp macro="" textlink="">
          <xdr:nvSpPr>
            <xdr:cNvPr id="4170" name="btnPdf_F-039" hidden="1">
              <a:extLst>
                <a:ext uri="{63B3BB69-23CF-44E3-9099-C40C66FF867C}">
                  <a14:compatExt spid="_x0000_s4170"/>
                </a:ext>
                <a:ext uri="{FF2B5EF4-FFF2-40B4-BE49-F238E27FC236}">
                  <a16:creationId xmlns:a16="http://schemas.microsoft.com/office/drawing/2014/main" id="{00000000-0008-0000-0300-00004A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43</xdr:row>
          <xdr:rowOff>19050</xdr:rowOff>
        </xdr:from>
        <xdr:to>
          <xdr:col>6</xdr:col>
          <xdr:colOff>800100</xdr:colOff>
          <xdr:row>43</xdr:row>
          <xdr:rowOff>209550</xdr:rowOff>
        </xdr:to>
        <xdr:sp macro="" textlink="">
          <xdr:nvSpPr>
            <xdr:cNvPr id="4171" name="btnPrev_F-040" hidden="1">
              <a:extLst>
                <a:ext uri="{63B3BB69-23CF-44E3-9099-C40C66FF867C}">
                  <a14:compatExt spid="_x0000_s4171"/>
                </a:ext>
                <a:ext uri="{FF2B5EF4-FFF2-40B4-BE49-F238E27FC236}">
                  <a16:creationId xmlns:a16="http://schemas.microsoft.com/office/drawing/2014/main" id="{00000000-0008-0000-0300-00004B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43</xdr:row>
          <xdr:rowOff>19050</xdr:rowOff>
        </xdr:from>
        <xdr:to>
          <xdr:col>7</xdr:col>
          <xdr:colOff>800100</xdr:colOff>
          <xdr:row>43</xdr:row>
          <xdr:rowOff>209550</xdr:rowOff>
        </xdr:to>
        <xdr:sp macro="" textlink="">
          <xdr:nvSpPr>
            <xdr:cNvPr id="4172" name="btnPdf_F-040" hidden="1">
              <a:extLst>
                <a:ext uri="{63B3BB69-23CF-44E3-9099-C40C66FF867C}">
                  <a14:compatExt spid="_x0000_s4172"/>
                </a:ext>
                <a:ext uri="{FF2B5EF4-FFF2-40B4-BE49-F238E27FC236}">
                  <a16:creationId xmlns:a16="http://schemas.microsoft.com/office/drawing/2014/main" id="{00000000-0008-0000-0300-00004C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44</xdr:row>
          <xdr:rowOff>19050</xdr:rowOff>
        </xdr:from>
        <xdr:to>
          <xdr:col>6</xdr:col>
          <xdr:colOff>800100</xdr:colOff>
          <xdr:row>44</xdr:row>
          <xdr:rowOff>209550</xdr:rowOff>
        </xdr:to>
        <xdr:sp macro="" textlink="">
          <xdr:nvSpPr>
            <xdr:cNvPr id="4173" name="btnPrev_F-041" hidden="1">
              <a:extLst>
                <a:ext uri="{63B3BB69-23CF-44E3-9099-C40C66FF867C}">
                  <a14:compatExt spid="_x0000_s4173"/>
                </a:ext>
                <a:ext uri="{FF2B5EF4-FFF2-40B4-BE49-F238E27FC236}">
                  <a16:creationId xmlns:a16="http://schemas.microsoft.com/office/drawing/2014/main" id="{00000000-0008-0000-0300-00004D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44</xdr:row>
          <xdr:rowOff>19050</xdr:rowOff>
        </xdr:from>
        <xdr:to>
          <xdr:col>7</xdr:col>
          <xdr:colOff>800100</xdr:colOff>
          <xdr:row>44</xdr:row>
          <xdr:rowOff>209550</xdr:rowOff>
        </xdr:to>
        <xdr:sp macro="" textlink="">
          <xdr:nvSpPr>
            <xdr:cNvPr id="4174" name="btnPdf_F-041" hidden="1">
              <a:extLst>
                <a:ext uri="{63B3BB69-23CF-44E3-9099-C40C66FF867C}">
                  <a14:compatExt spid="_x0000_s4174"/>
                </a:ext>
                <a:ext uri="{FF2B5EF4-FFF2-40B4-BE49-F238E27FC236}">
                  <a16:creationId xmlns:a16="http://schemas.microsoft.com/office/drawing/2014/main" id="{00000000-0008-0000-0300-00004E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45</xdr:row>
          <xdr:rowOff>19050</xdr:rowOff>
        </xdr:from>
        <xdr:to>
          <xdr:col>6</xdr:col>
          <xdr:colOff>800100</xdr:colOff>
          <xdr:row>45</xdr:row>
          <xdr:rowOff>209550</xdr:rowOff>
        </xdr:to>
        <xdr:sp macro="" textlink="">
          <xdr:nvSpPr>
            <xdr:cNvPr id="4175" name="btnPrev_F-042" hidden="1">
              <a:extLst>
                <a:ext uri="{63B3BB69-23CF-44E3-9099-C40C66FF867C}">
                  <a14:compatExt spid="_x0000_s4175"/>
                </a:ext>
                <a:ext uri="{FF2B5EF4-FFF2-40B4-BE49-F238E27FC236}">
                  <a16:creationId xmlns:a16="http://schemas.microsoft.com/office/drawing/2014/main" id="{00000000-0008-0000-0300-00004F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45</xdr:row>
          <xdr:rowOff>19050</xdr:rowOff>
        </xdr:from>
        <xdr:to>
          <xdr:col>7</xdr:col>
          <xdr:colOff>800100</xdr:colOff>
          <xdr:row>45</xdr:row>
          <xdr:rowOff>209550</xdr:rowOff>
        </xdr:to>
        <xdr:sp macro="" textlink="">
          <xdr:nvSpPr>
            <xdr:cNvPr id="4176" name="btnPdf_F-042" hidden="1">
              <a:extLst>
                <a:ext uri="{63B3BB69-23CF-44E3-9099-C40C66FF867C}">
                  <a14:compatExt spid="_x0000_s4176"/>
                </a:ext>
                <a:ext uri="{FF2B5EF4-FFF2-40B4-BE49-F238E27FC236}">
                  <a16:creationId xmlns:a16="http://schemas.microsoft.com/office/drawing/2014/main" id="{00000000-0008-0000-0300-000050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46</xdr:row>
          <xdr:rowOff>19050</xdr:rowOff>
        </xdr:from>
        <xdr:to>
          <xdr:col>6</xdr:col>
          <xdr:colOff>800100</xdr:colOff>
          <xdr:row>46</xdr:row>
          <xdr:rowOff>209550</xdr:rowOff>
        </xdr:to>
        <xdr:sp macro="" textlink="">
          <xdr:nvSpPr>
            <xdr:cNvPr id="4177" name="btnPrev_F-043"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46</xdr:row>
          <xdr:rowOff>19050</xdr:rowOff>
        </xdr:from>
        <xdr:to>
          <xdr:col>7</xdr:col>
          <xdr:colOff>800100</xdr:colOff>
          <xdr:row>46</xdr:row>
          <xdr:rowOff>209550</xdr:rowOff>
        </xdr:to>
        <xdr:sp macro="" textlink="">
          <xdr:nvSpPr>
            <xdr:cNvPr id="4178" name="btnPdf_F-043" hidden="1">
              <a:extLst>
                <a:ext uri="{63B3BB69-23CF-44E3-9099-C40C66FF867C}">
                  <a14:compatExt spid="_x0000_s4178"/>
                </a:ext>
                <a:ext uri="{FF2B5EF4-FFF2-40B4-BE49-F238E27FC236}">
                  <a16:creationId xmlns:a16="http://schemas.microsoft.com/office/drawing/2014/main" id="{00000000-0008-0000-0300-000052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47</xdr:row>
          <xdr:rowOff>19050</xdr:rowOff>
        </xdr:from>
        <xdr:to>
          <xdr:col>6</xdr:col>
          <xdr:colOff>800100</xdr:colOff>
          <xdr:row>47</xdr:row>
          <xdr:rowOff>209550</xdr:rowOff>
        </xdr:to>
        <xdr:sp macro="" textlink="">
          <xdr:nvSpPr>
            <xdr:cNvPr id="4179" name="btnPrev_F-044" hidden="1">
              <a:extLst>
                <a:ext uri="{63B3BB69-23CF-44E3-9099-C40C66FF867C}">
                  <a14:compatExt spid="_x0000_s4179"/>
                </a:ext>
                <a:ext uri="{FF2B5EF4-FFF2-40B4-BE49-F238E27FC236}">
                  <a16:creationId xmlns:a16="http://schemas.microsoft.com/office/drawing/2014/main" id="{00000000-0008-0000-0300-000053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47</xdr:row>
          <xdr:rowOff>19050</xdr:rowOff>
        </xdr:from>
        <xdr:to>
          <xdr:col>7</xdr:col>
          <xdr:colOff>800100</xdr:colOff>
          <xdr:row>47</xdr:row>
          <xdr:rowOff>209550</xdr:rowOff>
        </xdr:to>
        <xdr:sp macro="" textlink="">
          <xdr:nvSpPr>
            <xdr:cNvPr id="4180" name="btnPdf_F-044" hidden="1">
              <a:extLst>
                <a:ext uri="{63B3BB69-23CF-44E3-9099-C40C66FF867C}">
                  <a14:compatExt spid="_x0000_s4180"/>
                </a:ext>
                <a:ext uri="{FF2B5EF4-FFF2-40B4-BE49-F238E27FC236}">
                  <a16:creationId xmlns:a16="http://schemas.microsoft.com/office/drawing/2014/main" id="{00000000-0008-0000-0300-000054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48</xdr:row>
          <xdr:rowOff>19050</xdr:rowOff>
        </xdr:from>
        <xdr:to>
          <xdr:col>6</xdr:col>
          <xdr:colOff>800100</xdr:colOff>
          <xdr:row>48</xdr:row>
          <xdr:rowOff>209550</xdr:rowOff>
        </xdr:to>
        <xdr:sp macro="" textlink="">
          <xdr:nvSpPr>
            <xdr:cNvPr id="4181" name="btnPrev_F-045" hidden="1">
              <a:extLst>
                <a:ext uri="{63B3BB69-23CF-44E3-9099-C40C66FF867C}">
                  <a14:compatExt spid="_x0000_s4181"/>
                </a:ext>
                <a:ext uri="{FF2B5EF4-FFF2-40B4-BE49-F238E27FC236}">
                  <a16:creationId xmlns:a16="http://schemas.microsoft.com/office/drawing/2014/main" id="{00000000-0008-0000-0300-000055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48</xdr:row>
          <xdr:rowOff>19050</xdr:rowOff>
        </xdr:from>
        <xdr:to>
          <xdr:col>7</xdr:col>
          <xdr:colOff>800100</xdr:colOff>
          <xdr:row>48</xdr:row>
          <xdr:rowOff>209550</xdr:rowOff>
        </xdr:to>
        <xdr:sp macro="" textlink="">
          <xdr:nvSpPr>
            <xdr:cNvPr id="4182" name="btnPdf_F-045" hidden="1">
              <a:extLst>
                <a:ext uri="{63B3BB69-23CF-44E3-9099-C40C66FF867C}">
                  <a14:compatExt spid="_x0000_s4182"/>
                </a:ext>
                <a:ext uri="{FF2B5EF4-FFF2-40B4-BE49-F238E27FC236}">
                  <a16:creationId xmlns:a16="http://schemas.microsoft.com/office/drawing/2014/main" id="{00000000-0008-0000-0300-000056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49</xdr:row>
          <xdr:rowOff>19050</xdr:rowOff>
        </xdr:from>
        <xdr:to>
          <xdr:col>6</xdr:col>
          <xdr:colOff>800100</xdr:colOff>
          <xdr:row>49</xdr:row>
          <xdr:rowOff>209550</xdr:rowOff>
        </xdr:to>
        <xdr:sp macro="" textlink="">
          <xdr:nvSpPr>
            <xdr:cNvPr id="4183" name="btnPrev_F-046" hidden="1">
              <a:extLst>
                <a:ext uri="{63B3BB69-23CF-44E3-9099-C40C66FF867C}">
                  <a14:compatExt spid="_x0000_s4183"/>
                </a:ext>
                <a:ext uri="{FF2B5EF4-FFF2-40B4-BE49-F238E27FC236}">
                  <a16:creationId xmlns:a16="http://schemas.microsoft.com/office/drawing/2014/main" id="{00000000-0008-0000-0300-000057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49</xdr:row>
          <xdr:rowOff>19050</xdr:rowOff>
        </xdr:from>
        <xdr:to>
          <xdr:col>7</xdr:col>
          <xdr:colOff>800100</xdr:colOff>
          <xdr:row>49</xdr:row>
          <xdr:rowOff>209550</xdr:rowOff>
        </xdr:to>
        <xdr:sp macro="" textlink="">
          <xdr:nvSpPr>
            <xdr:cNvPr id="4184" name="btnPdf_F-046" hidden="1">
              <a:extLst>
                <a:ext uri="{63B3BB69-23CF-44E3-9099-C40C66FF867C}">
                  <a14:compatExt spid="_x0000_s4184"/>
                </a:ext>
                <a:ext uri="{FF2B5EF4-FFF2-40B4-BE49-F238E27FC236}">
                  <a16:creationId xmlns:a16="http://schemas.microsoft.com/office/drawing/2014/main" id="{00000000-0008-0000-0300-000058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50</xdr:row>
          <xdr:rowOff>19050</xdr:rowOff>
        </xdr:from>
        <xdr:to>
          <xdr:col>6</xdr:col>
          <xdr:colOff>800100</xdr:colOff>
          <xdr:row>50</xdr:row>
          <xdr:rowOff>209550</xdr:rowOff>
        </xdr:to>
        <xdr:sp macro="" textlink="">
          <xdr:nvSpPr>
            <xdr:cNvPr id="4185" name="btnPrev_F-047" hidden="1">
              <a:extLst>
                <a:ext uri="{63B3BB69-23CF-44E3-9099-C40C66FF867C}">
                  <a14:compatExt spid="_x0000_s4185"/>
                </a:ext>
                <a:ext uri="{FF2B5EF4-FFF2-40B4-BE49-F238E27FC236}">
                  <a16:creationId xmlns:a16="http://schemas.microsoft.com/office/drawing/2014/main" id="{00000000-0008-0000-0300-000059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50</xdr:row>
          <xdr:rowOff>19050</xdr:rowOff>
        </xdr:from>
        <xdr:to>
          <xdr:col>7</xdr:col>
          <xdr:colOff>800100</xdr:colOff>
          <xdr:row>50</xdr:row>
          <xdr:rowOff>209550</xdr:rowOff>
        </xdr:to>
        <xdr:sp macro="" textlink="">
          <xdr:nvSpPr>
            <xdr:cNvPr id="4186" name="btnPdf_F-047" hidden="1">
              <a:extLst>
                <a:ext uri="{63B3BB69-23CF-44E3-9099-C40C66FF867C}">
                  <a14:compatExt spid="_x0000_s4186"/>
                </a:ext>
                <a:ext uri="{FF2B5EF4-FFF2-40B4-BE49-F238E27FC236}">
                  <a16:creationId xmlns:a16="http://schemas.microsoft.com/office/drawing/2014/main" id="{00000000-0008-0000-0300-00005A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51</xdr:row>
          <xdr:rowOff>19050</xdr:rowOff>
        </xdr:from>
        <xdr:to>
          <xdr:col>6</xdr:col>
          <xdr:colOff>800100</xdr:colOff>
          <xdr:row>51</xdr:row>
          <xdr:rowOff>209550</xdr:rowOff>
        </xdr:to>
        <xdr:sp macro="" textlink="">
          <xdr:nvSpPr>
            <xdr:cNvPr id="4187" name="btnPrev_F-048" hidden="1">
              <a:extLst>
                <a:ext uri="{63B3BB69-23CF-44E3-9099-C40C66FF867C}">
                  <a14:compatExt spid="_x0000_s4187"/>
                </a:ext>
                <a:ext uri="{FF2B5EF4-FFF2-40B4-BE49-F238E27FC236}">
                  <a16:creationId xmlns:a16="http://schemas.microsoft.com/office/drawing/2014/main" id="{00000000-0008-0000-0300-00005B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51</xdr:row>
          <xdr:rowOff>19050</xdr:rowOff>
        </xdr:from>
        <xdr:to>
          <xdr:col>7</xdr:col>
          <xdr:colOff>800100</xdr:colOff>
          <xdr:row>51</xdr:row>
          <xdr:rowOff>209550</xdr:rowOff>
        </xdr:to>
        <xdr:sp macro="" textlink="">
          <xdr:nvSpPr>
            <xdr:cNvPr id="4188" name="btnPdf_F-048" hidden="1">
              <a:extLst>
                <a:ext uri="{63B3BB69-23CF-44E3-9099-C40C66FF867C}">
                  <a14:compatExt spid="_x0000_s4188"/>
                </a:ext>
                <a:ext uri="{FF2B5EF4-FFF2-40B4-BE49-F238E27FC236}">
                  <a16:creationId xmlns:a16="http://schemas.microsoft.com/office/drawing/2014/main" id="{00000000-0008-0000-0300-00005C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52</xdr:row>
          <xdr:rowOff>19050</xdr:rowOff>
        </xdr:from>
        <xdr:to>
          <xdr:col>6</xdr:col>
          <xdr:colOff>800100</xdr:colOff>
          <xdr:row>52</xdr:row>
          <xdr:rowOff>209550</xdr:rowOff>
        </xdr:to>
        <xdr:sp macro="" textlink="">
          <xdr:nvSpPr>
            <xdr:cNvPr id="4189" name="btnPrev_F-049" hidden="1">
              <a:extLst>
                <a:ext uri="{63B3BB69-23CF-44E3-9099-C40C66FF867C}">
                  <a14:compatExt spid="_x0000_s4189"/>
                </a:ext>
                <a:ext uri="{FF2B5EF4-FFF2-40B4-BE49-F238E27FC236}">
                  <a16:creationId xmlns:a16="http://schemas.microsoft.com/office/drawing/2014/main" id="{00000000-0008-0000-0300-00005D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52</xdr:row>
          <xdr:rowOff>19050</xdr:rowOff>
        </xdr:from>
        <xdr:to>
          <xdr:col>7</xdr:col>
          <xdr:colOff>800100</xdr:colOff>
          <xdr:row>52</xdr:row>
          <xdr:rowOff>209550</xdr:rowOff>
        </xdr:to>
        <xdr:sp macro="" textlink="">
          <xdr:nvSpPr>
            <xdr:cNvPr id="4190" name="btnPdf_F-049" hidden="1">
              <a:extLst>
                <a:ext uri="{63B3BB69-23CF-44E3-9099-C40C66FF867C}">
                  <a14:compatExt spid="_x0000_s4190"/>
                </a:ext>
                <a:ext uri="{FF2B5EF4-FFF2-40B4-BE49-F238E27FC236}">
                  <a16:creationId xmlns:a16="http://schemas.microsoft.com/office/drawing/2014/main" id="{00000000-0008-0000-0300-00005E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53</xdr:row>
          <xdr:rowOff>19050</xdr:rowOff>
        </xdr:from>
        <xdr:to>
          <xdr:col>6</xdr:col>
          <xdr:colOff>800100</xdr:colOff>
          <xdr:row>53</xdr:row>
          <xdr:rowOff>209550</xdr:rowOff>
        </xdr:to>
        <xdr:sp macro="" textlink="">
          <xdr:nvSpPr>
            <xdr:cNvPr id="4191" name="btnPrev_F-050" hidden="1">
              <a:extLst>
                <a:ext uri="{63B3BB69-23CF-44E3-9099-C40C66FF867C}">
                  <a14:compatExt spid="_x0000_s4191"/>
                </a:ext>
                <a:ext uri="{FF2B5EF4-FFF2-40B4-BE49-F238E27FC236}">
                  <a16:creationId xmlns:a16="http://schemas.microsoft.com/office/drawing/2014/main" id="{00000000-0008-0000-0300-00005F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53</xdr:row>
          <xdr:rowOff>19050</xdr:rowOff>
        </xdr:from>
        <xdr:to>
          <xdr:col>7</xdr:col>
          <xdr:colOff>800100</xdr:colOff>
          <xdr:row>53</xdr:row>
          <xdr:rowOff>209550</xdr:rowOff>
        </xdr:to>
        <xdr:sp macro="" textlink="">
          <xdr:nvSpPr>
            <xdr:cNvPr id="4192" name="btnPdf_F-050" hidden="1">
              <a:extLst>
                <a:ext uri="{63B3BB69-23CF-44E3-9099-C40C66FF867C}">
                  <a14:compatExt spid="_x0000_s4192"/>
                </a:ext>
                <a:ext uri="{FF2B5EF4-FFF2-40B4-BE49-F238E27FC236}">
                  <a16:creationId xmlns:a16="http://schemas.microsoft.com/office/drawing/2014/main" id="{00000000-0008-0000-0300-000060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1</xdr:row>
          <xdr:rowOff>190500</xdr:rowOff>
        </xdr:from>
        <xdr:to>
          <xdr:col>5</xdr:col>
          <xdr:colOff>285750</xdr:colOff>
          <xdr:row>3</xdr:row>
          <xdr:rowOff>76200</xdr:rowOff>
        </xdr:to>
        <xdr:sp macro="" textlink="">
          <xdr:nvSpPr>
            <xdr:cNvPr id="5121" name="btn관련FormID이동"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관련 Form ID로 이동</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2143125</xdr:colOff>
          <xdr:row>1</xdr:row>
          <xdr:rowOff>190500</xdr:rowOff>
        </xdr:from>
        <xdr:to>
          <xdr:col>5</xdr:col>
          <xdr:colOff>219075</xdr:colOff>
          <xdr:row>3</xdr:row>
          <xdr:rowOff>76200</xdr:rowOff>
        </xdr:to>
        <xdr:sp macro="" textlink="">
          <xdr:nvSpPr>
            <xdr:cNvPr id="6145" name="btn학교검색"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검색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342900</xdr:colOff>
          <xdr:row>1</xdr:row>
          <xdr:rowOff>190500</xdr:rowOff>
        </xdr:from>
        <xdr:to>
          <xdr:col>8</xdr:col>
          <xdr:colOff>114300</xdr:colOff>
          <xdr:row>3</xdr:row>
          <xdr:rowOff>76200</xdr:rowOff>
        </xdr:to>
        <xdr:sp macro="" textlink="">
          <xdr:nvSpPr>
            <xdr:cNvPr id="6146" name="btn선택학교반영"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선택 학교를 기초자료에 반영</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8193" name="btn목록_서식선택"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8194" name="btn목록_계약방법"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76200</xdr:rowOff>
        </xdr:to>
        <xdr:sp macro="" textlink="">
          <xdr:nvSpPr>
            <xdr:cNvPr id="9217" name="btn목록_서식선택"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76200</xdr:rowOff>
        </xdr:to>
        <xdr:sp macro="" textlink="">
          <xdr:nvSpPr>
            <xdr:cNvPr id="9218" name="btn목록_계약방법"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76200</xdr:rowOff>
        </xdr:to>
        <xdr:sp macro="" textlink="">
          <xdr:nvSpPr>
            <xdr:cNvPr id="10241" name="btn목록_서식선택"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76200</xdr:rowOff>
        </xdr:to>
        <xdr:sp macro="" textlink="">
          <xdr:nvSpPr>
            <xdr:cNvPr id="10242" name="btn목록_계약방법"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11265" name="btn목록_서식선택" hidden="1">
              <a:extLst>
                <a:ext uri="{63B3BB69-23CF-44E3-9099-C40C66FF867C}">
                  <a14:compatExt spid="_x0000_s11265"/>
                </a:ext>
                <a:ext uri="{FF2B5EF4-FFF2-40B4-BE49-F238E27FC236}">
                  <a16:creationId xmlns:a16="http://schemas.microsoft.com/office/drawing/2014/main" id="{00000000-0008-0000-0A00-0000012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11266" name="btn목록_계약방법"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0</xdr:row>
          <xdr:rowOff>228600</xdr:rowOff>
        </xdr:to>
        <xdr:sp macro="" textlink="">
          <xdr:nvSpPr>
            <xdr:cNvPr id="12289" name="btn목록_서식선택"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0</xdr:row>
          <xdr:rowOff>228600</xdr:rowOff>
        </xdr:to>
        <xdr:sp macro="" textlink="">
          <xdr:nvSpPr>
            <xdr:cNvPr id="12290" name="btn목록_계약방법"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13313" name="btn목록_서식선택"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13314" name="btn목록_계약방법"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14337" name="btn목록_서식선택"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14338" name="btn목록_계약방법" hidden="1">
              <a:extLst>
                <a:ext uri="{63B3BB69-23CF-44E3-9099-C40C66FF867C}">
                  <a14:compatExt spid="_x0000_s14338"/>
                </a:ext>
                <a:ext uri="{FF2B5EF4-FFF2-40B4-BE49-F238E27FC236}">
                  <a16:creationId xmlns:a16="http://schemas.microsoft.com/office/drawing/2014/main" id="{00000000-0008-0000-0D00-000002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15361" name="btn목록_서식선택" hidden="1">
              <a:extLst>
                <a:ext uri="{63B3BB69-23CF-44E3-9099-C40C66FF867C}">
                  <a14:compatExt spid="_x0000_s15361"/>
                </a:ext>
                <a:ext uri="{FF2B5EF4-FFF2-40B4-BE49-F238E27FC236}">
                  <a16:creationId xmlns:a16="http://schemas.microsoft.com/office/drawing/2014/main" id="{00000000-0008-0000-0E00-0000013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15362" name="btn목록_계약방법"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16385" name="btn목록_서식선택"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16386" name="btn목록_계약방법"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17409" name="btn목록_서식선택" hidden="1">
              <a:extLst>
                <a:ext uri="{63B3BB69-23CF-44E3-9099-C40C66FF867C}">
                  <a14:compatExt spid="_x0000_s17409"/>
                </a:ext>
                <a:ext uri="{FF2B5EF4-FFF2-40B4-BE49-F238E27FC236}">
                  <a16:creationId xmlns:a16="http://schemas.microsoft.com/office/drawing/2014/main" id="{00000000-0008-0000-1000-0000014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17410" name="btn목록_계약방법" hidden="1">
              <a:extLst>
                <a:ext uri="{63B3BB69-23CF-44E3-9099-C40C66FF867C}">
                  <a14:compatExt spid="_x0000_s17410"/>
                </a:ext>
                <a:ext uri="{FF2B5EF4-FFF2-40B4-BE49-F238E27FC236}">
                  <a16:creationId xmlns:a16="http://schemas.microsoft.com/office/drawing/2014/main" id="{00000000-0008-0000-1000-0000024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18433" name="btn목록_서식선택" hidden="1">
              <a:extLst>
                <a:ext uri="{63B3BB69-23CF-44E3-9099-C40C66FF867C}">
                  <a14:compatExt spid="_x0000_s18433"/>
                </a:ext>
                <a:ext uri="{FF2B5EF4-FFF2-40B4-BE49-F238E27FC236}">
                  <a16:creationId xmlns:a16="http://schemas.microsoft.com/office/drawing/2014/main" id="{00000000-0008-0000-1100-0000014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18434" name="btn목록_계약방법" hidden="1">
              <a:extLst>
                <a:ext uri="{63B3BB69-23CF-44E3-9099-C40C66FF867C}">
                  <a14:compatExt spid="_x0000_s18434"/>
                </a:ext>
                <a:ext uri="{FF2B5EF4-FFF2-40B4-BE49-F238E27FC236}">
                  <a16:creationId xmlns:a16="http://schemas.microsoft.com/office/drawing/2014/main" id="{00000000-0008-0000-1100-0000024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19457" name="btn목록_서식선택"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19458" name="btn목록_계약방법" hidden="1">
              <a:extLst>
                <a:ext uri="{63B3BB69-23CF-44E3-9099-C40C66FF867C}">
                  <a14:compatExt spid="_x0000_s19458"/>
                </a:ext>
                <a:ext uri="{FF2B5EF4-FFF2-40B4-BE49-F238E27FC236}">
                  <a16:creationId xmlns:a16="http://schemas.microsoft.com/office/drawing/2014/main" id="{00000000-0008-0000-1200-0000024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20481" name="btn목록_서식선택"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20482" name="btn목록_계약방법" hidden="1">
              <a:extLst>
                <a:ext uri="{63B3BB69-23CF-44E3-9099-C40C66FF867C}">
                  <a14:compatExt spid="_x0000_s20482"/>
                </a:ext>
                <a:ext uri="{FF2B5EF4-FFF2-40B4-BE49-F238E27FC236}">
                  <a16:creationId xmlns:a16="http://schemas.microsoft.com/office/drawing/2014/main" id="{00000000-0008-0000-1300-0000025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21505" name="btn목록_서식선택"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21506" name="btn목록_계약방법"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22529" name="btn목록_서식선택"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22530" name="btn목록_계약방법" hidden="1">
              <a:extLst>
                <a:ext uri="{63B3BB69-23CF-44E3-9099-C40C66FF867C}">
                  <a14:compatExt spid="_x0000_s22530"/>
                </a:ext>
                <a:ext uri="{FF2B5EF4-FFF2-40B4-BE49-F238E27FC236}">
                  <a16:creationId xmlns:a16="http://schemas.microsoft.com/office/drawing/2014/main" id="{00000000-0008-0000-1500-0000025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23553" name="btn목록_서식선택" hidden="1">
              <a:extLst>
                <a:ext uri="{63B3BB69-23CF-44E3-9099-C40C66FF867C}">
                  <a14:compatExt spid="_x0000_s23553"/>
                </a:ext>
                <a:ext uri="{FF2B5EF4-FFF2-40B4-BE49-F238E27FC236}">
                  <a16:creationId xmlns:a16="http://schemas.microsoft.com/office/drawing/2014/main" id="{00000000-0008-0000-1600-0000015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23554" name="btn목록_계약방법" hidden="1">
              <a:extLst>
                <a:ext uri="{63B3BB69-23CF-44E3-9099-C40C66FF867C}">
                  <a14:compatExt spid="_x0000_s23554"/>
                </a:ext>
                <a:ext uri="{FF2B5EF4-FFF2-40B4-BE49-F238E27FC236}">
                  <a16:creationId xmlns:a16="http://schemas.microsoft.com/office/drawing/2014/main" id="{00000000-0008-0000-1600-0000025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24577" name="btn목록_서식선택" hidden="1">
              <a:extLst>
                <a:ext uri="{63B3BB69-23CF-44E3-9099-C40C66FF867C}">
                  <a14:compatExt spid="_x0000_s24577"/>
                </a:ext>
                <a:ext uri="{FF2B5EF4-FFF2-40B4-BE49-F238E27FC236}">
                  <a16:creationId xmlns:a16="http://schemas.microsoft.com/office/drawing/2014/main" id="{00000000-0008-0000-1700-0000016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24578" name="btn목록_계약방법" hidden="1">
              <a:extLst>
                <a:ext uri="{63B3BB69-23CF-44E3-9099-C40C66FF867C}">
                  <a14:compatExt spid="_x0000_s24578"/>
                </a:ext>
                <a:ext uri="{FF2B5EF4-FFF2-40B4-BE49-F238E27FC236}">
                  <a16:creationId xmlns:a16="http://schemas.microsoft.com/office/drawing/2014/main" id="{00000000-0008-0000-1700-0000026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104775</xdr:rowOff>
        </xdr:to>
        <xdr:sp macro="" textlink="">
          <xdr:nvSpPr>
            <xdr:cNvPr id="25601" name="btn목록_서식선택" hidden="1">
              <a:extLst>
                <a:ext uri="{63B3BB69-23CF-44E3-9099-C40C66FF867C}">
                  <a14:compatExt spid="_x0000_s25601"/>
                </a:ext>
                <a:ext uri="{FF2B5EF4-FFF2-40B4-BE49-F238E27FC236}">
                  <a16:creationId xmlns:a16="http://schemas.microsoft.com/office/drawing/2014/main" id="{00000000-0008-0000-1800-0000016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104775</xdr:rowOff>
        </xdr:to>
        <xdr:sp macro="" textlink="">
          <xdr:nvSpPr>
            <xdr:cNvPr id="25602" name="btn목록_계약방법" hidden="1">
              <a:extLst>
                <a:ext uri="{63B3BB69-23CF-44E3-9099-C40C66FF867C}">
                  <a14:compatExt spid="_x0000_s25602"/>
                </a:ext>
                <a:ext uri="{FF2B5EF4-FFF2-40B4-BE49-F238E27FC236}">
                  <a16:creationId xmlns:a16="http://schemas.microsoft.com/office/drawing/2014/main" id="{00000000-0008-0000-1800-0000026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104775</xdr:rowOff>
        </xdr:to>
        <xdr:sp macro="" textlink="">
          <xdr:nvSpPr>
            <xdr:cNvPr id="26625" name="btn목록_서식선택" hidden="1">
              <a:extLst>
                <a:ext uri="{63B3BB69-23CF-44E3-9099-C40C66FF867C}">
                  <a14:compatExt spid="_x0000_s26625"/>
                </a:ext>
                <a:ext uri="{FF2B5EF4-FFF2-40B4-BE49-F238E27FC236}">
                  <a16:creationId xmlns:a16="http://schemas.microsoft.com/office/drawing/2014/main" id="{00000000-0008-0000-1900-0000016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104775</xdr:rowOff>
        </xdr:to>
        <xdr:sp macro="" textlink="">
          <xdr:nvSpPr>
            <xdr:cNvPr id="26626" name="btn목록_계약방법" hidden="1">
              <a:extLst>
                <a:ext uri="{63B3BB69-23CF-44E3-9099-C40C66FF867C}">
                  <a14:compatExt spid="_x0000_s26626"/>
                </a:ext>
                <a:ext uri="{FF2B5EF4-FFF2-40B4-BE49-F238E27FC236}">
                  <a16:creationId xmlns:a16="http://schemas.microsoft.com/office/drawing/2014/main" id="{00000000-0008-0000-1900-0000026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76200</xdr:rowOff>
        </xdr:to>
        <xdr:sp macro="" textlink="">
          <xdr:nvSpPr>
            <xdr:cNvPr id="27649" name="btn목록_서식선택" hidden="1">
              <a:extLst>
                <a:ext uri="{63B3BB69-23CF-44E3-9099-C40C66FF867C}">
                  <a14:compatExt spid="_x0000_s27649"/>
                </a:ext>
                <a:ext uri="{FF2B5EF4-FFF2-40B4-BE49-F238E27FC236}">
                  <a16:creationId xmlns:a16="http://schemas.microsoft.com/office/drawing/2014/main" id="{00000000-0008-0000-1A00-0000016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76200</xdr:rowOff>
        </xdr:to>
        <xdr:sp macro="" textlink="">
          <xdr:nvSpPr>
            <xdr:cNvPr id="27650" name="btn목록_계약방법" hidden="1">
              <a:extLst>
                <a:ext uri="{63B3BB69-23CF-44E3-9099-C40C66FF867C}">
                  <a14:compatExt spid="_x0000_s27650"/>
                </a:ext>
                <a:ext uri="{FF2B5EF4-FFF2-40B4-BE49-F238E27FC236}">
                  <a16:creationId xmlns:a16="http://schemas.microsoft.com/office/drawing/2014/main" id="{00000000-0008-0000-1A00-0000026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76200</xdr:rowOff>
        </xdr:to>
        <xdr:sp macro="" textlink="">
          <xdr:nvSpPr>
            <xdr:cNvPr id="28673" name="btn목록_서식선택"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76200</xdr:rowOff>
        </xdr:to>
        <xdr:sp macro="" textlink="">
          <xdr:nvSpPr>
            <xdr:cNvPr id="28674" name="btn목록_계약방법" hidden="1">
              <a:extLst>
                <a:ext uri="{63B3BB69-23CF-44E3-9099-C40C66FF867C}">
                  <a14:compatExt spid="_x0000_s28674"/>
                </a:ext>
                <a:ext uri="{FF2B5EF4-FFF2-40B4-BE49-F238E27FC236}">
                  <a16:creationId xmlns:a16="http://schemas.microsoft.com/office/drawing/2014/main" id="{00000000-0008-0000-1B00-0000027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76200</xdr:rowOff>
        </xdr:to>
        <xdr:sp macro="" textlink="">
          <xdr:nvSpPr>
            <xdr:cNvPr id="29697" name="btn목록_서식선택" hidden="1">
              <a:extLst>
                <a:ext uri="{63B3BB69-23CF-44E3-9099-C40C66FF867C}">
                  <a14:compatExt spid="_x0000_s29697"/>
                </a:ext>
                <a:ext uri="{FF2B5EF4-FFF2-40B4-BE49-F238E27FC236}">
                  <a16:creationId xmlns:a16="http://schemas.microsoft.com/office/drawing/2014/main" id="{00000000-0008-0000-1C00-0000017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76200</xdr:rowOff>
        </xdr:to>
        <xdr:sp macro="" textlink="">
          <xdr:nvSpPr>
            <xdr:cNvPr id="29698" name="btn목록_계약방법" hidden="1">
              <a:extLst>
                <a:ext uri="{63B3BB69-23CF-44E3-9099-C40C66FF867C}">
                  <a14:compatExt spid="_x0000_s29698"/>
                </a:ext>
                <a:ext uri="{FF2B5EF4-FFF2-40B4-BE49-F238E27FC236}">
                  <a16:creationId xmlns:a16="http://schemas.microsoft.com/office/drawing/2014/main" id="{00000000-0008-0000-1C00-0000027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30721" name="btn목록_서식선택" hidden="1">
              <a:extLst>
                <a:ext uri="{63B3BB69-23CF-44E3-9099-C40C66FF867C}">
                  <a14:compatExt spid="_x0000_s30721"/>
                </a:ext>
                <a:ext uri="{FF2B5EF4-FFF2-40B4-BE49-F238E27FC236}">
                  <a16:creationId xmlns:a16="http://schemas.microsoft.com/office/drawing/2014/main" id="{00000000-0008-0000-1D00-0000017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30722" name="btn목록_계약방법" hidden="1">
              <a:extLst>
                <a:ext uri="{63B3BB69-23CF-44E3-9099-C40C66FF867C}">
                  <a14:compatExt spid="_x0000_s30722"/>
                </a:ext>
                <a:ext uri="{FF2B5EF4-FFF2-40B4-BE49-F238E27FC236}">
                  <a16:creationId xmlns:a16="http://schemas.microsoft.com/office/drawing/2014/main" id="{00000000-0008-0000-1D00-0000027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76200</xdr:rowOff>
        </xdr:to>
        <xdr:sp macro="" textlink="">
          <xdr:nvSpPr>
            <xdr:cNvPr id="31745" name="btn목록_서식선택" hidden="1">
              <a:extLst>
                <a:ext uri="{63B3BB69-23CF-44E3-9099-C40C66FF867C}">
                  <a14:compatExt spid="_x0000_s31745"/>
                </a:ext>
                <a:ext uri="{FF2B5EF4-FFF2-40B4-BE49-F238E27FC236}">
                  <a16:creationId xmlns:a16="http://schemas.microsoft.com/office/drawing/2014/main" id="{00000000-0008-0000-1E00-0000017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76200</xdr:rowOff>
        </xdr:to>
        <xdr:sp macro="" textlink="">
          <xdr:nvSpPr>
            <xdr:cNvPr id="31746" name="btn목록_계약방법" hidden="1">
              <a:extLst>
                <a:ext uri="{63B3BB69-23CF-44E3-9099-C40C66FF867C}">
                  <a14:compatExt spid="_x0000_s31746"/>
                </a:ext>
                <a:ext uri="{FF2B5EF4-FFF2-40B4-BE49-F238E27FC236}">
                  <a16:creationId xmlns:a16="http://schemas.microsoft.com/office/drawing/2014/main" id="{00000000-0008-0000-1E00-0000027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76200</xdr:rowOff>
        </xdr:to>
        <xdr:sp macro="" textlink="">
          <xdr:nvSpPr>
            <xdr:cNvPr id="32769" name="btn목록_서식선택" hidden="1">
              <a:extLst>
                <a:ext uri="{63B3BB69-23CF-44E3-9099-C40C66FF867C}">
                  <a14:compatExt spid="_x0000_s32769"/>
                </a:ext>
                <a:ext uri="{FF2B5EF4-FFF2-40B4-BE49-F238E27FC236}">
                  <a16:creationId xmlns:a16="http://schemas.microsoft.com/office/drawing/2014/main" id="{00000000-0008-0000-1F00-0000018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76200</xdr:rowOff>
        </xdr:to>
        <xdr:sp macro="" textlink="">
          <xdr:nvSpPr>
            <xdr:cNvPr id="32770" name="btn목록_계약방법" hidden="1">
              <a:extLst>
                <a:ext uri="{63B3BB69-23CF-44E3-9099-C40C66FF867C}">
                  <a14:compatExt spid="_x0000_s32770"/>
                </a:ext>
                <a:ext uri="{FF2B5EF4-FFF2-40B4-BE49-F238E27FC236}">
                  <a16:creationId xmlns:a16="http://schemas.microsoft.com/office/drawing/2014/main" id="{00000000-0008-0000-1F00-0000028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76200</xdr:rowOff>
        </xdr:to>
        <xdr:sp macro="" textlink="">
          <xdr:nvSpPr>
            <xdr:cNvPr id="33793" name="btn목록_서식선택" hidden="1">
              <a:extLst>
                <a:ext uri="{63B3BB69-23CF-44E3-9099-C40C66FF867C}">
                  <a14:compatExt spid="_x0000_s33793"/>
                </a:ext>
                <a:ext uri="{FF2B5EF4-FFF2-40B4-BE49-F238E27FC236}">
                  <a16:creationId xmlns:a16="http://schemas.microsoft.com/office/drawing/2014/main" id="{00000000-0008-0000-2000-0000018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76200</xdr:rowOff>
        </xdr:to>
        <xdr:sp macro="" textlink="">
          <xdr:nvSpPr>
            <xdr:cNvPr id="33794" name="btn목록_계약방법" hidden="1">
              <a:extLst>
                <a:ext uri="{63B3BB69-23CF-44E3-9099-C40C66FF867C}">
                  <a14:compatExt spid="_x0000_s33794"/>
                </a:ext>
                <a:ext uri="{FF2B5EF4-FFF2-40B4-BE49-F238E27FC236}">
                  <a16:creationId xmlns:a16="http://schemas.microsoft.com/office/drawing/2014/main" id="{00000000-0008-0000-2000-0000028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104775</xdr:rowOff>
        </xdr:to>
        <xdr:sp macro="" textlink="">
          <xdr:nvSpPr>
            <xdr:cNvPr id="34817" name="btn목록_서식선택" hidden="1">
              <a:extLst>
                <a:ext uri="{63B3BB69-23CF-44E3-9099-C40C66FF867C}">
                  <a14:compatExt spid="_x0000_s34817"/>
                </a:ext>
                <a:ext uri="{FF2B5EF4-FFF2-40B4-BE49-F238E27FC236}">
                  <a16:creationId xmlns:a16="http://schemas.microsoft.com/office/drawing/2014/main" id="{00000000-0008-0000-2100-0000018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104775</xdr:rowOff>
        </xdr:to>
        <xdr:sp macro="" textlink="">
          <xdr:nvSpPr>
            <xdr:cNvPr id="34818" name="btn목록_계약방법" hidden="1">
              <a:extLst>
                <a:ext uri="{63B3BB69-23CF-44E3-9099-C40C66FF867C}">
                  <a14:compatExt spid="_x0000_s34818"/>
                </a:ext>
                <a:ext uri="{FF2B5EF4-FFF2-40B4-BE49-F238E27FC236}">
                  <a16:creationId xmlns:a16="http://schemas.microsoft.com/office/drawing/2014/main" id="{00000000-0008-0000-2100-0000028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76200</xdr:rowOff>
        </xdr:to>
        <xdr:sp macro="" textlink="">
          <xdr:nvSpPr>
            <xdr:cNvPr id="35841" name="btn목록_서식선택" hidden="1">
              <a:extLst>
                <a:ext uri="{63B3BB69-23CF-44E3-9099-C40C66FF867C}">
                  <a14:compatExt spid="_x0000_s35841"/>
                </a:ext>
                <a:ext uri="{FF2B5EF4-FFF2-40B4-BE49-F238E27FC236}">
                  <a16:creationId xmlns:a16="http://schemas.microsoft.com/office/drawing/2014/main" id="{00000000-0008-0000-2200-0000018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76200</xdr:rowOff>
        </xdr:to>
        <xdr:sp macro="" textlink="">
          <xdr:nvSpPr>
            <xdr:cNvPr id="35842" name="btn목록_계약방법" hidden="1">
              <a:extLst>
                <a:ext uri="{63B3BB69-23CF-44E3-9099-C40C66FF867C}">
                  <a14:compatExt spid="_x0000_s35842"/>
                </a:ext>
                <a:ext uri="{FF2B5EF4-FFF2-40B4-BE49-F238E27FC236}">
                  <a16:creationId xmlns:a16="http://schemas.microsoft.com/office/drawing/2014/main" id="{00000000-0008-0000-2200-0000028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36865" name="btn목록_서식선택" hidden="1">
              <a:extLst>
                <a:ext uri="{63B3BB69-23CF-44E3-9099-C40C66FF867C}">
                  <a14:compatExt spid="_x0000_s36865"/>
                </a:ext>
                <a:ext uri="{FF2B5EF4-FFF2-40B4-BE49-F238E27FC236}">
                  <a16:creationId xmlns:a16="http://schemas.microsoft.com/office/drawing/2014/main" id="{00000000-0008-0000-2300-0000019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36866" name="btn목록_계약방법" hidden="1">
              <a:extLst>
                <a:ext uri="{63B3BB69-23CF-44E3-9099-C40C66FF867C}">
                  <a14:compatExt spid="_x0000_s36866"/>
                </a:ext>
                <a:ext uri="{FF2B5EF4-FFF2-40B4-BE49-F238E27FC236}">
                  <a16:creationId xmlns:a16="http://schemas.microsoft.com/office/drawing/2014/main" id="{00000000-0008-0000-2300-0000029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37889" name="btn목록_서식선택" hidden="1">
              <a:extLst>
                <a:ext uri="{63B3BB69-23CF-44E3-9099-C40C66FF867C}">
                  <a14:compatExt spid="_x0000_s37889"/>
                </a:ext>
                <a:ext uri="{FF2B5EF4-FFF2-40B4-BE49-F238E27FC236}">
                  <a16:creationId xmlns:a16="http://schemas.microsoft.com/office/drawing/2014/main" id="{00000000-0008-0000-2400-0000019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37890" name="btn목록_계약방법" hidden="1">
              <a:extLst>
                <a:ext uri="{63B3BB69-23CF-44E3-9099-C40C66FF867C}">
                  <a14:compatExt spid="_x0000_s37890"/>
                </a:ext>
                <a:ext uri="{FF2B5EF4-FFF2-40B4-BE49-F238E27FC236}">
                  <a16:creationId xmlns:a16="http://schemas.microsoft.com/office/drawing/2014/main" id="{00000000-0008-0000-2400-0000029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38913" name="btn목록_서식선택" hidden="1">
              <a:extLst>
                <a:ext uri="{63B3BB69-23CF-44E3-9099-C40C66FF867C}">
                  <a14:compatExt spid="_x0000_s38913"/>
                </a:ext>
                <a:ext uri="{FF2B5EF4-FFF2-40B4-BE49-F238E27FC236}">
                  <a16:creationId xmlns:a16="http://schemas.microsoft.com/office/drawing/2014/main" id="{00000000-0008-0000-2500-0000019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38914" name="btn목록_계약방법" hidden="1">
              <a:extLst>
                <a:ext uri="{63B3BB69-23CF-44E3-9099-C40C66FF867C}">
                  <a14:compatExt spid="_x0000_s38914"/>
                </a:ext>
                <a:ext uri="{FF2B5EF4-FFF2-40B4-BE49-F238E27FC236}">
                  <a16:creationId xmlns:a16="http://schemas.microsoft.com/office/drawing/2014/main" id="{00000000-0008-0000-2500-0000029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39937" name="btn목록_서식선택" hidden="1">
              <a:extLst>
                <a:ext uri="{63B3BB69-23CF-44E3-9099-C40C66FF867C}">
                  <a14:compatExt spid="_x0000_s39937"/>
                </a:ext>
                <a:ext uri="{FF2B5EF4-FFF2-40B4-BE49-F238E27FC236}">
                  <a16:creationId xmlns:a16="http://schemas.microsoft.com/office/drawing/2014/main" id="{00000000-0008-0000-2600-0000019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39938" name="btn목록_계약방법" hidden="1">
              <a:extLst>
                <a:ext uri="{63B3BB69-23CF-44E3-9099-C40C66FF867C}">
                  <a14:compatExt spid="_x0000_s39938"/>
                </a:ext>
                <a:ext uri="{FF2B5EF4-FFF2-40B4-BE49-F238E27FC236}">
                  <a16:creationId xmlns:a16="http://schemas.microsoft.com/office/drawing/2014/main" id="{00000000-0008-0000-2600-0000029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40961" name="btn목록_서식선택" hidden="1">
              <a:extLst>
                <a:ext uri="{63B3BB69-23CF-44E3-9099-C40C66FF867C}">
                  <a14:compatExt spid="_x0000_s40961"/>
                </a:ext>
                <a:ext uri="{FF2B5EF4-FFF2-40B4-BE49-F238E27FC236}">
                  <a16:creationId xmlns:a16="http://schemas.microsoft.com/office/drawing/2014/main" id="{00000000-0008-0000-2700-000001A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40962" name="btn목록_계약방법" hidden="1">
              <a:extLst>
                <a:ext uri="{63B3BB69-23CF-44E3-9099-C40C66FF867C}">
                  <a14:compatExt spid="_x0000_s40962"/>
                </a:ext>
                <a:ext uri="{FF2B5EF4-FFF2-40B4-BE49-F238E27FC236}">
                  <a16:creationId xmlns:a16="http://schemas.microsoft.com/office/drawing/2014/main" id="{00000000-0008-0000-2700-000002A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41985" name="btn목록_서식선택" hidden="1">
              <a:extLst>
                <a:ext uri="{63B3BB69-23CF-44E3-9099-C40C66FF867C}">
                  <a14:compatExt spid="_x0000_s41985"/>
                </a:ext>
                <a:ext uri="{FF2B5EF4-FFF2-40B4-BE49-F238E27FC236}">
                  <a16:creationId xmlns:a16="http://schemas.microsoft.com/office/drawing/2014/main" id="{00000000-0008-0000-2800-000001A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41986" name="btn목록_계약방법" hidden="1">
              <a:extLst>
                <a:ext uri="{63B3BB69-23CF-44E3-9099-C40C66FF867C}">
                  <a14:compatExt spid="_x0000_s41986"/>
                </a:ext>
                <a:ext uri="{FF2B5EF4-FFF2-40B4-BE49-F238E27FC236}">
                  <a16:creationId xmlns:a16="http://schemas.microsoft.com/office/drawing/2014/main" id="{00000000-0008-0000-2800-000002A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43009" name="btn목록_서식선택" hidden="1">
              <a:extLst>
                <a:ext uri="{63B3BB69-23CF-44E3-9099-C40C66FF867C}">
                  <a14:compatExt spid="_x0000_s43009"/>
                </a:ext>
                <a:ext uri="{FF2B5EF4-FFF2-40B4-BE49-F238E27FC236}">
                  <a16:creationId xmlns:a16="http://schemas.microsoft.com/office/drawing/2014/main" id="{00000000-0008-0000-2900-000001A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43010" name="btn목록_계약방법" hidden="1">
              <a:extLst>
                <a:ext uri="{63B3BB69-23CF-44E3-9099-C40C66FF867C}">
                  <a14:compatExt spid="_x0000_s43010"/>
                </a:ext>
                <a:ext uri="{FF2B5EF4-FFF2-40B4-BE49-F238E27FC236}">
                  <a16:creationId xmlns:a16="http://schemas.microsoft.com/office/drawing/2014/main" id="{00000000-0008-0000-2900-000002A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44033" name="btn목록_서식선택" hidden="1">
              <a:extLst>
                <a:ext uri="{63B3BB69-23CF-44E3-9099-C40C66FF867C}">
                  <a14:compatExt spid="_x0000_s44033"/>
                </a:ext>
                <a:ext uri="{FF2B5EF4-FFF2-40B4-BE49-F238E27FC236}">
                  <a16:creationId xmlns:a16="http://schemas.microsoft.com/office/drawing/2014/main" id="{00000000-0008-0000-2A00-000001A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44034" name="btn목록_계약방법" hidden="1">
              <a:extLst>
                <a:ext uri="{63B3BB69-23CF-44E3-9099-C40C66FF867C}">
                  <a14:compatExt spid="_x0000_s44034"/>
                </a:ext>
                <a:ext uri="{FF2B5EF4-FFF2-40B4-BE49-F238E27FC236}">
                  <a16:creationId xmlns:a16="http://schemas.microsoft.com/office/drawing/2014/main" id="{00000000-0008-0000-2A00-000002A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45057" name="btn목록_서식선택" hidden="1">
              <a:extLst>
                <a:ext uri="{63B3BB69-23CF-44E3-9099-C40C66FF867C}">
                  <a14:compatExt spid="_x0000_s45057"/>
                </a:ext>
                <a:ext uri="{FF2B5EF4-FFF2-40B4-BE49-F238E27FC236}">
                  <a16:creationId xmlns:a16="http://schemas.microsoft.com/office/drawing/2014/main" id="{00000000-0008-0000-2B00-000001B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45058" name="btn목록_계약방법" hidden="1">
              <a:extLst>
                <a:ext uri="{63B3BB69-23CF-44E3-9099-C40C66FF867C}">
                  <a14:compatExt spid="_x0000_s45058"/>
                </a:ext>
                <a:ext uri="{FF2B5EF4-FFF2-40B4-BE49-F238E27FC236}">
                  <a16:creationId xmlns:a16="http://schemas.microsoft.com/office/drawing/2014/main" id="{00000000-0008-0000-2B00-000002B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46081" name="btn목록_서식선택" hidden="1">
              <a:extLst>
                <a:ext uri="{63B3BB69-23CF-44E3-9099-C40C66FF867C}">
                  <a14:compatExt spid="_x0000_s46081"/>
                </a:ext>
                <a:ext uri="{FF2B5EF4-FFF2-40B4-BE49-F238E27FC236}">
                  <a16:creationId xmlns:a16="http://schemas.microsoft.com/office/drawing/2014/main" id="{00000000-0008-0000-2C00-000001B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46082" name="btn목록_계약방법" hidden="1">
              <a:extLst>
                <a:ext uri="{63B3BB69-23CF-44E3-9099-C40C66FF867C}">
                  <a14:compatExt spid="_x0000_s46082"/>
                </a:ext>
                <a:ext uri="{FF2B5EF4-FFF2-40B4-BE49-F238E27FC236}">
                  <a16:creationId xmlns:a16="http://schemas.microsoft.com/office/drawing/2014/main" id="{00000000-0008-0000-2C00-000002B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47105" name="btn목록_서식선택" hidden="1">
              <a:extLst>
                <a:ext uri="{63B3BB69-23CF-44E3-9099-C40C66FF867C}">
                  <a14:compatExt spid="_x0000_s47105"/>
                </a:ext>
                <a:ext uri="{FF2B5EF4-FFF2-40B4-BE49-F238E27FC236}">
                  <a16:creationId xmlns:a16="http://schemas.microsoft.com/office/drawing/2014/main" id="{00000000-0008-0000-2D00-000001B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47106" name="btn목록_계약방법" hidden="1">
              <a:extLst>
                <a:ext uri="{63B3BB69-23CF-44E3-9099-C40C66FF867C}">
                  <a14:compatExt spid="_x0000_s47106"/>
                </a:ext>
                <a:ext uri="{FF2B5EF4-FFF2-40B4-BE49-F238E27FC236}">
                  <a16:creationId xmlns:a16="http://schemas.microsoft.com/office/drawing/2014/main" id="{00000000-0008-0000-2D00-000002B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48129" name="btn목록_서식선택" hidden="1">
              <a:extLst>
                <a:ext uri="{63B3BB69-23CF-44E3-9099-C40C66FF867C}">
                  <a14:compatExt spid="_x0000_s48129"/>
                </a:ext>
                <a:ext uri="{FF2B5EF4-FFF2-40B4-BE49-F238E27FC236}">
                  <a16:creationId xmlns:a16="http://schemas.microsoft.com/office/drawing/2014/main" id="{00000000-0008-0000-2E00-000001B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48130" name="btn목록_계약방법" hidden="1">
              <a:extLst>
                <a:ext uri="{63B3BB69-23CF-44E3-9099-C40C66FF867C}">
                  <a14:compatExt spid="_x0000_s48130"/>
                </a:ext>
                <a:ext uri="{FF2B5EF4-FFF2-40B4-BE49-F238E27FC236}">
                  <a16:creationId xmlns:a16="http://schemas.microsoft.com/office/drawing/2014/main" id="{00000000-0008-0000-2E00-000002B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49153" name="btn목록_서식선택" hidden="1">
              <a:extLst>
                <a:ext uri="{63B3BB69-23CF-44E3-9099-C40C66FF867C}">
                  <a14:compatExt spid="_x0000_s49153"/>
                </a:ext>
                <a:ext uri="{FF2B5EF4-FFF2-40B4-BE49-F238E27FC236}">
                  <a16:creationId xmlns:a16="http://schemas.microsoft.com/office/drawing/2014/main" id="{00000000-0008-0000-2F00-000001C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49154" name="btn목록_계약방법" hidden="1">
              <a:extLst>
                <a:ext uri="{63B3BB69-23CF-44E3-9099-C40C66FF867C}">
                  <a14:compatExt spid="_x0000_s49154"/>
                </a:ext>
                <a:ext uri="{FF2B5EF4-FFF2-40B4-BE49-F238E27FC236}">
                  <a16:creationId xmlns:a16="http://schemas.microsoft.com/office/drawing/2014/main" id="{00000000-0008-0000-2F00-000002C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50177" name="btn목록_서식선택" hidden="1">
              <a:extLst>
                <a:ext uri="{63B3BB69-23CF-44E3-9099-C40C66FF867C}">
                  <a14:compatExt spid="_x0000_s50177"/>
                </a:ext>
                <a:ext uri="{FF2B5EF4-FFF2-40B4-BE49-F238E27FC236}">
                  <a16:creationId xmlns:a16="http://schemas.microsoft.com/office/drawing/2014/main" id="{00000000-0008-0000-3000-000001C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50178" name="btn목록_계약방법" hidden="1">
              <a:extLst>
                <a:ext uri="{63B3BB69-23CF-44E3-9099-C40C66FF867C}">
                  <a14:compatExt spid="_x0000_s50178"/>
                </a:ext>
                <a:ext uri="{FF2B5EF4-FFF2-40B4-BE49-F238E27FC236}">
                  <a16:creationId xmlns:a16="http://schemas.microsoft.com/office/drawing/2014/main" id="{00000000-0008-0000-3000-000002C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51201" name="btn목록_서식선택" hidden="1">
              <a:extLst>
                <a:ext uri="{63B3BB69-23CF-44E3-9099-C40C66FF867C}">
                  <a14:compatExt spid="_x0000_s51201"/>
                </a:ext>
                <a:ext uri="{FF2B5EF4-FFF2-40B4-BE49-F238E27FC236}">
                  <a16:creationId xmlns:a16="http://schemas.microsoft.com/office/drawing/2014/main" id="{00000000-0008-0000-3100-000001C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51202" name="btn목록_계약방법" hidden="1">
              <a:extLst>
                <a:ext uri="{63B3BB69-23CF-44E3-9099-C40C66FF867C}">
                  <a14:compatExt spid="_x0000_s51202"/>
                </a:ext>
                <a:ext uri="{FF2B5EF4-FFF2-40B4-BE49-F238E27FC236}">
                  <a16:creationId xmlns:a16="http://schemas.microsoft.com/office/drawing/2014/main" id="{00000000-0008-0000-3100-000002C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52225" name="btn목록_서식선택" hidden="1">
              <a:extLst>
                <a:ext uri="{63B3BB69-23CF-44E3-9099-C40C66FF867C}">
                  <a14:compatExt spid="_x0000_s52225"/>
                </a:ext>
                <a:ext uri="{FF2B5EF4-FFF2-40B4-BE49-F238E27FC236}">
                  <a16:creationId xmlns:a16="http://schemas.microsoft.com/office/drawing/2014/main" id="{00000000-0008-0000-3200-000001C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52226" name="btn목록_계약방법" hidden="1">
              <a:extLst>
                <a:ext uri="{63B3BB69-23CF-44E3-9099-C40C66FF867C}">
                  <a14:compatExt spid="_x0000_s52226"/>
                </a:ext>
                <a:ext uri="{FF2B5EF4-FFF2-40B4-BE49-F238E27FC236}">
                  <a16:creationId xmlns:a16="http://schemas.microsoft.com/office/drawing/2014/main" id="{00000000-0008-0000-3200-000002C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53249" name="btn목록_서식선택" hidden="1">
              <a:extLst>
                <a:ext uri="{63B3BB69-23CF-44E3-9099-C40C66FF867C}">
                  <a14:compatExt spid="_x0000_s53249"/>
                </a:ext>
                <a:ext uri="{FF2B5EF4-FFF2-40B4-BE49-F238E27FC236}">
                  <a16:creationId xmlns:a16="http://schemas.microsoft.com/office/drawing/2014/main" id="{00000000-0008-0000-3300-000001D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53250" name="btn목록_계약방법" hidden="1">
              <a:extLst>
                <a:ext uri="{63B3BB69-23CF-44E3-9099-C40C66FF867C}">
                  <a14:compatExt spid="_x0000_s53250"/>
                </a:ext>
                <a:ext uri="{FF2B5EF4-FFF2-40B4-BE49-F238E27FC236}">
                  <a16:creationId xmlns:a16="http://schemas.microsoft.com/office/drawing/2014/main" id="{00000000-0008-0000-3300-000002D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581025</xdr:colOff>
          <xdr:row>1</xdr:row>
          <xdr:rowOff>19050</xdr:rowOff>
        </xdr:to>
        <xdr:sp macro="" textlink="">
          <xdr:nvSpPr>
            <xdr:cNvPr id="54273" name="btn목록_서식선택" hidden="1">
              <a:extLst>
                <a:ext uri="{63B3BB69-23CF-44E3-9099-C40C66FF867C}">
                  <a14:compatExt spid="_x0000_s54273"/>
                </a:ext>
                <a:ext uri="{FF2B5EF4-FFF2-40B4-BE49-F238E27FC236}">
                  <a16:creationId xmlns:a16="http://schemas.microsoft.com/office/drawing/2014/main" id="{00000000-0008-0000-3400-000001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542925</xdr:colOff>
          <xdr:row>1</xdr:row>
          <xdr:rowOff>19050</xdr:rowOff>
        </xdr:to>
        <xdr:sp macro="" textlink="">
          <xdr:nvSpPr>
            <xdr:cNvPr id="54274" name="btn목록_계약방법" hidden="1">
              <a:extLst>
                <a:ext uri="{63B3BB69-23CF-44E3-9099-C40C66FF867C}">
                  <a14:compatExt spid="_x0000_s54274"/>
                </a:ext>
                <a:ext uri="{FF2B5EF4-FFF2-40B4-BE49-F238E27FC236}">
                  <a16:creationId xmlns:a16="http://schemas.microsoft.com/office/drawing/2014/main" id="{00000000-0008-0000-3400-000002D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2.xml"/><Relationship Id="rId3" Type="http://schemas.openxmlformats.org/officeDocument/2006/relationships/ctrlProp" Target="../ctrlProps/ctrlProp107.xml"/><Relationship Id="rId7" Type="http://schemas.openxmlformats.org/officeDocument/2006/relationships/ctrlProp" Target="../ctrlProps/ctrlProp11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110.xml"/><Relationship Id="rId5" Type="http://schemas.openxmlformats.org/officeDocument/2006/relationships/ctrlProp" Target="../ctrlProps/ctrlProp109.xml"/><Relationship Id="rId4" Type="http://schemas.openxmlformats.org/officeDocument/2006/relationships/ctrlProp" Target="../ctrlProps/ctrlProp108.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36.xml"/><Relationship Id="rId21" Type="http://schemas.openxmlformats.org/officeDocument/2006/relationships/ctrlProp" Target="../ctrlProps/ctrlProp131.xml"/><Relationship Id="rId42" Type="http://schemas.openxmlformats.org/officeDocument/2006/relationships/ctrlProp" Target="../ctrlProps/ctrlProp152.xml"/><Relationship Id="rId47" Type="http://schemas.openxmlformats.org/officeDocument/2006/relationships/ctrlProp" Target="../ctrlProps/ctrlProp157.xml"/><Relationship Id="rId63" Type="http://schemas.openxmlformats.org/officeDocument/2006/relationships/ctrlProp" Target="../ctrlProps/ctrlProp173.xml"/><Relationship Id="rId68" Type="http://schemas.openxmlformats.org/officeDocument/2006/relationships/ctrlProp" Target="../ctrlProps/ctrlProp178.xml"/><Relationship Id="rId84" Type="http://schemas.openxmlformats.org/officeDocument/2006/relationships/ctrlProp" Target="../ctrlProps/ctrlProp194.xml"/><Relationship Id="rId89" Type="http://schemas.openxmlformats.org/officeDocument/2006/relationships/ctrlProp" Target="../ctrlProps/ctrlProp199.xml"/><Relationship Id="rId16" Type="http://schemas.openxmlformats.org/officeDocument/2006/relationships/ctrlProp" Target="../ctrlProps/ctrlProp126.xml"/><Relationship Id="rId11" Type="http://schemas.openxmlformats.org/officeDocument/2006/relationships/ctrlProp" Target="../ctrlProps/ctrlProp121.xml"/><Relationship Id="rId32" Type="http://schemas.openxmlformats.org/officeDocument/2006/relationships/ctrlProp" Target="../ctrlProps/ctrlProp142.xml"/><Relationship Id="rId37" Type="http://schemas.openxmlformats.org/officeDocument/2006/relationships/ctrlProp" Target="../ctrlProps/ctrlProp147.xml"/><Relationship Id="rId53" Type="http://schemas.openxmlformats.org/officeDocument/2006/relationships/ctrlProp" Target="../ctrlProps/ctrlProp163.xml"/><Relationship Id="rId58" Type="http://schemas.openxmlformats.org/officeDocument/2006/relationships/ctrlProp" Target="../ctrlProps/ctrlProp168.xml"/><Relationship Id="rId74" Type="http://schemas.openxmlformats.org/officeDocument/2006/relationships/ctrlProp" Target="../ctrlProps/ctrlProp184.xml"/><Relationship Id="rId79" Type="http://schemas.openxmlformats.org/officeDocument/2006/relationships/ctrlProp" Target="../ctrlProps/ctrlProp189.xml"/><Relationship Id="rId5" Type="http://schemas.openxmlformats.org/officeDocument/2006/relationships/ctrlProp" Target="../ctrlProps/ctrlProp115.xml"/><Relationship Id="rId90" Type="http://schemas.openxmlformats.org/officeDocument/2006/relationships/ctrlProp" Target="../ctrlProps/ctrlProp200.xml"/><Relationship Id="rId95" Type="http://schemas.openxmlformats.org/officeDocument/2006/relationships/ctrlProp" Target="../ctrlProps/ctrlProp205.xml"/><Relationship Id="rId22" Type="http://schemas.openxmlformats.org/officeDocument/2006/relationships/ctrlProp" Target="../ctrlProps/ctrlProp132.xml"/><Relationship Id="rId27" Type="http://schemas.openxmlformats.org/officeDocument/2006/relationships/ctrlProp" Target="../ctrlProps/ctrlProp137.xml"/><Relationship Id="rId43" Type="http://schemas.openxmlformats.org/officeDocument/2006/relationships/ctrlProp" Target="../ctrlProps/ctrlProp153.xml"/><Relationship Id="rId48" Type="http://schemas.openxmlformats.org/officeDocument/2006/relationships/ctrlProp" Target="../ctrlProps/ctrlProp158.xml"/><Relationship Id="rId64" Type="http://schemas.openxmlformats.org/officeDocument/2006/relationships/ctrlProp" Target="../ctrlProps/ctrlProp174.xml"/><Relationship Id="rId69" Type="http://schemas.openxmlformats.org/officeDocument/2006/relationships/ctrlProp" Target="../ctrlProps/ctrlProp179.xml"/><Relationship Id="rId80" Type="http://schemas.openxmlformats.org/officeDocument/2006/relationships/ctrlProp" Target="../ctrlProps/ctrlProp190.xml"/><Relationship Id="rId85" Type="http://schemas.openxmlformats.org/officeDocument/2006/relationships/ctrlProp" Target="../ctrlProps/ctrlProp195.xml"/><Relationship Id="rId3" Type="http://schemas.openxmlformats.org/officeDocument/2006/relationships/ctrlProp" Target="../ctrlProps/ctrlProp113.xml"/><Relationship Id="rId12" Type="http://schemas.openxmlformats.org/officeDocument/2006/relationships/ctrlProp" Target="../ctrlProps/ctrlProp122.xml"/><Relationship Id="rId17" Type="http://schemas.openxmlformats.org/officeDocument/2006/relationships/ctrlProp" Target="../ctrlProps/ctrlProp127.xml"/><Relationship Id="rId25" Type="http://schemas.openxmlformats.org/officeDocument/2006/relationships/ctrlProp" Target="../ctrlProps/ctrlProp135.xml"/><Relationship Id="rId33" Type="http://schemas.openxmlformats.org/officeDocument/2006/relationships/ctrlProp" Target="../ctrlProps/ctrlProp143.xml"/><Relationship Id="rId38" Type="http://schemas.openxmlformats.org/officeDocument/2006/relationships/ctrlProp" Target="../ctrlProps/ctrlProp148.xml"/><Relationship Id="rId46" Type="http://schemas.openxmlformats.org/officeDocument/2006/relationships/ctrlProp" Target="../ctrlProps/ctrlProp156.xml"/><Relationship Id="rId59" Type="http://schemas.openxmlformats.org/officeDocument/2006/relationships/ctrlProp" Target="../ctrlProps/ctrlProp169.xml"/><Relationship Id="rId67" Type="http://schemas.openxmlformats.org/officeDocument/2006/relationships/ctrlProp" Target="../ctrlProps/ctrlProp177.xml"/><Relationship Id="rId20" Type="http://schemas.openxmlformats.org/officeDocument/2006/relationships/ctrlProp" Target="../ctrlProps/ctrlProp130.xml"/><Relationship Id="rId41" Type="http://schemas.openxmlformats.org/officeDocument/2006/relationships/ctrlProp" Target="../ctrlProps/ctrlProp151.xml"/><Relationship Id="rId54" Type="http://schemas.openxmlformats.org/officeDocument/2006/relationships/ctrlProp" Target="../ctrlProps/ctrlProp164.xml"/><Relationship Id="rId62" Type="http://schemas.openxmlformats.org/officeDocument/2006/relationships/ctrlProp" Target="../ctrlProps/ctrlProp172.xml"/><Relationship Id="rId70" Type="http://schemas.openxmlformats.org/officeDocument/2006/relationships/ctrlProp" Target="../ctrlProps/ctrlProp180.xml"/><Relationship Id="rId75" Type="http://schemas.openxmlformats.org/officeDocument/2006/relationships/ctrlProp" Target="../ctrlProps/ctrlProp185.xml"/><Relationship Id="rId83" Type="http://schemas.openxmlformats.org/officeDocument/2006/relationships/ctrlProp" Target="../ctrlProps/ctrlProp193.xml"/><Relationship Id="rId88" Type="http://schemas.openxmlformats.org/officeDocument/2006/relationships/ctrlProp" Target="../ctrlProps/ctrlProp198.xml"/><Relationship Id="rId91" Type="http://schemas.openxmlformats.org/officeDocument/2006/relationships/ctrlProp" Target="../ctrlProps/ctrlProp201.xml"/><Relationship Id="rId96" Type="http://schemas.openxmlformats.org/officeDocument/2006/relationships/ctrlProp" Target="../ctrlProps/ctrlProp206.xml"/><Relationship Id="rId1" Type="http://schemas.openxmlformats.org/officeDocument/2006/relationships/drawing" Target="../drawings/drawing3.xml"/><Relationship Id="rId6" Type="http://schemas.openxmlformats.org/officeDocument/2006/relationships/ctrlProp" Target="../ctrlProps/ctrlProp116.xml"/><Relationship Id="rId15" Type="http://schemas.openxmlformats.org/officeDocument/2006/relationships/ctrlProp" Target="../ctrlProps/ctrlProp125.xml"/><Relationship Id="rId23" Type="http://schemas.openxmlformats.org/officeDocument/2006/relationships/ctrlProp" Target="../ctrlProps/ctrlProp133.xml"/><Relationship Id="rId28" Type="http://schemas.openxmlformats.org/officeDocument/2006/relationships/ctrlProp" Target="../ctrlProps/ctrlProp138.xml"/><Relationship Id="rId36" Type="http://schemas.openxmlformats.org/officeDocument/2006/relationships/ctrlProp" Target="../ctrlProps/ctrlProp146.xml"/><Relationship Id="rId49" Type="http://schemas.openxmlformats.org/officeDocument/2006/relationships/ctrlProp" Target="../ctrlProps/ctrlProp159.xml"/><Relationship Id="rId57" Type="http://schemas.openxmlformats.org/officeDocument/2006/relationships/ctrlProp" Target="../ctrlProps/ctrlProp167.xml"/><Relationship Id="rId10" Type="http://schemas.openxmlformats.org/officeDocument/2006/relationships/ctrlProp" Target="../ctrlProps/ctrlProp120.xml"/><Relationship Id="rId31" Type="http://schemas.openxmlformats.org/officeDocument/2006/relationships/ctrlProp" Target="../ctrlProps/ctrlProp141.xml"/><Relationship Id="rId44" Type="http://schemas.openxmlformats.org/officeDocument/2006/relationships/ctrlProp" Target="../ctrlProps/ctrlProp154.xml"/><Relationship Id="rId52" Type="http://schemas.openxmlformats.org/officeDocument/2006/relationships/ctrlProp" Target="../ctrlProps/ctrlProp162.xml"/><Relationship Id="rId60" Type="http://schemas.openxmlformats.org/officeDocument/2006/relationships/ctrlProp" Target="../ctrlProps/ctrlProp170.xml"/><Relationship Id="rId65" Type="http://schemas.openxmlformats.org/officeDocument/2006/relationships/ctrlProp" Target="../ctrlProps/ctrlProp175.xml"/><Relationship Id="rId73" Type="http://schemas.openxmlformats.org/officeDocument/2006/relationships/ctrlProp" Target="../ctrlProps/ctrlProp183.xml"/><Relationship Id="rId78" Type="http://schemas.openxmlformats.org/officeDocument/2006/relationships/ctrlProp" Target="../ctrlProps/ctrlProp188.xml"/><Relationship Id="rId81" Type="http://schemas.openxmlformats.org/officeDocument/2006/relationships/ctrlProp" Target="../ctrlProps/ctrlProp191.xml"/><Relationship Id="rId86" Type="http://schemas.openxmlformats.org/officeDocument/2006/relationships/ctrlProp" Target="../ctrlProps/ctrlProp196.xml"/><Relationship Id="rId94" Type="http://schemas.openxmlformats.org/officeDocument/2006/relationships/ctrlProp" Target="../ctrlProps/ctrlProp204.xml"/><Relationship Id="rId4" Type="http://schemas.openxmlformats.org/officeDocument/2006/relationships/ctrlProp" Target="../ctrlProps/ctrlProp114.xml"/><Relationship Id="rId9" Type="http://schemas.openxmlformats.org/officeDocument/2006/relationships/ctrlProp" Target="../ctrlProps/ctrlProp119.xml"/><Relationship Id="rId13" Type="http://schemas.openxmlformats.org/officeDocument/2006/relationships/ctrlProp" Target="../ctrlProps/ctrlProp123.xml"/><Relationship Id="rId18" Type="http://schemas.openxmlformats.org/officeDocument/2006/relationships/ctrlProp" Target="../ctrlProps/ctrlProp128.xml"/><Relationship Id="rId39" Type="http://schemas.openxmlformats.org/officeDocument/2006/relationships/ctrlProp" Target="../ctrlProps/ctrlProp149.xml"/><Relationship Id="rId34" Type="http://schemas.openxmlformats.org/officeDocument/2006/relationships/ctrlProp" Target="../ctrlProps/ctrlProp144.xml"/><Relationship Id="rId50" Type="http://schemas.openxmlformats.org/officeDocument/2006/relationships/ctrlProp" Target="../ctrlProps/ctrlProp160.xml"/><Relationship Id="rId55" Type="http://schemas.openxmlformats.org/officeDocument/2006/relationships/ctrlProp" Target="../ctrlProps/ctrlProp165.xml"/><Relationship Id="rId76" Type="http://schemas.openxmlformats.org/officeDocument/2006/relationships/ctrlProp" Target="../ctrlProps/ctrlProp186.xml"/><Relationship Id="rId97" Type="http://schemas.openxmlformats.org/officeDocument/2006/relationships/ctrlProp" Target="../ctrlProps/ctrlProp207.xml"/><Relationship Id="rId7" Type="http://schemas.openxmlformats.org/officeDocument/2006/relationships/ctrlProp" Target="../ctrlProps/ctrlProp117.xml"/><Relationship Id="rId71" Type="http://schemas.openxmlformats.org/officeDocument/2006/relationships/ctrlProp" Target="../ctrlProps/ctrlProp181.xml"/><Relationship Id="rId92" Type="http://schemas.openxmlformats.org/officeDocument/2006/relationships/ctrlProp" Target="../ctrlProps/ctrlProp202.xml"/><Relationship Id="rId2" Type="http://schemas.openxmlformats.org/officeDocument/2006/relationships/vmlDrawing" Target="../drawings/vmlDrawing3.vml"/><Relationship Id="rId29" Type="http://schemas.openxmlformats.org/officeDocument/2006/relationships/ctrlProp" Target="../ctrlProps/ctrlProp139.xml"/><Relationship Id="rId24" Type="http://schemas.openxmlformats.org/officeDocument/2006/relationships/ctrlProp" Target="../ctrlProps/ctrlProp134.xml"/><Relationship Id="rId40" Type="http://schemas.openxmlformats.org/officeDocument/2006/relationships/ctrlProp" Target="../ctrlProps/ctrlProp150.xml"/><Relationship Id="rId45" Type="http://schemas.openxmlformats.org/officeDocument/2006/relationships/ctrlProp" Target="../ctrlProps/ctrlProp155.xml"/><Relationship Id="rId66" Type="http://schemas.openxmlformats.org/officeDocument/2006/relationships/ctrlProp" Target="../ctrlProps/ctrlProp176.xml"/><Relationship Id="rId87" Type="http://schemas.openxmlformats.org/officeDocument/2006/relationships/ctrlProp" Target="../ctrlProps/ctrlProp197.xml"/><Relationship Id="rId61" Type="http://schemas.openxmlformats.org/officeDocument/2006/relationships/ctrlProp" Target="../ctrlProps/ctrlProp171.xml"/><Relationship Id="rId82" Type="http://schemas.openxmlformats.org/officeDocument/2006/relationships/ctrlProp" Target="../ctrlProps/ctrlProp192.xml"/><Relationship Id="rId19" Type="http://schemas.openxmlformats.org/officeDocument/2006/relationships/ctrlProp" Target="../ctrlProps/ctrlProp129.xml"/><Relationship Id="rId14" Type="http://schemas.openxmlformats.org/officeDocument/2006/relationships/ctrlProp" Target="../ctrlProps/ctrlProp124.xml"/><Relationship Id="rId30" Type="http://schemas.openxmlformats.org/officeDocument/2006/relationships/ctrlProp" Target="../ctrlProps/ctrlProp140.xml"/><Relationship Id="rId35" Type="http://schemas.openxmlformats.org/officeDocument/2006/relationships/ctrlProp" Target="../ctrlProps/ctrlProp145.xml"/><Relationship Id="rId56" Type="http://schemas.openxmlformats.org/officeDocument/2006/relationships/ctrlProp" Target="../ctrlProps/ctrlProp166.xml"/><Relationship Id="rId77" Type="http://schemas.openxmlformats.org/officeDocument/2006/relationships/ctrlProp" Target="../ctrlProps/ctrlProp187.xml"/><Relationship Id="rId8" Type="http://schemas.openxmlformats.org/officeDocument/2006/relationships/ctrlProp" Target="../ctrlProps/ctrlProp118.xml"/><Relationship Id="rId51" Type="http://schemas.openxmlformats.org/officeDocument/2006/relationships/ctrlProp" Target="../ctrlProps/ctrlProp161.xml"/><Relationship Id="rId72" Type="http://schemas.openxmlformats.org/officeDocument/2006/relationships/ctrlProp" Target="../ctrlProps/ctrlProp182.xml"/><Relationship Id="rId93" Type="http://schemas.openxmlformats.org/officeDocument/2006/relationships/ctrlProp" Target="../ctrlProps/ctrlProp203.xml"/><Relationship Id="rId98" Type="http://schemas.openxmlformats.org/officeDocument/2006/relationships/ctrlProp" Target="../ctrlProps/ctrlProp20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09.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10.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21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3.bin"/><Relationship Id="rId5" Type="http://schemas.openxmlformats.org/officeDocument/2006/relationships/ctrlProp" Target="../ctrlProps/ctrlProp213.xml"/><Relationship Id="rId4" Type="http://schemas.openxmlformats.org/officeDocument/2006/relationships/ctrlProp" Target="../ctrlProps/ctrlProp21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5" Type="http://schemas.openxmlformats.org/officeDocument/2006/relationships/ctrlProp" Target="../ctrlProps/ctrlProp215.xml"/><Relationship Id="rId4" Type="http://schemas.openxmlformats.org/officeDocument/2006/relationships/ctrlProp" Target="../ctrlProps/ctrlProp21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217.xml"/><Relationship Id="rId4" Type="http://schemas.openxmlformats.org/officeDocument/2006/relationships/ctrlProp" Target="../ctrlProps/ctrlProp21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219.xml"/><Relationship Id="rId4" Type="http://schemas.openxmlformats.org/officeDocument/2006/relationships/ctrlProp" Target="../ctrlProps/ctrlProp21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221.xml"/><Relationship Id="rId4" Type="http://schemas.openxmlformats.org/officeDocument/2006/relationships/ctrlProp" Target="../ctrlProps/ctrlProp22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8.bin"/><Relationship Id="rId5" Type="http://schemas.openxmlformats.org/officeDocument/2006/relationships/ctrlProp" Target="../ctrlProps/ctrlProp223.xml"/><Relationship Id="rId4" Type="http://schemas.openxmlformats.org/officeDocument/2006/relationships/ctrlProp" Target="../ctrlProps/ctrlProp22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9.bin"/><Relationship Id="rId5" Type="http://schemas.openxmlformats.org/officeDocument/2006/relationships/ctrlProp" Target="../ctrlProps/ctrlProp225.xml"/><Relationship Id="rId4" Type="http://schemas.openxmlformats.org/officeDocument/2006/relationships/ctrlProp" Target="../ctrlProps/ctrlProp22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1.bin"/><Relationship Id="rId5" Type="http://schemas.openxmlformats.org/officeDocument/2006/relationships/ctrlProp" Target="../ctrlProps/ctrlProp229.xml"/><Relationship Id="rId4" Type="http://schemas.openxmlformats.org/officeDocument/2006/relationships/ctrlProp" Target="../ctrlProps/ctrlProp22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2.bin"/><Relationship Id="rId5" Type="http://schemas.openxmlformats.org/officeDocument/2006/relationships/ctrlProp" Target="../ctrlProps/ctrlProp231.xml"/><Relationship Id="rId4" Type="http://schemas.openxmlformats.org/officeDocument/2006/relationships/ctrlProp" Target="../ctrlProps/ctrlProp230.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ctrlProp" Target="../ctrlProps/ctrlProp233.xml"/><Relationship Id="rId4" Type="http://schemas.openxmlformats.org/officeDocument/2006/relationships/ctrlProp" Target="../ctrlProps/ctrlProp23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4.bin"/><Relationship Id="rId5" Type="http://schemas.openxmlformats.org/officeDocument/2006/relationships/ctrlProp" Target="../ctrlProps/ctrlProp235.xml"/><Relationship Id="rId4" Type="http://schemas.openxmlformats.org/officeDocument/2006/relationships/ctrlProp" Target="../ctrlProps/ctrlProp2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5.bin"/><Relationship Id="rId5" Type="http://schemas.openxmlformats.org/officeDocument/2006/relationships/ctrlProp" Target="../ctrlProps/ctrlProp237.xml"/><Relationship Id="rId4" Type="http://schemas.openxmlformats.org/officeDocument/2006/relationships/ctrlProp" Target="../ctrlProps/ctrlProp23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6.bin"/><Relationship Id="rId5" Type="http://schemas.openxmlformats.org/officeDocument/2006/relationships/ctrlProp" Target="../ctrlProps/ctrlProp239.xml"/><Relationship Id="rId4" Type="http://schemas.openxmlformats.org/officeDocument/2006/relationships/ctrlProp" Target="../ctrlProps/ctrlProp23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7.bin"/><Relationship Id="rId5" Type="http://schemas.openxmlformats.org/officeDocument/2006/relationships/ctrlProp" Target="../ctrlProps/ctrlProp241.xml"/><Relationship Id="rId4" Type="http://schemas.openxmlformats.org/officeDocument/2006/relationships/ctrlProp" Target="../ctrlProps/ctrlProp240.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8.bin"/><Relationship Id="rId5" Type="http://schemas.openxmlformats.org/officeDocument/2006/relationships/ctrlProp" Target="../ctrlProps/ctrlProp243.xml"/><Relationship Id="rId4" Type="http://schemas.openxmlformats.org/officeDocument/2006/relationships/ctrlProp" Target="../ctrlProps/ctrlProp242.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19.bin"/><Relationship Id="rId5" Type="http://schemas.openxmlformats.org/officeDocument/2006/relationships/ctrlProp" Target="../ctrlProps/ctrlProp245.xml"/><Relationship Id="rId4" Type="http://schemas.openxmlformats.org/officeDocument/2006/relationships/ctrlProp" Target="../ctrlProps/ctrlProp24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0.bin"/><Relationship Id="rId5" Type="http://schemas.openxmlformats.org/officeDocument/2006/relationships/ctrlProp" Target="../ctrlProps/ctrlProp247.xml"/><Relationship Id="rId4" Type="http://schemas.openxmlformats.org/officeDocument/2006/relationships/ctrlProp" Target="../ctrlProps/ctrlProp246.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1.bin"/><Relationship Id="rId5" Type="http://schemas.openxmlformats.org/officeDocument/2006/relationships/ctrlProp" Target="../ctrlProps/ctrlProp249.xml"/><Relationship Id="rId4" Type="http://schemas.openxmlformats.org/officeDocument/2006/relationships/ctrlProp" Target="../ctrlProps/ctrlProp24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2.bin"/><Relationship Id="rId5" Type="http://schemas.openxmlformats.org/officeDocument/2006/relationships/ctrlProp" Target="../ctrlProps/ctrlProp251.xml"/><Relationship Id="rId4" Type="http://schemas.openxmlformats.org/officeDocument/2006/relationships/ctrlProp" Target="../ctrlProps/ctrlProp250.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3.bin"/><Relationship Id="rId5" Type="http://schemas.openxmlformats.org/officeDocument/2006/relationships/ctrlProp" Target="../ctrlProps/ctrlProp253.xml"/><Relationship Id="rId4" Type="http://schemas.openxmlformats.org/officeDocument/2006/relationships/ctrlProp" Target="../ctrlProps/ctrlProp25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4.bin"/><Relationship Id="rId5" Type="http://schemas.openxmlformats.org/officeDocument/2006/relationships/ctrlProp" Target="../ctrlProps/ctrlProp255.xml"/><Relationship Id="rId4" Type="http://schemas.openxmlformats.org/officeDocument/2006/relationships/ctrlProp" Target="../ctrlProps/ctrlProp25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5.bin"/><Relationship Id="rId5" Type="http://schemas.openxmlformats.org/officeDocument/2006/relationships/ctrlProp" Target="../ctrlProps/ctrlProp257.xml"/><Relationship Id="rId4" Type="http://schemas.openxmlformats.org/officeDocument/2006/relationships/ctrlProp" Target="../ctrlProps/ctrlProp256.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6.bin"/><Relationship Id="rId5" Type="http://schemas.openxmlformats.org/officeDocument/2006/relationships/ctrlProp" Target="../ctrlProps/ctrlProp259.xml"/><Relationship Id="rId4" Type="http://schemas.openxmlformats.org/officeDocument/2006/relationships/ctrlProp" Target="../ctrlProps/ctrlProp25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27.bin"/><Relationship Id="rId5" Type="http://schemas.openxmlformats.org/officeDocument/2006/relationships/ctrlProp" Target="../ctrlProps/ctrlProp261.xml"/><Relationship Id="rId4" Type="http://schemas.openxmlformats.org/officeDocument/2006/relationships/ctrlProp" Target="../ctrlProps/ctrlProp260.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28.bin"/><Relationship Id="rId5" Type="http://schemas.openxmlformats.org/officeDocument/2006/relationships/ctrlProp" Target="../ctrlProps/ctrlProp263.xml"/><Relationship Id="rId4" Type="http://schemas.openxmlformats.org/officeDocument/2006/relationships/ctrlProp" Target="../ctrlProps/ctrlProp26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29.bin"/><Relationship Id="rId5" Type="http://schemas.openxmlformats.org/officeDocument/2006/relationships/ctrlProp" Target="../ctrlProps/ctrlProp265.xml"/><Relationship Id="rId4" Type="http://schemas.openxmlformats.org/officeDocument/2006/relationships/ctrlProp" Target="../ctrlProps/ctrlProp26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0.bin"/><Relationship Id="rId5" Type="http://schemas.openxmlformats.org/officeDocument/2006/relationships/ctrlProp" Target="../ctrlProps/ctrlProp267.xml"/><Relationship Id="rId4" Type="http://schemas.openxmlformats.org/officeDocument/2006/relationships/ctrlProp" Target="../ctrlProps/ctrlProp266.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31.bin"/><Relationship Id="rId5" Type="http://schemas.openxmlformats.org/officeDocument/2006/relationships/ctrlProp" Target="../ctrlProps/ctrlProp269.xml"/><Relationship Id="rId4" Type="http://schemas.openxmlformats.org/officeDocument/2006/relationships/ctrlProp" Target="../ctrlProps/ctrlProp268.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32.bin"/><Relationship Id="rId5" Type="http://schemas.openxmlformats.org/officeDocument/2006/relationships/ctrlProp" Target="../ctrlProps/ctrlProp271.xml"/><Relationship Id="rId4" Type="http://schemas.openxmlformats.org/officeDocument/2006/relationships/ctrlProp" Target="../ctrlProps/ctrlProp270.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33.bin"/><Relationship Id="rId5" Type="http://schemas.openxmlformats.org/officeDocument/2006/relationships/ctrlProp" Target="../ctrlProps/ctrlProp273.xml"/><Relationship Id="rId4" Type="http://schemas.openxmlformats.org/officeDocument/2006/relationships/ctrlProp" Target="../ctrlProps/ctrlProp272.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7.xml"/><Relationship Id="rId1" Type="http://schemas.openxmlformats.org/officeDocument/2006/relationships/printerSettings" Target="../printerSettings/printerSettings34.bin"/><Relationship Id="rId5" Type="http://schemas.openxmlformats.org/officeDocument/2006/relationships/ctrlProp" Target="../ctrlProps/ctrlProp275.xml"/><Relationship Id="rId4" Type="http://schemas.openxmlformats.org/officeDocument/2006/relationships/ctrlProp" Target="../ctrlProps/ctrlProp274.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8.xml"/><Relationship Id="rId1" Type="http://schemas.openxmlformats.org/officeDocument/2006/relationships/printerSettings" Target="../printerSettings/printerSettings35.bin"/><Relationship Id="rId5" Type="http://schemas.openxmlformats.org/officeDocument/2006/relationships/ctrlProp" Target="../ctrlProps/ctrlProp277.xml"/><Relationship Id="rId4" Type="http://schemas.openxmlformats.org/officeDocument/2006/relationships/ctrlProp" Target="../ctrlProps/ctrlProp276.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9.xml"/><Relationship Id="rId1" Type="http://schemas.openxmlformats.org/officeDocument/2006/relationships/printerSettings" Target="../printerSettings/printerSettings36.bin"/><Relationship Id="rId5" Type="http://schemas.openxmlformats.org/officeDocument/2006/relationships/ctrlProp" Target="../ctrlProps/ctrlProp279.xml"/><Relationship Id="rId4" Type="http://schemas.openxmlformats.org/officeDocument/2006/relationships/ctrlProp" Target="../ctrlProps/ctrlProp278.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0.xml"/><Relationship Id="rId1" Type="http://schemas.openxmlformats.org/officeDocument/2006/relationships/printerSettings" Target="../printerSettings/printerSettings37.bin"/><Relationship Id="rId5" Type="http://schemas.openxmlformats.org/officeDocument/2006/relationships/ctrlProp" Target="../ctrlProps/ctrlProp281.xml"/><Relationship Id="rId4" Type="http://schemas.openxmlformats.org/officeDocument/2006/relationships/ctrlProp" Target="../ctrlProps/ctrlProp280.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1.xml"/><Relationship Id="rId1" Type="http://schemas.openxmlformats.org/officeDocument/2006/relationships/printerSettings" Target="../printerSettings/printerSettings38.bin"/><Relationship Id="rId5" Type="http://schemas.openxmlformats.org/officeDocument/2006/relationships/ctrlProp" Target="../ctrlProps/ctrlProp283.xml"/><Relationship Id="rId4" Type="http://schemas.openxmlformats.org/officeDocument/2006/relationships/ctrlProp" Target="../ctrlProps/ctrlProp28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2.xml"/><Relationship Id="rId1" Type="http://schemas.openxmlformats.org/officeDocument/2006/relationships/printerSettings" Target="../printerSettings/printerSettings39.bin"/><Relationship Id="rId5" Type="http://schemas.openxmlformats.org/officeDocument/2006/relationships/ctrlProp" Target="../ctrlProps/ctrlProp285.xml"/><Relationship Id="rId4" Type="http://schemas.openxmlformats.org/officeDocument/2006/relationships/ctrlProp" Target="../ctrlProps/ctrlProp28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3.xml"/><Relationship Id="rId1" Type="http://schemas.openxmlformats.org/officeDocument/2006/relationships/printerSettings" Target="../printerSettings/printerSettings40.bin"/><Relationship Id="rId5" Type="http://schemas.openxmlformats.org/officeDocument/2006/relationships/ctrlProp" Target="../ctrlProps/ctrlProp287.xml"/><Relationship Id="rId4" Type="http://schemas.openxmlformats.org/officeDocument/2006/relationships/ctrlProp" Target="../ctrlProps/ctrlProp286.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4.xml"/><Relationship Id="rId1" Type="http://schemas.openxmlformats.org/officeDocument/2006/relationships/printerSettings" Target="../printerSettings/printerSettings41.bin"/><Relationship Id="rId5" Type="http://schemas.openxmlformats.org/officeDocument/2006/relationships/ctrlProp" Target="../ctrlProps/ctrlProp289.xml"/><Relationship Id="rId4" Type="http://schemas.openxmlformats.org/officeDocument/2006/relationships/ctrlProp" Target="../ctrlProps/ctrlProp288.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5.xml"/><Relationship Id="rId1" Type="http://schemas.openxmlformats.org/officeDocument/2006/relationships/printerSettings" Target="../printerSettings/printerSettings42.bin"/><Relationship Id="rId5" Type="http://schemas.openxmlformats.org/officeDocument/2006/relationships/ctrlProp" Target="../ctrlProps/ctrlProp291.xml"/><Relationship Id="rId4" Type="http://schemas.openxmlformats.org/officeDocument/2006/relationships/ctrlProp" Target="../ctrlProps/ctrlProp290.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6.xml"/><Relationship Id="rId1" Type="http://schemas.openxmlformats.org/officeDocument/2006/relationships/printerSettings" Target="../printerSettings/printerSettings43.bin"/><Relationship Id="rId5" Type="http://schemas.openxmlformats.org/officeDocument/2006/relationships/ctrlProp" Target="../ctrlProps/ctrlProp293.xml"/><Relationship Id="rId4" Type="http://schemas.openxmlformats.org/officeDocument/2006/relationships/ctrlProp" Target="../ctrlProps/ctrlProp292.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7.xml"/><Relationship Id="rId1" Type="http://schemas.openxmlformats.org/officeDocument/2006/relationships/printerSettings" Target="../printerSettings/printerSettings44.bin"/><Relationship Id="rId5" Type="http://schemas.openxmlformats.org/officeDocument/2006/relationships/ctrlProp" Target="../ctrlProps/ctrlProp295.xml"/><Relationship Id="rId4" Type="http://schemas.openxmlformats.org/officeDocument/2006/relationships/ctrlProp" Target="../ctrlProps/ctrlProp294.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8.xml"/><Relationship Id="rId1" Type="http://schemas.openxmlformats.org/officeDocument/2006/relationships/printerSettings" Target="../printerSettings/printerSettings45.bin"/><Relationship Id="rId5" Type="http://schemas.openxmlformats.org/officeDocument/2006/relationships/ctrlProp" Target="../ctrlProps/ctrlProp297.xml"/><Relationship Id="rId4" Type="http://schemas.openxmlformats.org/officeDocument/2006/relationships/ctrlProp" Target="../ctrlProps/ctrlProp296.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9.xml"/><Relationship Id="rId1" Type="http://schemas.openxmlformats.org/officeDocument/2006/relationships/printerSettings" Target="../printerSettings/printerSettings46.bin"/><Relationship Id="rId5" Type="http://schemas.openxmlformats.org/officeDocument/2006/relationships/ctrlProp" Target="../ctrlProps/ctrlProp299.xml"/><Relationship Id="rId4" Type="http://schemas.openxmlformats.org/officeDocument/2006/relationships/ctrlProp" Target="../ctrlProps/ctrlProp298.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0.xml"/><Relationship Id="rId1" Type="http://schemas.openxmlformats.org/officeDocument/2006/relationships/printerSettings" Target="../printerSettings/printerSettings47.bin"/><Relationship Id="rId5" Type="http://schemas.openxmlformats.org/officeDocument/2006/relationships/ctrlProp" Target="../ctrlProps/ctrlProp301.xml"/><Relationship Id="rId4" Type="http://schemas.openxmlformats.org/officeDocument/2006/relationships/ctrlProp" Target="../ctrlProps/ctrlProp300.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1.xml"/><Relationship Id="rId1" Type="http://schemas.openxmlformats.org/officeDocument/2006/relationships/printerSettings" Target="../printerSettings/printerSettings48.bin"/><Relationship Id="rId5" Type="http://schemas.openxmlformats.org/officeDocument/2006/relationships/ctrlProp" Target="../ctrlProps/ctrlProp303.xml"/><Relationship Id="rId4" Type="http://schemas.openxmlformats.org/officeDocument/2006/relationships/ctrlProp" Target="../ctrlProps/ctrlProp302.x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10F17-AC76-4EAC-93B6-C617857BBC66}">
  <sheetPr codeName="Sheet1"/>
  <dimension ref="A1:A14"/>
  <sheetViews>
    <sheetView workbookViewId="0"/>
  </sheetViews>
  <sheetFormatPr defaultRowHeight="16.5" x14ac:dyDescent="0.3"/>
  <cols>
    <col min="1" max="1" width="110.625" customWidth="1"/>
  </cols>
  <sheetData>
    <row r="1" spans="1:1" ht="20.25" x14ac:dyDescent="0.3">
      <c r="A1" s="1" t="s">
        <v>0</v>
      </c>
    </row>
    <row r="3" spans="1:1" x14ac:dyDescent="0.3">
      <c r="A3" s="2" t="s">
        <v>1</v>
      </c>
    </row>
    <row r="4" spans="1:1" x14ac:dyDescent="0.3">
      <c r="A4" s="2" t="s">
        <v>2</v>
      </c>
    </row>
    <row r="5" spans="1:1" x14ac:dyDescent="0.3">
      <c r="A5" s="2" t="s">
        <v>3</v>
      </c>
    </row>
    <row r="6" spans="1:1" x14ac:dyDescent="0.3">
      <c r="A6" s="2" t="s">
        <v>4</v>
      </c>
    </row>
    <row r="7" spans="1:1" x14ac:dyDescent="0.3">
      <c r="A7" s="2" t="s">
        <v>5</v>
      </c>
    </row>
    <row r="8" spans="1:1" x14ac:dyDescent="0.3">
      <c r="A8" s="2" t="s">
        <v>6</v>
      </c>
    </row>
    <row r="9" spans="1:1" x14ac:dyDescent="0.3">
      <c r="A9" s="2" t="s">
        <v>7</v>
      </c>
    </row>
    <row r="10" spans="1:1" x14ac:dyDescent="0.3">
      <c r="A10" s="2" t="s">
        <v>8</v>
      </c>
    </row>
    <row r="11" spans="1:1" x14ac:dyDescent="0.3">
      <c r="A11" s="2" t="s">
        <v>9</v>
      </c>
    </row>
    <row r="12" spans="1:1" x14ac:dyDescent="0.3">
      <c r="A12" s="2" t="s">
        <v>10</v>
      </c>
    </row>
    <row r="13" spans="1:1" x14ac:dyDescent="0.3">
      <c r="A13" s="2" t="s">
        <v>11</v>
      </c>
    </row>
    <row r="14" spans="1:1" x14ac:dyDescent="0.3">
      <c r="A14" s="2" t="s">
        <v>12</v>
      </c>
    </row>
  </sheetData>
  <phoneticPr fontId="6"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DB9BE-E00E-48C0-8AB6-0D36B19F0AF1}">
  <sheetPr codeName="Sheet2"/>
  <dimension ref="A1:W82"/>
  <sheetViews>
    <sheetView workbookViewId="0">
      <selection sqref="A1:F1"/>
    </sheetView>
  </sheetViews>
  <sheetFormatPr defaultRowHeight="16.5" x14ac:dyDescent="0.3"/>
  <cols>
    <col min="1" max="1" width="6.625" customWidth="1"/>
    <col min="2" max="3" width="20.625" customWidth="1"/>
    <col min="4" max="4" width="14.625" customWidth="1"/>
    <col min="5" max="6" width="16.625" customWidth="1"/>
    <col min="14" max="15" width="16.625" customWidth="1"/>
    <col min="16" max="16" width="15.625" customWidth="1"/>
    <col min="17" max="17" width="17.625" customWidth="1"/>
    <col min="18" max="18" width="13.625" customWidth="1"/>
    <col min="20" max="20" width="8.625" customWidth="1"/>
    <col min="21" max="21" width="10.625" customWidth="1"/>
    <col min="22" max="22" width="30.625" customWidth="1"/>
    <col min="23" max="23" width="9.625" customWidth="1"/>
  </cols>
  <sheetData>
    <row r="1" spans="1:23" ht="19.5" x14ac:dyDescent="0.3">
      <c r="A1" s="76" t="s">
        <v>13</v>
      </c>
      <c r="B1" s="77"/>
      <c r="C1" s="77"/>
      <c r="D1" s="77"/>
      <c r="E1" s="77"/>
      <c r="F1" s="77"/>
      <c r="G1" s="4" t="s">
        <v>1372</v>
      </c>
      <c r="T1" s="80" t="s">
        <v>87</v>
      </c>
      <c r="U1" s="80"/>
      <c r="V1" s="80"/>
      <c r="W1" s="80"/>
    </row>
    <row r="2" spans="1:23" x14ac:dyDescent="0.3">
      <c r="H2" s="3" t="s">
        <v>14</v>
      </c>
      <c r="I2" s="77"/>
      <c r="J2" s="77"/>
      <c r="K2" s="77"/>
      <c r="L2" s="77"/>
    </row>
    <row r="3" spans="1:23" x14ac:dyDescent="0.3">
      <c r="B3" s="3" t="s">
        <v>15</v>
      </c>
    </row>
    <row r="4" spans="1:23" x14ac:dyDescent="0.3">
      <c r="A4" s="5" t="s">
        <v>17</v>
      </c>
      <c r="B4" t="s">
        <v>16</v>
      </c>
      <c r="C4" s="9"/>
      <c r="T4" s="16" t="s">
        <v>88</v>
      </c>
      <c r="U4" s="16" t="s">
        <v>89</v>
      </c>
      <c r="V4" s="16" t="s">
        <v>90</v>
      </c>
      <c r="W4" s="16" t="s">
        <v>91</v>
      </c>
    </row>
    <row r="5" spans="1:23" x14ac:dyDescent="0.3">
      <c r="A5" s="5" t="s">
        <v>19</v>
      </c>
      <c r="B5" t="s">
        <v>18</v>
      </c>
      <c r="C5" s="10"/>
      <c r="T5" s="17"/>
      <c r="U5" s="17" t="str">
        <f>서식선택_출력!B5</f>
        <v>F-001</v>
      </c>
      <c r="V5" s="17" t="str">
        <f>서식선택_출력!C5</f>
        <v>교복선정위원회 구성 기안</v>
      </c>
      <c r="W5" s="17"/>
    </row>
    <row r="6" spans="1:23" x14ac:dyDescent="0.3">
      <c r="A6" s="5" t="s">
        <v>21</v>
      </c>
      <c r="B6" t="s">
        <v>20</v>
      </c>
      <c r="C6" s="9"/>
      <c r="T6" s="17"/>
      <c r="U6" s="17" t="str">
        <f>서식선택_출력!B6</f>
        <v>F-002</v>
      </c>
      <c r="V6" s="17" t="str">
        <f>서식선택_출력!C6</f>
        <v>위원 수락 및 확인서</v>
      </c>
      <c r="W6" s="17"/>
    </row>
    <row r="7" spans="1:23" x14ac:dyDescent="0.3">
      <c r="A7" s="5" t="s">
        <v>23</v>
      </c>
      <c r="B7" t="s">
        <v>22</v>
      </c>
      <c r="C7" s="9"/>
      <c r="T7" s="17"/>
      <c r="U7" s="17" t="str">
        <f>서식선택_출력!B7</f>
        <v>F-003</v>
      </c>
      <c r="V7" s="17" t="str">
        <f>서식선택_출력!C7</f>
        <v>위원 청렴 및 보안 서약서</v>
      </c>
      <c r="W7" s="17"/>
    </row>
    <row r="8" spans="1:23" x14ac:dyDescent="0.3">
      <c r="A8" s="5" t="s">
        <v>25</v>
      </c>
      <c r="B8" t="s">
        <v>24</v>
      </c>
      <c r="C8" s="13"/>
      <c r="T8" s="17"/>
      <c r="U8" s="17" t="str">
        <f>서식선택_출력!B8</f>
        <v>F-004</v>
      </c>
      <c r="V8" s="17" t="str">
        <f>서식선택_출력!C8</f>
        <v>구매 추진 계획 수립</v>
      </c>
      <c r="W8" s="17"/>
    </row>
    <row r="9" spans="1:23" x14ac:dyDescent="0.3">
      <c r="A9" s="5" t="s">
        <v>27</v>
      </c>
      <c r="B9" t="s">
        <v>26</v>
      </c>
      <c r="C9" s="9"/>
      <c r="T9" s="17"/>
      <c r="U9" s="17" t="str">
        <f>서식선택_출력!B9</f>
        <v>F-005</v>
      </c>
      <c r="V9" s="17" t="str">
        <f>서식선택_출력!C9</f>
        <v>구매 추진 계획안</v>
      </c>
      <c r="W9" s="17"/>
    </row>
    <row r="10" spans="1:23" x14ac:dyDescent="0.3">
      <c r="T10" s="17"/>
      <c r="U10" s="17" t="str">
        <f>서식선택_출력!B10</f>
        <v>F-006</v>
      </c>
      <c r="V10" s="17" t="str">
        <f>서식선택_출력!C10</f>
        <v>학교운영위원회 심의(안)</v>
      </c>
      <c r="W10" s="17"/>
    </row>
    <row r="11" spans="1:23" x14ac:dyDescent="0.3">
      <c r="B11" s="3" t="s">
        <v>28</v>
      </c>
      <c r="T11" s="17"/>
      <c r="U11" s="17" t="str">
        <f>서식선택_출력!B11</f>
        <v>F-007</v>
      </c>
      <c r="V11" s="17" t="str">
        <f>서식선택_출력!C11</f>
        <v>교복구매 구매 요청</v>
      </c>
      <c r="W11" s="17"/>
    </row>
    <row r="12" spans="1:23" x14ac:dyDescent="0.3">
      <c r="A12" s="5" t="s">
        <v>30</v>
      </c>
      <c r="B12" t="s">
        <v>29</v>
      </c>
      <c r="C12" s="9"/>
      <c r="T12" s="17"/>
      <c r="U12" s="17" t="str">
        <f>서식선택_출력!B12</f>
        <v>F-008</v>
      </c>
      <c r="V12" s="17" t="str">
        <f>서식선택_출력!C12</f>
        <v>교복 사양서</v>
      </c>
      <c r="W12" s="17"/>
    </row>
    <row r="13" spans="1:23" x14ac:dyDescent="0.3">
      <c r="A13" s="5" t="s">
        <v>32</v>
      </c>
      <c r="B13" t="s">
        <v>31</v>
      </c>
      <c r="C13" s="9"/>
      <c r="T13" s="17"/>
      <c r="U13" s="17" t="str">
        <f>서식선택_출력!B13</f>
        <v>F-009</v>
      </c>
      <c r="V13" s="17" t="str">
        <f>서식선택_출력!C13</f>
        <v>기초금액 및 계약방법 결정</v>
      </c>
      <c r="W13" s="17"/>
    </row>
    <row r="14" spans="1:23" x14ac:dyDescent="0.3">
      <c r="A14" s="5" t="s">
        <v>34</v>
      </c>
      <c r="B14" t="s">
        <v>33</v>
      </c>
      <c r="C14" s="9"/>
      <c r="T14" s="17"/>
      <c r="U14" s="17" t="str">
        <f>서식선택_출력!B14</f>
        <v>F-010</v>
      </c>
      <c r="V14" s="17" t="str">
        <f>서식선택_출력!C14</f>
        <v>사전규격공개 기안문</v>
      </c>
      <c r="W14" s="17"/>
    </row>
    <row r="15" spans="1:23" x14ac:dyDescent="0.3">
      <c r="A15" s="5" t="s">
        <v>36</v>
      </c>
      <c r="B15" t="s">
        <v>35</v>
      </c>
      <c r="C15" s="14"/>
      <c r="T15" s="17"/>
      <c r="U15" s="17" t="str">
        <f>서식선택_출력!B15</f>
        <v>F-011</v>
      </c>
      <c r="V15" s="17" t="str">
        <f>서식선택_출력!C15</f>
        <v>교복 학교주관구매 입찰 공고</v>
      </c>
      <c r="W15" s="17"/>
    </row>
    <row r="16" spans="1:23" x14ac:dyDescent="0.3">
      <c r="A16" s="5" t="s">
        <v>38</v>
      </c>
      <c r="B16" t="s">
        <v>37</v>
      </c>
      <c r="C16" s="10"/>
      <c r="T16" s="17"/>
      <c r="U16" s="17" t="str">
        <f>서식선택_출력!B16</f>
        <v>F-012</v>
      </c>
      <c r="V16" s="17" t="str">
        <f>서식선택_출력!C16</f>
        <v>계약 특수조건</v>
      </c>
      <c r="W16" s="17"/>
    </row>
    <row r="17" spans="1:23" x14ac:dyDescent="0.3">
      <c r="A17" s="5" t="s">
        <v>40</v>
      </c>
      <c r="B17" t="s">
        <v>39</v>
      </c>
      <c r="C17" s="13"/>
      <c r="T17" s="17"/>
      <c r="U17" s="17" t="str">
        <f>서식선택_출력!B17</f>
        <v>F-013</v>
      </c>
      <c r="V17" s="17" t="str">
        <f>서식선택_출력!C17</f>
        <v>교복 디자인 및 규격서</v>
      </c>
      <c r="W17" s="17"/>
    </row>
    <row r="18" spans="1:23" x14ac:dyDescent="0.3">
      <c r="A18" s="5" t="s">
        <v>42</v>
      </c>
      <c r="B18" t="s">
        <v>41</v>
      </c>
      <c r="C18" s="15"/>
      <c r="T18" s="17"/>
      <c r="U18" s="17" t="str">
        <f>서식선택_출력!B18</f>
        <v>F-014</v>
      </c>
      <c r="V18" s="17" t="str">
        <f>서식선택_출력!C18</f>
        <v>제안서 평가항목 및 배점기준</v>
      </c>
      <c r="W18" s="17"/>
    </row>
    <row r="19" spans="1:23" x14ac:dyDescent="0.3">
      <c r="T19" s="17"/>
      <c r="U19" s="17" t="str">
        <f>서식선택_출력!B19</f>
        <v>F-015</v>
      </c>
      <c r="V19" s="17" t="str">
        <f>서식선택_출력!C19</f>
        <v>정량적 평가</v>
      </c>
      <c r="W19" s="17"/>
    </row>
    <row r="20" spans="1:23" x14ac:dyDescent="0.3">
      <c r="B20" s="3" t="s">
        <v>43</v>
      </c>
      <c r="T20" s="17"/>
      <c r="U20" s="17" t="str">
        <f>서식선택_출력!B20</f>
        <v>F-016</v>
      </c>
      <c r="V20" s="17" t="str">
        <f>서식선택_출력!C20</f>
        <v>정성적 평가</v>
      </c>
      <c r="W20" s="17"/>
    </row>
    <row r="21" spans="1:23" x14ac:dyDescent="0.3">
      <c r="A21" s="5" t="s">
        <v>45</v>
      </c>
      <c r="B21" t="s">
        <v>44</v>
      </c>
      <c r="C21" s="9"/>
      <c r="T21" s="17"/>
      <c r="U21" s="17" t="str">
        <f>서식선택_출력!B21</f>
        <v>F-017</v>
      </c>
      <c r="V21" s="17" t="str">
        <f>서식선택_출력!C21</f>
        <v>제출서류 자기확인서</v>
      </c>
      <c r="W21" s="17"/>
    </row>
    <row r="22" spans="1:23" x14ac:dyDescent="0.3">
      <c r="A22" s="5" t="s">
        <v>47</v>
      </c>
      <c r="B22" t="s">
        <v>46</v>
      </c>
      <c r="C22" s="9"/>
      <c r="T22" s="17"/>
      <c r="U22" s="17" t="str">
        <f>서식선택_출력!B22</f>
        <v>F-018</v>
      </c>
      <c r="V22" s="17" t="str">
        <f>서식선택_출력!C22</f>
        <v>정량적 평가 자기 평점표</v>
      </c>
      <c r="W22" s="17"/>
    </row>
    <row r="23" spans="1:23" x14ac:dyDescent="0.3">
      <c r="A23" s="5" t="s">
        <v>49</v>
      </c>
      <c r="B23" t="s">
        <v>48</v>
      </c>
      <c r="C23" s="9"/>
      <c r="T23" s="17"/>
      <c r="U23" s="17" t="str">
        <f>서식선택_출력!B23</f>
        <v>F-019</v>
      </c>
      <c r="V23" s="17" t="str">
        <f>서식선택_출력!C23</f>
        <v>입찰참가신청서</v>
      </c>
      <c r="W23" s="17"/>
    </row>
    <row r="24" spans="1:23" x14ac:dyDescent="0.3">
      <c r="A24" s="5" t="s">
        <v>51</v>
      </c>
      <c r="B24" t="s">
        <v>50</v>
      </c>
      <c r="C24" s="9"/>
      <c r="T24" s="17"/>
      <c r="U24" s="17" t="str">
        <f>서식선택_출력!B24</f>
        <v>F-020</v>
      </c>
      <c r="V24" s="17" t="str">
        <f>서식선택_출력!C24</f>
        <v>입찰 참가 신고서</v>
      </c>
      <c r="W24" s="17"/>
    </row>
    <row r="25" spans="1:23" ht="60" customHeight="1" x14ac:dyDescent="0.3">
      <c r="A25" s="5" t="s">
        <v>53</v>
      </c>
      <c r="B25" t="s">
        <v>52</v>
      </c>
      <c r="C25" s="78"/>
      <c r="D25" s="79"/>
      <c r="E25" s="79"/>
      <c r="F25" s="79"/>
      <c r="T25" s="17"/>
      <c r="U25" s="17" t="str">
        <f>서식선택_출력!B25</f>
        <v>F-021</v>
      </c>
      <c r="V25" s="17" t="str">
        <f>서식선택_출력!C25</f>
        <v>교복 납품 제안서</v>
      </c>
      <c r="W25" s="17"/>
    </row>
    <row r="26" spans="1:23" x14ac:dyDescent="0.3">
      <c r="T26" s="17"/>
      <c r="U26" s="17" t="str">
        <f>서식선택_출력!B26</f>
        <v>F-022</v>
      </c>
      <c r="V26" s="17" t="str">
        <f>서식선택_출력!C26</f>
        <v>교복 납품 실적표</v>
      </c>
      <c r="W26" s="17"/>
    </row>
    <row r="27" spans="1:23" x14ac:dyDescent="0.3">
      <c r="B27" s="3" t="s">
        <v>54</v>
      </c>
      <c r="T27" s="17"/>
      <c r="U27" s="17" t="str">
        <f>서식선택_출력!B27</f>
        <v>F-023</v>
      </c>
      <c r="V27" s="17" t="str">
        <f>서식선택_출력!C27</f>
        <v>교복 제조 사양서</v>
      </c>
      <c r="W27" s="17"/>
    </row>
    <row r="28" spans="1:23" x14ac:dyDescent="0.3">
      <c r="B28" s="3" t="s">
        <v>55</v>
      </c>
      <c r="C28" s="3" t="s">
        <v>56</v>
      </c>
      <c r="D28" s="3" t="s">
        <v>57</v>
      </c>
      <c r="E28" s="3" t="s">
        <v>58</v>
      </c>
      <c r="T28" s="17"/>
      <c r="U28" s="17" t="str">
        <f>서식선택_출력!B28</f>
        <v>F-024</v>
      </c>
      <c r="V28" s="17" t="str">
        <f>서식선택_출력!C28</f>
        <v>품목별 단가 비율표</v>
      </c>
      <c r="W28" s="17"/>
    </row>
    <row r="29" spans="1:23" x14ac:dyDescent="0.3">
      <c r="B29" s="9"/>
      <c r="C29" s="9"/>
      <c r="D29" s="14"/>
      <c r="E29" s="7" t="str">
        <f t="shared" ref="E29:E38" si="0">IF(AND(B29&lt;&gt;"",C29&lt;&gt;"",D29&lt;&gt;""),C29*D29,"")</f>
        <v/>
      </c>
      <c r="T29" s="17"/>
      <c r="U29" s="17" t="str">
        <f>서식선택_출력!B29</f>
        <v>F-025</v>
      </c>
      <c r="V29" s="17" t="str">
        <f>서식선택_출력!C29</f>
        <v>교복 A/S 계획서</v>
      </c>
      <c r="W29" s="17"/>
    </row>
    <row r="30" spans="1:23" x14ac:dyDescent="0.3">
      <c r="B30" s="9"/>
      <c r="C30" s="9"/>
      <c r="D30" s="14"/>
      <c r="E30" s="7" t="str">
        <f t="shared" si="0"/>
        <v/>
      </c>
      <c r="T30" s="17"/>
      <c r="U30" s="17" t="str">
        <f>서식선택_출력!B30</f>
        <v>F-026</v>
      </c>
      <c r="V30" s="17" t="str">
        <f>서식선택_출력!C30</f>
        <v>소비자 불만 처리 계획</v>
      </c>
      <c r="W30" s="17"/>
    </row>
    <row r="31" spans="1:23" x14ac:dyDescent="0.3">
      <c r="B31" s="9"/>
      <c r="C31" s="9"/>
      <c r="D31" s="14"/>
      <c r="E31" s="7" t="str">
        <f t="shared" si="0"/>
        <v/>
      </c>
      <c r="T31" s="17"/>
      <c r="U31" s="17" t="str">
        <f>서식선택_출력!B31</f>
        <v>F-027</v>
      </c>
      <c r="V31" s="17" t="str">
        <f>서식선택_출력!C31</f>
        <v>위임장</v>
      </c>
      <c r="W31" s="17"/>
    </row>
    <row r="32" spans="1:23" x14ac:dyDescent="0.3">
      <c r="B32" s="9"/>
      <c r="C32" s="9"/>
      <c r="D32" s="14"/>
      <c r="E32" s="7" t="str">
        <f t="shared" si="0"/>
        <v/>
      </c>
      <c r="T32" s="17"/>
      <c r="U32" s="17" t="str">
        <f>서식선택_출력!B32</f>
        <v>F-028</v>
      </c>
      <c r="V32" s="17" t="str">
        <f>서식선택_출력!C32</f>
        <v>서약서</v>
      </c>
      <c r="W32" s="17"/>
    </row>
    <row r="33" spans="2:23" x14ac:dyDescent="0.3">
      <c r="B33" s="9"/>
      <c r="C33" s="9"/>
      <c r="D33" s="14"/>
      <c r="E33" s="7" t="str">
        <f t="shared" si="0"/>
        <v/>
      </c>
      <c r="T33" s="17"/>
      <c r="U33" s="17" t="str">
        <f>서식선택_출력!B33</f>
        <v>F-029</v>
      </c>
      <c r="V33" s="17" t="str">
        <f>서식선택_출력!C33</f>
        <v>개인정보제공 동의서</v>
      </c>
      <c r="W33" s="17"/>
    </row>
    <row r="34" spans="2:23" x14ac:dyDescent="0.3">
      <c r="B34" s="9"/>
      <c r="C34" s="9"/>
      <c r="D34" s="14"/>
      <c r="E34" s="7" t="str">
        <f t="shared" si="0"/>
        <v/>
      </c>
      <c r="T34" s="17"/>
      <c r="U34" s="17" t="str">
        <f>서식선택_출력!B34</f>
        <v>F-030</v>
      </c>
      <c r="V34" s="17" t="str">
        <f>서식선택_출력!C34</f>
        <v>청렴계약 이행서약서</v>
      </c>
      <c r="W34" s="17"/>
    </row>
    <row r="35" spans="2:23" x14ac:dyDescent="0.3">
      <c r="B35" s="9"/>
      <c r="C35" s="9"/>
      <c r="D35" s="14"/>
      <c r="E35" s="7" t="str">
        <f t="shared" si="0"/>
        <v/>
      </c>
      <c r="T35" s="17"/>
      <c r="U35" s="17" t="str">
        <f>서식선택_출력!B35</f>
        <v>F-031</v>
      </c>
      <c r="V35" s="17" t="str">
        <f>서식선택_출력!C35</f>
        <v>교복 품목별 금액표</v>
      </c>
      <c r="W35" s="17"/>
    </row>
    <row r="36" spans="2:23" x14ac:dyDescent="0.3">
      <c r="B36" s="9"/>
      <c r="C36" s="9"/>
      <c r="D36" s="14"/>
      <c r="E36" s="7" t="str">
        <f t="shared" si="0"/>
        <v/>
      </c>
      <c r="T36" s="17"/>
      <c r="U36" s="17" t="str">
        <f>서식선택_출력!B36</f>
        <v>F-032</v>
      </c>
      <c r="V36" s="17" t="str">
        <f>서식선택_출력!C36</f>
        <v>제안서 접수 결과</v>
      </c>
      <c r="W36" s="17"/>
    </row>
    <row r="37" spans="2:23" x14ac:dyDescent="0.3">
      <c r="B37" s="9"/>
      <c r="C37" s="9"/>
      <c r="D37" s="14"/>
      <c r="E37" s="7" t="str">
        <f t="shared" si="0"/>
        <v/>
      </c>
      <c r="T37" s="17"/>
      <c r="U37" s="17" t="str">
        <f>서식선택_출력!B37</f>
        <v>F-033</v>
      </c>
      <c r="V37" s="17" t="str">
        <f>서식선택_출력!C37</f>
        <v>제안서 접수대장</v>
      </c>
      <c r="W37" s="17"/>
    </row>
    <row r="38" spans="2:23" x14ac:dyDescent="0.3">
      <c r="B38" s="9"/>
      <c r="C38" s="9"/>
      <c r="D38" s="14"/>
      <c r="E38" s="7" t="str">
        <f t="shared" si="0"/>
        <v/>
      </c>
      <c r="T38" s="17"/>
      <c r="U38" s="17" t="str">
        <f>서식선택_출력!B38</f>
        <v>F-034</v>
      </c>
      <c r="V38" s="17" t="str">
        <f>서식선택_출력!C38</f>
        <v>제안서 평가위원회 개최</v>
      </c>
      <c r="W38" s="17"/>
    </row>
    <row r="39" spans="2:23" x14ac:dyDescent="0.3">
      <c r="B39" s="3" t="s">
        <v>59</v>
      </c>
      <c r="E39" s="8">
        <f>SUM(E29:E38)</f>
        <v>0</v>
      </c>
      <c r="T39" s="17"/>
      <c r="U39" s="17" t="str">
        <f>서식선택_출력!B39</f>
        <v>F-035</v>
      </c>
      <c r="V39" s="17" t="str">
        <f>서식선택_출력!C39</f>
        <v>제안서 정량평가 결과</v>
      </c>
      <c r="W39" s="17"/>
    </row>
    <row r="40" spans="2:23" x14ac:dyDescent="0.3">
      <c r="T40" s="17"/>
      <c r="U40" s="17" t="str">
        <f>서식선택_출력!B40</f>
        <v>F-036</v>
      </c>
      <c r="V40" s="17" t="str">
        <f>서식선택_출력!C40</f>
        <v>제안서 평가 결과</v>
      </c>
      <c r="W40" s="17"/>
    </row>
    <row r="41" spans="2:23" x14ac:dyDescent="0.3">
      <c r="T41" s="17"/>
      <c r="U41" s="17" t="str">
        <f>서식선택_출력!B41</f>
        <v>F-037</v>
      </c>
      <c r="V41" s="17" t="str">
        <f>서식선택_출력!C41</f>
        <v>평가위원회 참석 등록부</v>
      </c>
      <c r="W41" s="17"/>
    </row>
    <row r="42" spans="2:23" x14ac:dyDescent="0.3">
      <c r="B42" s="3" t="s">
        <v>60</v>
      </c>
      <c r="T42" s="17"/>
      <c r="U42" s="17" t="str">
        <f>서식선택_출력!B42</f>
        <v>F-038</v>
      </c>
      <c r="V42" s="17" t="str">
        <f>서식선택_출력!C42</f>
        <v>업체 참가 등록부</v>
      </c>
      <c r="W42" s="17"/>
    </row>
    <row r="43" spans="2:23" x14ac:dyDescent="0.3">
      <c r="B43" s="3" t="s">
        <v>61</v>
      </c>
      <c r="C43" s="3" t="s">
        <v>62</v>
      </c>
      <c r="D43" s="3" t="s">
        <v>63</v>
      </c>
      <c r="E43" s="3" t="s">
        <v>64</v>
      </c>
      <c r="F43" s="3" t="s">
        <v>65</v>
      </c>
      <c r="G43" s="3" t="s">
        <v>66</v>
      </c>
      <c r="H43" s="3" t="s">
        <v>67</v>
      </c>
      <c r="I43" s="3" t="s">
        <v>68</v>
      </c>
      <c r="J43" s="3" t="s">
        <v>69</v>
      </c>
      <c r="K43" s="3" t="s">
        <v>70</v>
      </c>
      <c r="L43" s="3" t="s">
        <v>71</v>
      </c>
      <c r="M43" s="3" t="s">
        <v>72</v>
      </c>
      <c r="N43" s="3" t="s">
        <v>73</v>
      </c>
      <c r="O43" s="3" t="s">
        <v>74</v>
      </c>
      <c r="P43" s="3" t="s">
        <v>75</v>
      </c>
      <c r="Q43" s="3" t="s">
        <v>76</v>
      </c>
      <c r="R43" s="3" t="s">
        <v>77</v>
      </c>
      <c r="T43" s="17"/>
      <c r="U43" s="17" t="str">
        <f>서식선택_출력!B43</f>
        <v>F-039</v>
      </c>
      <c r="V43" s="17" t="str">
        <f>서식선택_출력!C43</f>
        <v>업체별 제안서 평가표</v>
      </c>
      <c r="W43" s="17"/>
    </row>
    <row r="44" spans="2:23" x14ac:dyDescent="0.3">
      <c r="B44" s="9"/>
      <c r="C44" s="6"/>
      <c r="G44" t="str">
        <f t="shared" ref="G44:G53" si="1">IF(B44="","",IF(AND(ISNUMBER(C44),ISNUMBER(D44),ISNUMBER(E44),ISNUMBER(F44),C44&gt;=0,C44&lt;=10,D44&gt;=0,D44&lt;=10,E44&gt;=0,E44&lt;=15,F44&gt;=0,F44&lt;=15),"정상","점수 확인"))</f>
        <v/>
      </c>
      <c r="H44" s="10"/>
      <c r="M44" t="str">
        <f t="shared" ref="M44:M53" si="2">IF(B44="","",IF(AND(ISNUMBER(H44),ISNUMBER(I44),ISNUMBER(J44),ISNUMBER(K44),ISNUMBER(L44),H44&gt;=0,H44&lt;=15,I44&gt;=0,I44&lt;=10,J44&gt;=0,J44&lt;=15,K44&gt;=0,K44&lt;=10,L44&gt;=-15,L44&lt;=5),"정상","점수 확인"))</f>
        <v/>
      </c>
      <c r="N44" s="10"/>
      <c r="R44" t="str">
        <f t="shared" ref="R44:R53" si="3">IF(B44="","",IF(AND(ISNUMBER(N44),ISNUMBER(O44),ISNUMBER(P44),ISNUMBER(Q44),N44&gt;=0,N44&lt;=10,O44&gt;=0,O44&lt;=10,P44&gt;=0,P44&lt;=15,Q44&gt;=0,Q44&lt;=15),"정상","점수 확인"))</f>
        <v/>
      </c>
      <c r="T44" s="17"/>
      <c r="U44" s="17" t="str">
        <f>서식선택_출력!B44</f>
        <v>F-040</v>
      </c>
      <c r="V44" s="17" t="str">
        <f>서식선택_출력!C44</f>
        <v>위원 청렴 및 보안 서약서</v>
      </c>
      <c r="W44" s="17"/>
    </row>
    <row r="45" spans="2:23" x14ac:dyDescent="0.3">
      <c r="B45" s="9"/>
      <c r="C45" s="6"/>
      <c r="G45" t="str">
        <f t="shared" si="1"/>
        <v/>
      </c>
      <c r="H45" s="10"/>
      <c r="M45" t="str">
        <f t="shared" si="2"/>
        <v/>
      </c>
      <c r="N45" s="10"/>
      <c r="R45" t="str">
        <f t="shared" si="3"/>
        <v/>
      </c>
      <c r="T45" s="17"/>
      <c r="U45" s="17" t="str">
        <f>서식선택_출력!B45</f>
        <v>F-041</v>
      </c>
      <c r="V45" s="17" t="str">
        <f>서식선택_출력!C45</f>
        <v>낙찰자 결정</v>
      </c>
      <c r="W45" s="17"/>
    </row>
    <row r="46" spans="2:23" x14ac:dyDescent="0.3">
      <c r="B46" s="9"/>
      <c r="C46" s="6"/>
      <c r="G46" t="str">
        <f t="shared" si="1"/>
        <v/>
      </c>
      <c r="H46" s="10"/>
      <c r="M46" t="str">
        <f t="shared" si="2"/>
        <v/>
      </c>
      <c r="N46" s="10"/>
      <c r="R46" t="str">
        <f t="shared" si="3"/>
        <v/>
      </c>
      <c r="T46" s="17"/>
      <c r="U46" s="17" t="str">
        <f>서식선택_출력!B46</f>
        <v>F-042</v>
      </c>
      <c r="V46" s="17" t="str">
        <f>서식선택_출력!C46</f>
        <v>낙찰자 결정 통보</v>
      </c>
      <c r="W46" s="17"/>
    </row>
    <row r="47" spans="2:23" x14ac:dyDescent="0.3">
      <c r="B47" s="9"/>
      <c r="C47" s="6"/>
      <c r="G47" t="str">
        <f t="shared" si="1"/>
        <v/>
      </c>
      <c r="H47" s="10"/>
      <c r="M47" t="str">
        <f t="shared" si="2"/>
        <v/>
      </c>
      <c r="N47" s="10"/>
      <c r="R47" t="str">
        <f t="shared" si="3"/>
        <v/>
      </c>
      <c r="T47" s="17"/>
      <c r="U47" s="17" t="str">
        <f>서식선택_출력!B47</f>
        <v>F-043</v>
      </c>
      <c r="V47" s="17" t="str">
        <f>서식선택_출력!C47</f>
        <v>계약체결</v>
      </c>
      <c r="W47" s="17"/>
    </row>
    <row r="48" spans="2:23" x14ac:dyDescent="0.3">
      <c r="B48" s="9"/>
      <c r="C48" s="6"/>
      <c r="G48" t="str">
        <f t="shared" si="1"/>
        <v/>
      </c>
      <c r="H48" s="10"/>
      <c r="M48" t="str">
        <f t="shared" si="2"/>
        <v/>
      </c>
      <c r="N48" s="10"/>
      <c r="R48" t="str">
        <f t="shared" si="3"/>
        <v/>
      </c>
      <c r="T48" s="17"/>
      <c r="U48" s="17" t="str">
        <f>서식선택_출력!B48</f>
        <v>F-044</v>
      </c>
      <c r="V48" s="17" t="str">
        <f>서식선택_출력!C48</f>
        <v>사전 안내 가정통신문 안내</v>
      </c>
      <c r="W48" s="17"/>
    </row>
    <row r="49" spans="2:23" x14ac:dyDescent="0.3">
      <c r="B49" s="9"/>
      <c r="C49" s="6"/>
      <c r="G49" t="str">
        <f t="shared" si="1"/>
        <v/>
      </c>
      <c r="H49" s="10"/>
      <c r="M49" t="str">
        <f t="shared" si="2"/>
        <v/>
      </c>
      <c r="N49" s="10"/>
      <c r="R49" t="str">
        <f t="shared" si="3"/>
        <v/>
      </c>
      <c r="T49" s="17"/>
      <c r="U49" s="17" t="str">
        <f>서식선택_출력!B49</f>
        <v>F-045</v>
      </c>
      <c r="V49" s="17" t="str">
        <f>서식선택_출력!C49</f>
        <v>교복구매 사전 안내 가정통신문</v>
      </c>
      <c r="W49" s="17"/>
    </row>
    <row r="50" spans="2:23" x14ac:dyDescent="0.3">
      <c r="B50" s="9"/>
      <c r="C50" s="6"/>
      <c r="G50" t="str">
        <f t="shared" si="1"/>
        <v/>
      </c>
      <c r="H50" s="10"/>
      <c r="M50" t="str">
        <f t="shared" si="2"/>
        <v/>
      </c>
      <c r="N50" s="10"/>
      <c r="R50" t="str">
        <f t="shared" si="3"/>
        <v/>
      </c>
      <c r="T50" s="17"/>
      <c r="U50" s="17" t="str">
        <f>서식선택_출력!B50</f>
        <v>F-046</v>
      </c>
      <c r="V50" s="17" t="str">
        <f>서식선택_출력!C50</f>
        <v>수요조사 가정통신문 안내</v>
      </c>
      <c r="W50" s="17"/>
    </row>
    <row r="51" spans="2:23" x14ac:dyDescent="0.3">
      <c r="B51" s="9"/>
      <c r="C51" s="6"/>
      <c r="G51" t="str">
        <f t="shared" si="1"/>
        <v/>
      </c>
      <c r="H51" s="10"/>
      <c r="M51" t="str">
        <f t="shared" si="2"/>
        <v/>
      </c>
      <c r="N51" s="10"/>
      <c r="R51" t="str">
        <f t="shared" si="3"/>
        <v/>
      </c>
      <c r="T51" s="17"/>
      <c r="U51" s="17" t="str">
        <f>서식선택_출력!B51</f>
        <v>F-047</v>
      </c>
      <c r="V51" s="17" t="str">
        <f>서식선택_출력!C51</f>
        <v>교복구매 수요조사 가정통신문</v>
      </c>
      <c r="W51" s="17"/>
    </row>
    <row r="52" spans="2:23" x14ac:dyDescent="0.3">
      <c r="B52" s="9"/>
      <c r="C52" s="6"/>
      <c r="G52" t="str">
        <f t="shared" si="1"/>
        <v/>
      </c>
      <c r="H52" s="10"/>
      <c r="M52" t="str">
        <f t="shared" si="2"/>
        <v/>
      </c>
      <c r="N52" s="10"/>
      <c r="R52" t="str">
        <f t="shared" si="3"/>
        <v/>
      </c>
      <c r="T52" s="17"/>
      <c r="U52" s="17" t="str">
        <f>서식선택_출력!B52</f>
        <v>F-048</v>
      </c>
      <c r="V52" s="17" t="str">
        <f>서식선택_출력!C52</f>
        <v>교복 구매 안내(신청 수량 파악)</v>
      </c>
      <c r="W52" s="17"/>
    </row>
    <row r="53" spans="2:23" x14ac:dyDescent="0.3">
      <c r="B53" s="9"/>
      <c r="C53" s="6"/>
      <c r="G53" t="str">
        <f t="shared" si="1"/>
        <v/>
      </c>
      <c r="H53" s="10"/>
      <c r="M53" t="str">
        <f t="shared" si="2"/>
        <v/>
      </c>
      <c r="N53" s="10"/>
      <c r="R53" t="str">
        <f t="shared" si="3"/>
        <v/>
      </c>
      <c r="T53" s="17"/>
      <c r="U53" s="17" t="str">
        <f>서식선택_출력!B53</f>
        <v>F-049</v>
      </c>
      <c r="V53" s="17" t="str">
        <f>서식선택_출력!C53</f>
        <v>만족도 설문조사 실시</v>
      </c>
      <c r="W53" s="17"/>
    </row>
    <row r="54" spans="2:23" x14ac:dyDescent="0.3">
      <c r="T54" s="17"/>
      <c r="U54" s="17" t="str">
        <f>서식선택_출력!B54</f>
        <v>F-050</v>
      </c>
      <c r="V54" s="17" t="str">
        <f>서식선택_출력!C54</f>
        <v>만족도 조사 설문지</v>
      </c>
      <c r="W54" s="17"/>
    </row>
    <row r="55" spans="2:23" x14ac:dyDescent="0.3">
      <c r="T55" s="17"/>
      <c r="U55" s="17" t="str">
        <f>서식선택_출력!B55</f>
        <v>F-051</v>
      </c>
      <c r="V55" s="17" t="str">
        <f>서식선택_출력!C55</f>
        <v>만족도 설문조사 결과</v>
      </c>
      <c r="W55" s="17"/>
    </row>
    <row r="56" spans="2:23" x14ac:dyDescent="0.3">
      <c r="B56" s="3" t="s">
        <v>78</v>
      </c>
      <c r="T56" s="17"/>
      <c r="U56" s="17" t="str">
        <f>서식선택_출력!B56</f>
        <v>F-052</v>
      </c>
      <c r="V56" s="17" t="str">
        <f>서식선택_출력!C56</f>
        <v>만족도 조사 설문 결과 서식</v>
      </c>
      <c r="W56" s="17"/>
    </row>
    <row r="57" spans="2:23" x14ac:dyDescent="0.3">
      <c r="B57" s="3" t="s">
        <v>79</v>
      </c>
      <c r="C57" s="3" t="s">
        <v>80</v>
      </c>
    </row>
    <row r="58" spans="2:23" x14ac:dyDescent="0.3">
      <c r="B58" s="9"/>
    </row>
    <row r="59" spans="2:23" x14ac:dyDescent="0.3">
      <c r="B59" s="9"/>
    </row>
    <row r="60" spans="2:23" x14ac:dyDescent="0.3">
      <c r="B60" s="9"/>
    </row>
    <row r="61" spans="2:23" x14ac:dyDescent="0.3">
      <c r="B61" s="9"/>
    </row>
    <row r="62" spans="2:23" x14ac:dyDescent="0.3">
      <c r="B62" s="9"/>
    </row>
    <row r="63" spans="2:23" x14ac:dyDescent="0.3">
      <c r="B63" s="9"/>
    </row>
    <row r="64" spans="2:23" x14ac:dyDescent="0.3">
      <c r="B64" s="9"/>
    </row>
    <row r="65" spans="2:5" x14ac:dyDescent="0.3">
      <c r="B65" s="9"/>
    </row>
    <row r="66" spans="2:5" x14ac:dyDescent="0.3">
      <c r="B66" s="9"/>
    </row>
    <row r="67" spans="2:5" x14ac:dyDescent="0.3">
      <c r="B67" s="9"/>
    </row>
    <row r="70" spans="2:5" x14ac:dyDescent="0.3">
      <c r="B70" s="3" t="s">
        <v>81</v>
      </c>
    </row>
    <row r="71" spans="2:5" x14ac:dyDescent="0.3">
      <c r="B71" s="3" t="s">
        <v>82</v>
      </c>
      <c r="C71" s="3" t="s">
        <v>83</v>
      </c>
      <c r="D71" s="3" t="s">
        <v>84</v>
      </c>
      <c r="E71" s="3" t="s">
        <v>85</v>
      </c>
    </row>
    <row r="72" spans="2:5" x14ac:dyDescent="0.3">
      <c r="B72" s="9"/>
      <c r="C72" s="11"/>
      <c r="E72" t="str">
        <f t="shared" ref="E72:E81" si="4">IF(AND(B72&lt;&gt;"",C72&lt;&gt;"",D72&lt;&gt;""),IF(AND(ISNUMBER(C72),ISNUMBER(D72),C72&gt;=0,D72&gt;=0,D72&lt;=C72),"정상","점수/배점 확인"),"")</f>
        <v/>
      </c>
    </row>
    <row r="73" spans="2:5" x14ac:dyDescent="0.3">
      <c r="B73" s="9"/>
      <c r="C73" s="11"/>
      <c r="E73" t="str">
        <f t="shared" si="4"/>
        <v/>
      </c>
    </row>
    <row r="74" spans="2:5" x14ac:dyDescent="0.3">
      <c r="B74" s="9"/>
      <c r="C74" s="11"/>
      <c r="E74" t="str">
        <f t="shared" si="4"/>
        <v/>
      </c>
    </row>
    <row r="75" spans="2:5" x14ac:dyDescent="0.3">
      <c r="B75" s="9"/>
      <c r="C75" s="11"/>
      <c r="E75" t="str">
        <f t="shared" si="4"/>
        <v/>
      </c>
    </row>
    <row r="76" spans="2:5" x14ac:dyDescent="0.3">
      <c r="B76" s="9"/>
      <c r="C76" s="11"/>
      <c r="E76" t="str">
        <f t="shared" si="4"/>
        <v/>
      </c>
    </row>
    <row r="77" spans="2:5" x14ac:dyDescent="0.3">
      <c r="B77" s="9"/>
      <c r="C77" s="11"/>
      <c r="E77" t="str">
        <f t="shared" si="4"/>
        <v/>
      </c>
    </row>
    <row r="78" spans="2:5" x14ac:dyDescent="0.3">
      <c r="B78" s="9"/>
      <c r="C78" s="11"/>
      <c r="E78" t="str">
        <f t="shared" si="4"/>
        <v/>
      </c>
    </row>
    <row r="79" spans="2:5" x14ac:dyDescent="0.3">
      <c r="B79" s="9"/>
      <c r="C79" s="11"/>
      <c r="E79" t="str">
        <f t="shared" si="4"/>
        <v/>
      </c>
    </row>
    <row r="80" spans="2:5" x14ac:dyDescent="0.3">
      <c r="B80" s="9"/>
      <c r="C80" s="11"/>
      <c r="E80" t="str">
        <f t="shared" si="4"/>
        <v/>
      </c>
    </row>
    <row r="81" spans="2:5" x14ac:dyDescent="0.3">
      <c r="B81" s="9"/>
      <c r="C81" s="11"/>
      <c r="E81" t="str">
        <f t="shared" si="4"/>
        <v/>
      </c>
    </row>
    <row r="82" spans="2:5" x14ac:dyDescent="0.3">
      <c r="B82" s="3" t="s">
        <v>86</v>
      </c>
      <c r="D82" s="12">
        <f>SUM(D72:D81)</f>
        <v>0</v>
      </c>
    </row>
  </sheetData>
  <mergeCells count="4">
    <mergeCell ref="A1:F1"/>
    <mergeCell ref="I2:L2"/>
    <mergeCell ref="C25:F25"/>
    <mergeCell ref="T1:W1"/>
  </mergeCells>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초기화">
              <controlPr defaultSize="0" print="0" autoFill="0" autoPict="0" macro="초기화">
                <anchor moveWithCells="1" sizeWithCells="1">
                  <from>
                    <xdr:col>5</xdr:col>
                    <xdr:colOff>571500</xdr:colOff>
                    <xdr:row>0</xdr:row>
                    <xdr:rowOff>123825</xdr:rowOff>
                  </from>
                  <to>
                    <xdr:col>6</xdr:col>
                    <xdr:colOff>323850</xdr:colOff>
                    <xdr:row>1</xdr:row>
                    <xdr:rowOff>180975</xdr:rowOff>
                  </to>
                </anchor>
              </controlPr>
            </control>
          </mc:Choice>
        </mc:AlternateContent>
        <mc:AlternateContent xmlns:mc="http://schemas.openxmlformats.org/markup-compatibility/2006">
          <mc:Choice Requires="x14">
            <control shapeId="2050" r:id="rId5" name="btn저장하기">
              <controlPr defaultSize="0" print="0" autoFill="0" autoPict="0" macro="저장하기">
                <anchor moveWithCells="1" sizeWithCells="1">
                  <from>
                    <xdr:col>6</xdr:col>
                    <xdr:colOff>447675</xdr:colOff>
                    <xdr:row>0</xdr:row>
                    <xdr:rowOff>123825</xdr:rowOff>
                  </from>
                  <to>
                    <xdr:col>8</xdr:col>
                    <xdr:colOff>95250</xdr:colOff>
                    <xdr:row>1</xdr:row>
                    <xdr:rowOff>180975</xdr:rowOff>
                  </to>
                </anchor>
              </controlPr>
            </control>
          </mc:Choice>
        </mc:AlternateContent>
        <mc:AlternateContent xmlns:mc="http://schemas.openxmlformats.org/markup-compatibility/2006">
          <mc:Choice Requires="x14">
            <control shapeId="2051" r:id="rId6" name="btn수정하기">
              <controlPr defaultSize="0" print="0" autoFill="0" autoPict="0" macro="수정하기">
                <anchor moveWithCells="1" sizeWithCells="1">
                  <from>
                    <xdr:col>8</xdr:col>
                    <xdr:colOff>219075</xdr:colOff>
                    <xdr:row>0</xdr:row>
                    <xdr:rowOff>123825</xdr:rowOff>
                  </from>
                  <to>
                    <xdr:col>9</xdr:col>
                    <xdr:colOff>552450</xdr:colOff>
                    <xdr:row>1</xdr:row>
                    <xdr:rowOff>180975</xdr:rowOff>
                  </to>
                </anchor>
              </controlPr>
            </control>
          </mc:Choice>
        </mc:AlternateContent>
        <mc:AlternateContent xmlns:mc="http://schemas.openxmlformats.org/markup-compatibility/2006">
          <mc:Choice Requires="x14">
            <control shapeId="2052" r:id="rId7" name="btn불러오기">
              <controlPr defaultSize="0" print="0" autoFill="0" autoPict="0" macro="불러오기">
                <anchor moveWithCells="1" sizeWithCells="1">
                  <from>
                    <xdr:col>9</xdr:col>
                    <xdr:colOff>676275</xdr:colOff>
                    <xdr:row>0</xdr:row>
                    <xdr:rowOff>123825</xdr:rowOff>
                  </from>
                  <to>
                    <xdr:col>11</xdr:col>
                    <xdr:colOff>323850</xdr:colOff>
                    <xdr:row>1</xdr:row>
                    <xdr:rowOff>180975</xdr:rowOff>
                  </to>
                </anchor>
              </controlPr>
            </control>
          </mc:Choice>
        </mc:AlternateContent>
        <mc:AlternateContent xmlns:mc="http://schemas.openxmlformats.org/markup-compatibility/2006">
          <mc:Choice Requires="x14">
            <control shapeId="2053" r:id="rId8" name="btn빠른미리보기">
              <controlPr defaultSize="0" print="0" autoFill="0" autoPict="0" macro="선택서식_인쇄미리보기">
                <anchor moveWithCells="1" sizeWithCells="1">
                  <from>
                    <xdr:col>19</xdr:col>
                    <xdr:colOff>0</xdr:colOff>
                    <xdr:row>1</xdr:row>
                    <xdr:rowOff>0</xdr:rowOff>
                  </from>
                  <to>
                    <xdr:col>21</xdr:col>
                    <xdr:colOff>561975</xdr:colOff>
                    <xdr:row>2</xdr:row>
                    <xdr:rowOff>95250</xdr:rowOff>
                  </to>
                </anchor>
              </controlPr>
            </control>
          </mc:Choice>
        </mc:AlternateContent>
        <mc:AlternateContent xmlns:mc="http://schemas.openxmlformats.org/markup-compatibility/2006">
          <mc:Choice Requires="x14">
            <control shapeId="2054" r:id="rId9" name="btn빠른PDF">
              <controlPr defaultSize="0" print="0" autoFill="0" autoPict="0" macro="선택서식_PDF저장">
                <anchor moveWithCells="1" sizeWithCells="1">
                  <from>
                    <xdr:col>21</xdr:col>
                    <xdr:colOff>685800</xdr:colOff>
                    <xdr:row>1</xdr:row>
                    <xdr:rowOff>0</xdr:rowOff>
                  </from>
                  <to>
                    <xdr:col>22</xdr:col>
                    <xdr:colOff>390525</xdr:colOff>
                    <xdr:row>2</xdr:row>
                    <xdr:rowOff>95250</xdr:rowOff>
                  </to>
                </anchor>
              </controlPr>
            </control>
          </mc:Choice>
        </mc:AlternateContent>
        <mc:AlternateContent xmlns:mc="http://schemas.openxmlformats.org/markup-compatibility/2006">
          <mc:Choice Requires="x14">
            <control shapeId="2055" r:id="rId10" name="btn이동_계약방법안내">
              <controlPr defaultSize="0" print="0" autoFill="0" autoPict="0" macro="이동_계약방법안내">
                <anchor moveWithCells="1" sizeWithCells="1">
                  <from>
                    <xdr:col>22</xdr:col>
                    <xdr:colOff>514350</xdr:colOff>
                    <xdr:row>1</xdr:row>
                    <xdr:rowOff>0</xdr:rowOff>
                  </from>
                  <to>
                    <xdr:col>25</xdr:col>
                    <xdr:colOff>314325</xdr:colOff>
                    <xdr:row>2</xdr:row>
                    <xdr:rowOff>95250</xdr:rowOff>
                  </to>
                </anchor>
              </controlPr>
            </control>
          </mc:Choice>
        </mc:AlternateContent>
        <mc:AlternateContent xmlns:mc="http://schemas.openxmlformats.org/markup-compatibility/2006">
          <mc:Choice Requires="x14">
            <control shapeId="2056" r:id="rId11" name="chkQuick_F-001">
              <controlPr defaultSize="0" autoFill="0" autoLine="0" autoPict="0">
                <anchor moveWithCells="1">
                  <from>
                    <xdr:col>19</xdr:col>
                    <xdr:colOff>19050</xdr:colOff>
                    <xdr:row>4</xdr:row>
                    <xdr:rowOff>9525</xdr:rowOff>
                  </from>
                  <to>
                    <xdr:col>19</xdr:col>
                    <xdr:colOff>314325</xdr:colOff>
                    <xdr:row>5</xdr:row>
                    <xdr:rowOff>38100</xdr:rowOff>
                  </to>
                </anchor>
              </controlPr>
            </control>
          </mc:Choice>
        </mc:AlternateContent>
        <mc:AlternateContent xmlns:mc="http://schemas.openxmlformats.org/markup-compatibility/2006">
          <mc:Choice Requires="x14">
            <control shapeId="2057" r:id="rId12" name="btnQuickView_F-001">
              <controlPr defaultSize="0" print="0" autoFill="0" autoPict="0" macro="기초자료_보기_실행">
                <anchor moveWithCells="1" sizeWithCells="1">
                  <from>
                    <xdr:col>22</xdr:col>
                    <xdr:colOff>9525</xdr:colOff>
                    <xdr:row>4</xdr:row>
                    <xdr:rowOff>9525</xdr:rowOff>
                  </from>
                  <to>
                    <xdr:col>23</xdr:col>
                    <xdr:colOff>66675</xdr:colOff>
                    <xdr:row>4</xdr:row>
                    <xdr:rowOff>200025</xdr:rowOff>
                  </to>
                </anchor>
              </controlPr>
            </control>
          </mc:Choice>
        </mc:AlternateContent>
        <mc:AlternateContent xmlns:mc="http://schemas.openxmlformats.org/markup-compatibility/2006">
          <mc:Choice Requires="x14">
            <control shapeId="2058" r:id="rId13" name="chkQuick_F-002">
              <controlPr defaultSize="0" autoFill="0" autoLine="0" autoPict="0">
                <anchor moveWithCells="1">
                  <from>
                    <xdr:col>19</xdr:col>
                    <xdr:colOff>19050</xdr:colOff>
                    <xdr:row>5</xdr:row>
                    <xdr:rowOff>9525</xdr:rowOff>
                  </from>
                  <to>
                    <xdr:col>19</xdr:col>
                    <xdr:colOff>314325</xdr:colOff>
                    <xdr:row>6</xdr:row>
                    <xdr:rowOff>38100</xdr:rowOff>
                  </to>
                </anchor>
              </controlPr>
            </control>
          </mc:Choice>
        </mc:AlternateContent>
        <mc:AlternateContent xmlns:mc="http://schemas.openxmlformats.org/markup-compatibility/2006">
          <mc:Choice Requires="x14">
            <control shapeId="2059" r:id="rId14" name="btnQuickView_F-002">
              <controlPr defaultSize="0" print="0" autoFill="0" autoPict="0" macro="기초자료_보기_실행">
                <anchor moveWithCells="1" sizeWithCells="1">
                  <from>
                    <xdr:col>22</xdr:col>
                    <xdr:colOff>9525</xdr:colOff>
                    <xdr:row>5</xdr:row>
                    <xdr:rowOff>9525</xdr:rowOff>
                  </from>
                  <to>
                    <xdr:col>23</xdr:col>
                    <xdr:colOff>66675</xdr:colOff>
                    <xdr:row>5</xdr:row>
                    <xdr:rowOff>200025</xdr:rowOff>
                  </to>
                </anchor>
              </controlPr>
            </control>
          </mc:Choice>
        </mc:AlternateContent>
        <mc:AlternateContent xmlns:mc="http://schemas.openxmlformats.org/markup-compatibility/2006">
          <mc:Choice Requires="x14">
            <control shapeId="2060" r:id="rId15" name="chkQuick_F-003">
              <controlPr defaultSize="0" autoFill="0" autoLine="0" autoPict="0">
                <anchor moveWithCells="1">
                  <from>
                    <xdr:col>19</xdr:col>
                    <xdr:colOff>19050</xdr:colOff>
                    <xdr:row>6</xdr:row>
                    <xdr:rowOff>9525</xdr:rowOff>
                  </from>
                  <to>
                    <xdr:col>19</xdr:col>
                    <xdr:colOff>314325</xdr:colOff>
                    <xdr:row>7</xdr:row>
                    <xdr:rowOff>38100</xdr:rowOff>
                  </to>
                </anchor>
              </controlPr>
            </control>
          </mc:Choice>
        </mc:AlternateContent>
        <mc:AlternateContent xmlns:mc="http://schemas.openxmlformats.org/markup-compatibility/2006">
          <mc:Choice Requires="x14">
            <control shapeId="2061" r:id="rId16" name="btnQuickView_F-003">
              <controlPr defaultSize="0" print="0" autoFill="0" autoPict="0" macro="기초자료_보기_실행">
                <anchor moveWithCells="1" sizeWithCells="1">
                  <from>
                    <xdr:col>22</xdr:col>
                    <xdr:colOff>9525</xdr:colOff>
                    <xdr:row>6</xdr:row>
                    <xdr:rowOff>9525</xdr:rowOff>
                  </from>
                  <to>
                    <xdr:col>23</xdr:col>
                    <xdr:colOff>66675</xdr:colOff>
                    <xdr:row>6</xdr:row>
                    <xdr:rowOff>200025</xdr:rowOff>
                  </to>
                </anchor>
              </controlPr>
            </control>
          </mc:Choice>
        </mc:AlternateContent>
        <mc:AlternateContent xmlns:mc="http://schemas.openxmlformats.org/markup-compatibility/2006">
          <mc:Choice Requires="x14">
            <control shapeId="2062" r:id="rId17" name="chkQuick_F-004">
              <controlPr defaultSize="0" autoFill="0" autoLine="0" autoPict="0">
                <anchor moveWithCells="1">
                  <from>
                    <xdr:col>19</xdr:col>
                    <xdr:colOff>19050</xdr:colOff>
                    <xdr:row>7</xdr:row>
                    <xdr:rowOff>9525</xdr:rowOff>
                  </from>
                  <to>
                    <xdr:col>19</xdr:col>
                    <xdr:colOff>314325</xdr:colOff>
                    <xdr:row>8</xdr:row>
                    <xdr:rowOff>38100</xdr:rowOff>
                  </to>
                </anchor>
              </controlPr>
            </control>
          </mc:Choice>
        </mc:AlternateContent>
        <mc:AlternateContent xmlns:mc="http://schemas.openxmlformats.org/markup-compatibility/2006">
          <mc:Choice Requires="x14">
            <control shapeId="2063" r:id="rId18" name="btnQuickView_F-004">
              <controlPr defaultSize="0" print="0" autoFill="0" autoPict="0" macro="기초자료_보기_실행">
                <anchor moveWithCells="1" sizeWithCells="1">
                  <from>
                    <xdr:col>22</xdr:col>
                    <xdr:colOff>9525</xdr:colOff>
                    <xdr:row>7</xdr:row>
                    <xdr:rowOff>9525</xdr:rowOff>
                  </from>
                  <to>
                    <xdr:col>23</xdr:col>
                    <xdr:colOff>66675</xdr:colOff>
                    <xdr:row>7</xdr:row>
                    <xdr:rowOff>200025</xdr:rowOff>
                  </to>
                </anchor>
              </controlPr>
            </control>
          </mc:Choice>
        </mc:AlternateContent>
        <mc:AlternateContent xmlns:mc="http://schemas.openxmlformats.org/markup-compatibility/2006">
          <mc:Choice Requires="x14">
            <control shapeId="2064" r:id="rId19" name="chkQuick_F-005">
              <controlPr defaultSize="0" autoFill="0" autoLine="0" autoPict="0">
                <anchor moveWithCells="1">
                  <from>
                    <xdr:col>19</xdr:col>
                    <xdr:colOff>19050</xdr:colOff>
                    <xdr:row>8</xdr:row>
                    <xdr:rowOff>9525</xdr:rowOff>
                  </from>
                  <to>
                    <xdr:col>19</xdr:col>
                    <xdr:colOff>314325</xdr:colOff>
                    <xdr:row>9</xdr:row>
                    <xdr:rowOff>38100</xdr:rowOff>
                  </to>
                </anchor>
              </controlPr>
            </control>
          </mc:Choice>
        </mc:AlternateContent>
        <mc:AlternateContent xmlns:mc="http://schemas.openxmlformats.org/markup-compatibility/2006">
          <mc:Choice Requires="x14">
            <control shapeId="2065" r:id="rId20" name="btnQuickView_F-005">
              <controlPr defaultSize="0" print="0" autoFill="0" autoPict="0" macro="기초자료_보기_실행">
                <anchor moveWithCells="1" sizeWithCells="1">
                  <from>
                    <xdr:col>22</xdr:col>
                    <xdr:colOff>9525</xdr:colOff>
                    <xdr:row>8</xdr:row>
                    <xdr:rowOff>9525</xdr:rowOff>
                  </from>
                  <to>
                    <xdr:col>23</xdr:col>
                    <xdr:colOff>66675</xdr:colOff>
                    <xdr:row>8</xdr:row>
                    <xdr:rowOff>200025</xdr:rowOff>
                  </to>
                </anchor>
              </controlPr>
            </control>
          </mc:Choice>
        </mc:AlternateContent>
        <mc:AlternateContent xmlns:mc="http://schemas.openxmlformats.org/markup-compatibility/2006">
          <mc:Choice Requires="x14">
            <control shapeId="2066" r:id="rId21" name="chkQuick_F-006">
              <controlPr defaultSize="0" autoFill="0" autoLine="0" autoPict="0">
                <anchor moveWithCells="1">
                  <from>
                    <xdr:col>19</xdr:col>
                    <xdr:colOff>19050</xdr:colOff>
                    <xdr:row>9</xdr:row>
                    <xdr:rowOff>9525</xdr:rowOff>
                  </from>
                  <to>
                    <xdr:col>19</xdr:col>
                    <xdr:colOff>314325</xdr:colOff>
                    <xdr:row>10</xdr:row>
                    <xdr:rowOff>38100</xdr:rowOff>
                  </to>
                </anchor>
              </controlPr>
            </control>
          </mc:Choice>
        </mc:AlternateContent>
        <mc:AlternateContent xmlns:mc="http://schemas.openxmlformats.org/markup-compatibility/2006">
          <mc:Choice Requires="x14">
            <control shapeId="2067" r:id="rId22" name="btnQuickView_F-006">
              <controlPr defaultSize="0" print="0" autoFill="0" autoPict="0" macro="기초자료_보기_실행">
                <anchor moveWithCells="1" sizeWithCells="1">
                  <from>
                    <xdr:col>22</xdr:col>
                    <xdr:colOff>9525</xdr:colOff>
                    <xdr:row>9</xdr:row>
                    <xdr:rowOff>9525</xdr:rowOff>
                  </from>
                  <to>
                    <xdr:col>23</xdr:col>
                    <xdr:colOff>66675</xdr:colOff>
                    <xdr:row>9</xdr:row>
                    <xdr:rowOff>200025</xdr:rowOff>
                  </to>
                </anchor>
              </controlPr>
            </control>
          </mc:Choice>
        </mc:AlternateContent>
        <mc:AlternateContent xmlns:mc="http://schemas.openxmlformats.org/markup-compatibility/2006">
          <mc:Choice Requires="x14">
            <control shapeId="2068" r:id="rId23" name="chkQuick_F-007">
              <controlPr defaultSize="0" autoFill="0" autoLine="0" autoPict="0">
                <anchor moveWithCells="1">
                  <from>
                    <xdr:col>19</xdr:col>
                    <xdr:colOff>19050</xdr:colOff>
                    <xdr:row>10</xdr:row>
                    <xdr:rowOff>9525</xdr:rowOff>
                  </from>
                  <to>
                    <xdr:col>19</xdr:col>
                    <xdr:colOff>314325</xdr:colOff>
                    <xdr:row>11</xdr:row>
                    <xdr:rowOff>38100</xdr:rowOff>
                  </to>
                </anchor>
              </controlPr>
            </control>
          </mc:Choice>
        </mc:AlternateContent>
        <mc:AlternateContent xmlns:mc="http://schemas.openxmlformats.org/markup-compatibility/2006">
          <mc:Choice Requires="x14">
            <control shapeId="2069" r:id="rId24" name="btnQuickView_F-007">
              <controlPr defaultSize="0" print="0" autoFill="0" autoPict="0" macro="기초자료_보기_실행">
                <anchor moveWithCells="1" sizeWithCells="1">
                  <from>
                    <xdr:col>22</xdr:col>
                    <xdr:colOff>9525</xdr:colOff>
                    <xdr:row>10</xdr:row>
                    <xdr:rowOff>9525</xdr:rowOff>
                  </from>
                  <to>
                    <xdr:col>23</xdr:col>
                    <xdr:colOff>66675</xdr:colOff>
                    <xdr:row>10</xdr:row>
                    <xdr:rowOff>200025</xdr:rowOff>
                  </to>
                </anchor>
              </controlPr>
            </control>
          </mc:Choice>
        </mc:AlternateContent>
        <mc:AlternateContent xmlns:mc="http://schemas.openxmlformats.org/markup-compatibility/2006">
          <mc:Choice Requires="x14">
            <control shapeId="2070" r:id="rId25" name="chkQuick_F-008">
              <controlPr defaultSize="0" autoFill="0" autoLine="0" autoPict="0">
                <anchor moveWithCells="1">
                  <from>
                    <xdr:col>19</xdr:col>
                    <xdr:colOff>19050</xdr:colOff>
                    <xdr:row>11</xdr:row>
                    <xdr:rowOff>9525</xdr:rowOff>
                  </from>
                  <to>
                    <xdr:col>19</xdr:col>
                    <xdr:colOff>314325</xdr:colOff>
                    <xdr:row>12</xdr:row>
                    <xdr:rowOff>38100</xdr:rowOff>
                  </to>
                </anchor>
              </controlPr>
            </control>
          </mc:Choice>
        </mc:AlternateContent>
        <mc:AlternateContent xmlns:mc="http://schemas.openxmlformats.org/markup-compatibility/2006">
          <mc:Choice Requires="x14">
            <control shapeId="2071" r:id="rId26" name="btnQuickView_F-008">
              <controlPr defaultSize="0" print="0" autoFill="0" autoPict="0" macro="기초자료_보기_실행">
                <anchor moveWithCells="1" sizeWithCells="1">
                  <from>
                    <xdr:col>22</xdr:col>
                    <xdr:colOff>9525</xdr:colOff>
                    <xdr:row>11</xdr:row>
                    <xdr:rowOff>9525</xdr:rowOff>
                  </from>
                  <to>
                    <xdr:col>23</xdr:col>
                    <xdr:colOff>66675</xdr:colOff>
                    <xdr:row>11</xdr:row>
                    <xdr:rowOff>200025</xdr:rowOff>
                  </to>
                </anchor>
              </controlPr>
            </control>
          </mc:Choice>
        </mc:AlternateContent>
        <mc:AlternateContent xmlns:mc="http://schemas.openxmlformats.org/markup-compatibility/2006">
          <mc:Choice Requires="x14">
            <control shapeId="2072" r:id="rId27" name="chkQuick_F-009">
              <controlPr defaultSize="0" autoFill="0" autoLine="0" autoPict="0">
                <anchor moveWithCells="1">
                  <from>
                    <xdr:col>19</xdr:col>
                    <xdr:colOff>19050</xdr:colOff>
                    <xdr:row>12</xdr:row>
                    <xdr:rowOff>9525</xdr:rowOff>
                  </from>
                  <to>
                    <xdr:col>19</xdr:col>
                    <xdr:colOff>314325</xdr:colOff>
                    <xdr:row>13</xdr:row>
                    <xdr:rowOff>38100</xdr:rowOff>
                  </to>
                </anchor>
              </controlPr>
            </control>
          </mc:Choice>
        </mc:AlternateContent>
        <mc:AlternateContent xmlns:mc="http://schemas.openxmlformats.org/markup-compatibility/2006">
          <mc:Choice Requires="x14">
            <control shapeId="2073" r:id="rId28" name="btnQuickView_F-009">
              <controlPr defaultSize="0" print="0" autoFill="0" autoPict="0" macro="기초자료_보기_실행">
                <anchor moveWithCells="1" sizeWithCells="1">
                  <from>
                    <xdr:col>22</xdr:col>
                    <xdr:colOff>9525</xdr:colOff>
                    <xdr:row>12</xdr:row>
                    <xdr:rowOff>9525</xdr:rowOff>
                  </from>
                  <to>
                    <xdr:col>23</xdr:col>
                    <xdr:colOff>66675</xdr:colOff>
                    <xdr:row>12</xdr:row>
                    <xdr:rowOff>200025</xdr:rowOff>
                  </to>
                </anchor>
              </controlPr>
            </control>
          </mc:Choice>
        </mc:AlternateContent>
        <mc:AlternateContent xmlns:mc="http://schemas.openxmlformats.org/markup-compatibility/2006">
          <mc:Choice Requires="x14">
            <control shapeId="2074" r:id="rId29" name="chkQuick_F-010">
              <controlPr defaultSize="0" autoFill="0" autoLine="0" autoPict="0">
                <anchor moveWithCells="1">
                  <from>
                    <xdr:col>19</xdr:col>
                    <xdr:colOff>19050</xdr:colOff>
                    <xdr:row>13</xdr:row>
                    <xdr:rowOff>9525</xdr:rowOff>
                  </from>
                  <to>
                    <xdr:col>19</xdr:col>
                    <xdr:colOff>314325</xdr:colOff>
                    <xdr:row>14</xdr:row>
                    <xdr:rowOff>38100</xdr:rowOff>
                  </to>
                </anchor>
              </controlPr>
            </control>
          </mc:Choice>
        </mc:AlternateContent>
        <mc:AlternateContent xmlns:mc="http://schemas.openxmlformats.org/markup-compatibility/2006">
          <mc:Choice Requires="x14">
            <control shapeId="2075" r:id="rId30" name="btnQuickView_F-010">
              <controlPr defaultSize="0" print="0" autoFill="0" autoPict="0" macro="기초자료_보기_실행">
                <anchor moveWithCells="1" sizeWithCells="1">
                  <from>
                    <xdr:col>22</xdr:col>
                    <xdr:colOff>9525</xdr:colOff>
                    <xdr:row>13</xdr:row>
                    <xdr:rowOff>9525</xdr:rowOff>
                  </from>
                  <to>
                    <xdr:col>23</xdr:col>
                    <xdr:colOff>66675</xdr:colOff>
                    <xdr:row>13</xdr:row>
                    <xdr:rowOff>200025</xdr:rowOff>
                  </to>
                </anchor>
              </controlPr>
            </control>
          </mc:Choice>
        </mc:AlternateContent>
        <mc:AlternateContent xmlns:mc="http://schemas.openxmlformats.org/markup-compatibility/2006">
          <mc:Choice Requires="x14">
            <control shapeId="2076" r:id="rId31" name="chkQuick_F-011">
              <controlPr defaultSize="0" autoFill="0" autoLine="0" autoPict="0">
                <anchor moveWithCells="1">
                  <from>
                    <xdr:col>19</xdr:col>
                    <xdr:colOff>19050</xdr:colOff>
                    <xdr:row>14</xdr:row>
                    <xdr:rowOff>9525</xdr:rowOff>
                  </from>
                  <to>
                    <xdr:col>19</xdr:col>
                    <xdr:colOff>314325</xdr:colOff>
                    <xdr:row>15</xdr:row>
                    <xdr:rowOff>38100</xdr:rowOff>
                  </to>
                </anchor>
              </controlPr>
            </control>
          </mc:Choice>
        </mc:AlternateContent>
        <mc:AlternateContent xmlns:mc="http://schemas.openxmlformats.org/markup-compatibility/2006">
          <mc:Choice Requires="x14">
            <control shapeId="2077" r:id="rId32" name="btnQuickView_F-011">
              <controlPr defaultSize="0" print="0" autoFill="0" autoPict="0" macro="기초자료_보기_실행">
                <anchor moveWithCells="1" sizeWithCells="1">
                  <from>
                    <xdr:col>22</xdr:col>
                    <xdr:colOff>9525</xdr:colOff>
                    <xdr:row>14</xdr:row>
                    <xdr:rowOff>9525</xdr:rowOff>
                  </from>
                  <to>
                    <xdr:col>23</xdr:col>
                    <xdr:colOff>66675</xdr:colOff>
                    <xdr:row>14</xdr:row>
                    <xdr:rowOff>200025</xdr:rowOff>
                  </to>
                </anchor>
              </controlPr>
            </control>
          </mc:Choice>
        </mc:AlternateContent>
        <mc:AlternateContent xmlns:mc="http://schemas.openxmlformats.org/markup-compatibility/2006">
          <mc:Choice Requires="x14">
            <control shapeId="2078" r:id="rId33" name="chkQuick_F-012">
              <controlPr defaultSize="0" autoFill="0" autoLine="0" autoPict="0">
                <anchor moveWithCells="1">
                  <from>
                    <xdr:col>19</xdr:col>
                    <xdr:colOff>19050</xdr:colOff>
                    <xdr:row>15</xdr:row>
                    <xdr:rowOff>9525</xdr:rowOff>
                  </from>
                  <to>
                    <xdr:col>19</xdr:col>
                    <xdr:colOff>314325</xdr:colOff>
                    <xdr:row>16</xdr:row>
                    <xdr:rowOff>38100</xdr:rowOff>
                  </to>
                </anchor>
              </controlPr>
            </control>
          </mc:Choice>
        </mc:AlternateContent>
        <mc:AlternateContent xmlns:mc="http://schemas.openxmlformats.org/markup-compatibility/2006">
          <mc:Choice Requires="x14">
            <control shapeId="2079" r:id="rId34" name="btnQuickView_F-012">
              <controlPr defaultSize="0" print="0" autoFill="0" autoPict="0" macro="기초자료_보기_실행">
                <anchor moveWithCells="1" sizeWithCells="1">
                  <from>
                    <xdr:col>22</xdr:col>
                    <xdr:colOff>9525</xdr:colOff>
                    <xdr:row>15</xdr:row>
                    <xdr:rowOff>9525</xdr:rowOff>
                  </from>
                  <to>
                    <xdr:col>23</xdr:col>
                    <xdr:colOff>66675</xdr:colOff>
                    <xdr:row>15</xdr:row>
                    <xdr:rowOff>200025</xdr:rowOff>
                  </to>
                </anchor>
              </controlPr>
            </control>
          </mc:Choice>
        </mc:AlternateContent>
        <mc:AlternateContent xmlns:mc="http://schemas.openxmlformats.org/markup-compatibility/2006">
          <mc:Choice Requires="x14">
            <control shapeId="2080" r:id="rId35" name="chkQuick_F-013">
              <controlPr defaultSize="0" autoFill="0" autoLine="0" autoPict="0">
                <anchor moveWithCells="1">
                  <from>
                    <xdr:col>19</xdr:col>
                    <xdr:colOff>19050</xdr:colOff>
                    <xdr:row>16</xdr:row>
                    <xdr:rowOff>9525</xdr:rowOff>
                  </from>
                  <to>
                    <xdr:col>19</xdr:col>
                    <xdr:colOff>314325</xdr:colOff>
                    <xdr:row>17</xdr:row>
                    <xdr:rowOff>38100</xdr:rowOff>
                  </to>
                </anchor>
              </controlPr>
            </control>
          </mc:Choice>
        </mc:AlternateContent>
        <mc:AlternateContent xmlns:mc="http://schemas.openxmlformats.org/markup-compatibility/2006">
          <mc:Choice Requires="x14">
            <control shapeId="2081" r:id="rId36" name="chkQuick_F-014">
              <controlPr defaultSize="0" autoFill="0" autoLine="0" autoPict="0">
                <anchor moveWithCells="1">
                  <from>
                    <xdr:col>19</xdr:col>
                    <xdr:colOff>19050</xdr:colOff>
                    <xdr:row>17</xdr:row>
                    <xdr:rowOff>9525</xdr:rowOff>
                  </from>
                  <to>
                    <xdr:col>19</xdr:col>
                    <xdr:colOff>314325</xdr:colOff>
                    <xdr:row>18</xdr:row>
                    <xdr:rowOff>38100</xdr:rowOff>
                  </to>
                </anchor>
              </controlPr>
            </control>
          </mc:Choice>
        </mc:AlternateContent>
        <mc:AlternateContent xmlns:mc="http://schemas.openxmlformats.org/markup-compatibility/2006">
          <mc:Choice Requires="x14">
            <control shapeId="2082" r:id="rId37" name="btnQuickView_F-014">
              <controlPr defaultSize="0" print="0" autoFill="0" autoPict="0" macro="기초자료_보기_실행">
                <anchor moveWithCells="1" sizeWithCells="1">
                  <from>
                    <xdr:col>22</xdr:col>
                    <xdr:colOff>9525</xdr:colOff>
                    <xdr:row>17</xdr:row>
                    <xdr:rowOff>9525</xdr:rowOff>
                  </from>
                  <to>
                    <xdr:col>23</xdr:col>
                    <xdr:colOff>66675</xdr:colOff>
                    <xdr:row>17</xdr:row>
                    <xdr:rowOff>200025</xdr:rowOff>
                  </to>
                </anchor>
              </controlPr>
            </control>
          </mc:Choice>
        </mc:AlternateContent>
        <mc:AlternateContent xmlns:mc="http://schemas.openxmlformats.org/markup-compatibility/2006">
          <mc:Choice Requires="x14">
            <control shapeId="2083" r:id="rId38" name="chkQuick_F-015">
              <controlPr defaultSize="0" autoFill="0" autoLine="0" autoPict="0">
                <anchor moveWithCells="1">
                  <from>
                    <xdr:col>19</xdr:col>
                    <xdr:colOff>19050</xdr:colOff>
                    <xdr:row>18</xdr:row>
                    <xdr:rowOff>9525</xdr:rowOff>
                  </from>
                  <to>
                    <xdr:col>19</xdr:col>
                    <xdr:colOff>314325</xdr:colOff>
                    <xdr:row>19</xdr:row>
                    <xdr:rowOff>38100</xdr:rowOff>
                  </to>
                </anchor>
              </controlPr>
            </control>
          </mc:Choice>
        </mc:AlternateContent>
        <mc:AlternateContent xmlns:mc="http://schemas.openxmlformats.org/markup-compatibility/2006">
          <mc:Choice Requires="x14">
            <control shapeId="2084" r:id="rId39" name="btnQuickView_F-015">
              <controlPr defaultSize="0" print="0" autoFill="0" autoPict="0" macro="기초자료_보기_실행">
                <anchor moveWithCells="1" sizeWithCells="1">
                  <from>
                    <xdr:col>22</xdr:col>
                    <xdr:colOff>9525</xdr:colOff>
                    <xdr:row>18</xdr:row>
                    <xdr:rowOff>9525</xdr:rowOff>
                  </from>
                  <to>
                    <xdr:col>23</xdr:col>
                    <xdr:colOff>66675</xdr:colOff>
                    <xdr:row>18</xdr:row>
                    <xdr:rowOff>200025</xdr:rowOff>
                  </to>
                </anchor>
              </controlPr>
            </control>
          </mc:Choice>
        </mc:AlternateContent>
        <mc:AlternateContent xmlns:mc="http://schemas.openxmlformats.org/markup-compatibility/2006">
          <mc:Choice Requires="x14">
            <control shapeId="2085" r:id="rId40" name="chkQuick_F-016">
              <controlPr defaultSize="0" autoFill="0" autoLine="0" autoPict="0">
                <anchor moveWithCells="1">
                  <from>
                    <xdr:col>19</xdr:col>
                    <xdr:colOff>19050</xdr:colOff>
                    <xdr:row>19</xdr:row>
                    <xdr:rowOff>9525</xdr:rowOff>
                  </from>
                  <to>
                    <xdr:col>19</xdr:col>
                    <xdr:colOff>314325</xdr:colOff>
                    <xdr:row>20</xdr:row>
                    <xdr:rowOff>38100</xdr:rowOff>
                  </to>
                </anchor>
              </controlPr>
            </control>
          </mc:Choice>
        </mc:AlternateContent>
        <mc:AlternateContent xmlns:mc="http://schemas.openxmlformats.org/markup-compatibility/2006">
          <mc:Choice Requires="x14">
            <control shapeId="2086" r:id="rId41" name="btnQuickView_F-016">
              <controlPr defaultSize="0" print="0" autoFill="0" autoPict="0" macro="기초자료_보기_실행">
                <anchor moveWithCells="1" sizeWithCells="1">
                  <from>
                    <xdr:col>22</xdr:col>
                    <xdr:colOff>9525</xdr:colOff>
                    <xdr:row>19</xdr:row>
                    <xdr:rowOff>9525</xdr:rowOff>
                  </from>
                  <to>
                    <xdr:col>23</xdr:col>
                    <xdr:colOff>66675</xdr:colOff>
                    <xdr:row>19</xdr:row>
                    <xdr:rowOff>200025</xdr:rowOff>
                  </to>
                </anchor>
              </controlPr>
            </control>
          </mc:Choice>
        </mc:AlternateContent>
        <mc:AlternateContent xmlns:mc="http://schemas.openxmlformats.org/markup-compatibility/2006">
          <mc:Choice Requires="x14">
            <control shapeId="2087" r:id="rId42" name="chkQuick_F-017">
              <controlPr defaultSize="0" autoFill="0" autoLine="0" autoPict="0">
                <anchor moveWithCells="1">
                  <from>
                    <xdr:col>19</xdr:col>
                    <xdr:colOff>19050</xdr:colOff>
                    <xdr:row>20</xdr:row>
                    <xdr:rowOff>9525</xdr:rowOff>
                  </from>
                  <to>
                    <xdr:col>19</xdr:col>
                    <xdr:colOff>314325</xdr:colOff>
                    <xdr:row>21</xdr:row>
                    <xdr:rowOff>38100</xdr:rowOff>
                  </to>
                </anchor>
              </controlPr>
            </control>
          </mc:Choice>
        </mc:AlternateContent>
        <mc:AlternateContent xmlns:mc="http://schemas.openxmlformats.org/markup-compatibility/2006">
          <mc:Choice Requires="x14">
            <control shapeId="2088" r:id="rId43" name="btnQuickView_F-017">
              <controlPr defaultSize="0" print="0" autoFill="0" autoPict="0" macro="기초자료_보기_실행">
                <anchor moveWithCells="1" sizeWithCells="1">
                  <from>
                    <xdr:col>22</xdr:col>
                    <xdr:colOff>9525</xdr:colOff>
                    <xdr:row>20</xdr:row>
                    <xdr:rowOff>9525</xdr:rowOff>
                  </from>
                  <to>
                    <xdr:col>23</xdr:col>
                    <xdr:colOff>66675</xdr:colOff>
                    <xdr:row>20</xdr:row>
                    <xdr:rowOff>200025</xdr:rowOff>
                  </to>
                </anchor>
              </controlPr>
            </control>
          </mc:Choice>
        </mc:AlternateContent>
        <mc:AlternateContent xmlns:mc="http://schemas.openxmlformats.org/markup-compatibility/2006">
          <mc:Choice Requires="x14">
            <control shapeId="2089" r:id="rId44" name="chkQuick_F-018">
              <controlPr defaultSize="0" autoFill="0" autoLine="0" autoPict="0">
                <anchor moveWithCells="1">
                  <from>
                    <xdr:col>19</xdr:col>
                    <xdr:colOff>19050</xdr:colOff>
                    <xdr:row>21</xdr:row>
                    <xdr:rowOff>9525</xdr:rowOff>
                  </from>
                  <to>
                    <xdr:col>19</xdr:col>
                    <xdr:colOff>314325</xdr:colOff>
                    <xdr:row>22</xdr:row>
                    <xdr:rowOff>38100</xdr:rowOff>
                  </to>
                </anchor>
              </controlPr>
            </control>
          </mc:Choice>
        </mc:AlternateContent>
        <mc:AlternateContent xmlns:mc="http://schemas.openxmlformats.org/markup-compatibility/2006">
          <mc:Choice Requires="x14">
            <control shapeId="2090" r:id="rId45" name="btnQuickView_F-018">
              <controlPr defaultSize="0" print="0" autoFill="0" autoPict="0" macro="기초자료_보기_실행">
                <anchor moveWithCells="1" sizeWithCells="1">
                  <from>
                    <xdr:col>22</xdr:col>
                    <xdr:colOff>9525</xdr:colOff>
                    <xdr:row>21</xdr:row>
                    <xdr:rowOff>9525</xdr:rowOff>
                  </from>
                  <to>
                    <xdr:col>23</xdr:col>
                    <xdr:colOff>66675</xdr:colOff>
                    <xdr:row>21</xdr:row>
                    <xdr:rowOff>200025</xdr:rowOff>
                  </to>
                </anchor>
              </controlPr>
            </control>
          </mc:Choice>
        </mc:AlternateContent>
        <mc:AlternateContent xmlns:mc="http://schemas.openxmlformats.org/markup-compatibility/2006">
          <mc:Choice Requires="x14">
            <control shapeId="2091" r:id="rId46" name="chkQuick_F-019">
              <controlPr defaultSize="0" autoFill="0" autoLine="0" autoPict="0">
                <anchor moveWithCells="1">
                  <from>
                    <xdr:col>19</xdr:col>
                    <xdr:colOff>19050</xdr:colOff>
                    <xdr:row>22</xdr:row>
                    <xdr:rowOff>9525</xdr:rowOff>
                  </from>
                  <to>
                    <xdr:col>19</xdr:col>
                    <xdr:colOff>314325</xdr:colOff>
                    <xdr:row>23</xdr:row>
                    <xdr:rowOff>38100</xdr:rowOff>
                  </to>
                </anchor>
              </controlPr>
            </control>
          </mc:Choice>
        </mc:AlternateContent>
        <mc:AlternateContent xmlns:mc="http://schemas.openxmlformats.org/markup-compatibility/2006">
          <mc:Choice Requires="x14">
            <control shapeId="2092" r:id="rId47" name="btnQuickView_F-019">
              <controlPr defaultSize="0" print="0" autoFill="0" autoPict="0" macro="기초자료_보기_실행">
                <anchor moveWithCells="1" sizeWithCells="1">
                  <from>
                    <xdr:col>22</xdr:col>
                    <xdr:colOff>9525</xdr:colOff>
                    <xdr:row>22</xdr:row>
                    <xdr:rowOff>9525</xdr:rowOff>
                  </from>
                  <to>
                    <xdr:col>23</xdr:col>
                    <xdr:colOff>66675</xdr:colOff>
                    <xdr:row>22</xdr:row>
                    <xdr:rowOff>200025</xdr:rowOff>
                  </to>
                </anchor>
              </controlPr>
            </control>
          </mc:Choice>
        </mc:AlternateContent>
        <mc:AlternateContent xmlns:mc="http://schemas.openxmlformats.org/markup-compatibility/2006">
          <mc:Choice Requires="x14">
            <control shapeId="2093" r:id="rId48" name="chkQuick_F-020">
              <controlPr defaultSize="0" autoFill="0" autoLine="0" autoPict="0">
                <anchor moveWithCells="1">
                  <from>
                    <xdr:col>19</xdr:col>
                    <xdr:colOff>19050</xdr:colOff>
                    <xdr:row>23</xdr:row>
                    <xdr:rowOff>9525</xdr:rowOff>
                  </from>
                  <to>
                    <xdr:col>19</xdr:col>
                    <xdr:colOff>314325</xdr:colOff>
                    <xdr:row>24</xdr:row>
                    <xdr:rowOff>38100</xdr:rowOff>
                  </to>
                </anchor>
              </controlPr>
            </control>
          </mc:Choice>
        </mc:AlternateContent>
        <mc:AlternateContent xmlns:mc="http://schemas.openxmlformats.org/markup-compatibility/2006">
          <mc:Choice Requires="x14">
            <control shapeId="2094" r:id="rId49" name="btnQuickView_F-020">
              <controlPr defaultSize="0" print="0" autoFill="0" autoPict="0" macro="기초자료_보기_실행">
                <anchor moveWithCells="1" sizeWithCells="1">
                  <from>
                    <xdr:col>22</xdr:col>
                    <xdr:colOff>9525</xdr:colOff>
                    <xdr:row>23</xdr:row>
                    <xdr:rowOff>9525</xdr:rowOff>
                  </from>
                  <to>
                    <xdr:col>23</xdr:col>
                    <xdr:colOff>66675</xdr:colOff>
                    <xdr:row>23</xdr:row>
                    <xdr:rowOff>200025</xdr:rowOff>
                  </to>
                </anchor>
              </controlPr>
            </control>
          </mc:Choice>
        </mc:AlternateContent>
        <mc:AlternateContent xmlns:mc="http://schemas.openxmlformats.org/markup-compatibility/2006">
          <mc:Choice Requires="x14">
            <control shapeId="2095" r:id="rId50" name="chkQuick_F-021">
              <controlPr defaultSize="0" autoFill="0" autoLine="0" autoPict="0">
                <anchor moveWithCells="1">
                  <from>
                    <xdr:col>19</xdr:col>
                    <xdr:colOff>19050</xdr:colOff>
                    <xdr:row>24</xdr:row>
                    <xdr:rowOff>9525</xdr:rowOff>
                  </from>
                  <to>
                    <xdr:col>19</xdr:col>
                    <xdr:colOff>314325</xdr:colOff>
                    <xdr:row>24</xdr:row>
                    <xdr:rowOff>247650</xdr:rowOff>
                  </to>
                </anchor>
              </controlPr>
            </control>
          </mc:Choice>
        </mc:AlternateContent>
        <mc:AlternateContent xmlns:mc="http://schemas.openxmlformats.org/markup-compatibility/2006">
          <mc:Choice Requires="x14">
            <control shapeId="2096" r:id="rId51" name="btnQuickView_F-021">
              <controlPr defaultSize="0" print="0" autoFill="0" autoPict="0" macro="기초자료_보기_실행">
                <anchor moveWithCells="1" sizeWithCells="1">
                  <from>
                    <xdr:col>22</xdr:col>
                    <xdr:colOff>9525</xdr:colOff>
                    <xdr:row>24</xdr:row>
                    <xdr:rowOff>285750</xdr:rowOff>
                  </from>
                  <to>
                    <xdr:col>23</xdr:col>
                    <xdr:colOff>66675</xdr:colOff>
                    <xdr:row>24</xdr:row>
                    <xdr:rowOff>476250</xdr:rowOff>
                  </to>
                </anchor>
              </controlPr>
            </control>
          </mc:Choice>
        </mc:AlternateContent>
        <mc:AlternateContent xmlns:mc="http://schemas.openxmlformats.org/markup-compatibility/2006">
          <mc:Choice Requires="x14">
            <control shapeId="2097" r:id="rId52" name="chkQuick_F-022">
              <controlPr defaultSize="0" autoFill="0" autoLine="0" autoPict="0">
                <anchor moveWithCells="1">
                  <from>
                    <xdr:col>19</xdr:col>
                    <xdr:colOff>19050</xdr:colOff>
                    <xdr:row>25</xdr:row>
                    <xdr:rowOff>9525</xdr:rowOff>
                  </from>
                  <to>
                    <xdr:col>19</xdr:col>
                    <xdr:colOff>314325</xdr:colOff>
                    <xdr:row>26</xdr:row>
                    <xdr:rowOff>38100</xdr:rowOff>
                  </to>
                </anchor>
              </controlPr>
            </control>
          </mc:Choice>
        </mc:AlternateContent>
        <mc:AlternateContent xmlns:mc="http://schemas.openxmlformats.org/markup-compatibility/2006">
          <mc:Choice Requires="x14">
            <control shapeId="2098" r:id="rId53" name="btnQuickView_F-022">
              <controlPr defaultSize="0" print="0" autoFill="0" autoPict="0" macro="기초자료_보기_실행">
                <anchor moveWithCells="1" sizeWithCells="1">
                  <from>
                    <xdr:col>22</xdr:col>
                    <xdr:colOff>9525</xdr:colOff>
                    <xdr:row>25</xdr:row>
                    <xdr:rowOff>9525</xdr:rowOff>
                  </from>
                  <to>
                    <xdr:col>23</xdr:col>
                    <xdr:colOff>66675</xdr:colOff>
                    <xdr:row>25</xdr:row>
                    <xdr:rowOff>200025</xdr:rowOff>
                  </to>
                </anchor>
              </controlPr>
            </control>
          </mc:Choice>
        </mc:AlternateContent>
        <mc:AlternateContent xmlns:mc="http://schemas.openxmlformats.org/markup-compatibility/2006">
          <mc:Choice Requires="x14">
            <control shapeId="2099" r:id="rId54" name="chkQuick_F-023">
              <controlPr defaultSize="0" autoFill="0" autoLine="0" autoPict="0">
                <anchor moveWithCells="1">
                  <from>
                    <xdr:col>19</xdr:col>
                    <xdr:colOff>19050</xdr:colOff>
                    <xdr:row>26</xdr:row>
                    <xdr:rowOff>9525</xdr:rowOff>
                  </from>
                  <to>
                    <xdr:col>19</xdr:col>
                    <xdr:colOff>314325</xdr:colOff>
                    <xdr:row>27</xdr:row>
                    <xdr:rowOff>38100</xdr:rowOff>
                  </to>
                </anchor>
              </controlPr>
            </control>
          </mc:Choice>
        </mc:AlternateContent>
        <mc:AlternateContent xmlns:mc="http://schemas.openxmlformats.org/markup-compatibility/2006">
          <mc:Choice Requires="x14">
            <control shapeId="2100" r:id="rId55" name="btnQuickView_F-023">
              <controlPr defaultSize="0" print="0" autoFill="0" autoPict="0" macro="기초자료_보기_실행">
                <anchor moveWithCells="1" sizeWithCells="1">
                  <from>
                    <xdr:col>22</xdr:col>
                    <xdr:colOff>9525</xdr:colOff>
                    <xdr:row>26</xdr:row>
                    <xdr:rowOff>9525</xdr:rowOff>
                  </from>
                  <to>
                    <xdr:col>23</xdr:col>
                    <xdr:colOff>66675</xdr:colOff>
                    <xdr:row>26</xdr:row>
                    <xdr:rowOff>200025</xdr:rowOff>
                  </to>
                </anchor>
              </controlPr>
            </control>
          </mc:Choice>
        </mc:AlternateContent>
        <mc:AlternateContent xmlns:mc="http://schemas.openxmlformats.org/markup-compatibility/2006">
          <mc:Choice Requires="x14">
            <control shapeId="2101" r:id="rId56" name="chkQuick_F-024">
              <controlPr defaultSize="0" autoFill="0" autoLine="0" autoPict="0">
                <anchor moveWithCells="1">
                  <from>
                    <xdr:col>19</xdr:col>
                    <xdr:colOff>19050</xdr:colOff>
                    <xdr:row>27</xdr:row>
                    <xdr:rowOff>9525</xdr:rowOff>
                  </from>
                  <to>
                    <xdr:col>19</xdr:col>
                    <xdr:colOff>314325</xdr:colOff>
                    <xdr:row>28</xdr:row>
                    <xdr:rowOff>38100</xdr:rowOff>
                  </to>
                </anchor>
              </controlPr>
            </control>
          </mc:Choice>
        </mc:AlternateContent>
        <mc:AlternateContent xmlns:mc="http://schemas.openxmlformats.org/markup-compatibility/2006">
          <mc:Choice Requires="x14">
            <control shapeId="2102" r:id="rId57" name="btnQuickView_F-024">
              <controlPr defaultSize="0" print="0" autoFill="0" autoPict="0" macro="기초자료_보기_실행">
                <anchor moveWithCells="1" sizeWithCells="1">
                  <from>
                    <xdr:col>22</xdr:col>
                    <xdr:colOff>9525</xdr:colOff>
                    <xdr:row>27</xdr:row>
                    <xdr:rowOff>9525</xdr:rowOff>
                  </from>
                  <to>
                    <xdr:col>23</xdr:col>
                    <xdr:colOff>66675</xdr:colOff>
                    <xdr:row>27</xdr:row>
                    <xdr:rowOff>200025</xdr:rowOff>
                  </to>
                </anchor>
              </controlPr>
            </control>
          </mc:Choice>
        </mc:AlternateContent>
        <mc:AlternateContent xmlns:mc="http://schemas.openxmlformats.org/markup-compatibility/2006">
          <mc:Choice Requires="x14">
            <control shapeId="2103" r:id="rId58" name="chkQuick_F-025">
              <controlPr defaultSize="0" autoFill="0" autoLine="0" autoPict="0">
                <anchor moveWithCells="1">
                  <from>
                    <xdr:col>19</xdr:col>
                    <xdr:colOff>19050</xdr:colOff>
                    <xdr:row>28</xdr:row>
                    <xdr:rowOff>9525</xdr:rowOff>
                  </from>
                  <to>
                    <xdr:col>19</xdr:col>
                    <xdr:colOff>314325</xdr:colOff>
                    <xdr:row>29</xdr:row>
                    <xdr:rowOff>38100</xdr:rowOff>
                  </to>
                </anchor>
              </controlPr>
            </control>
          </mc:Choice>
        </mc:AlternateContent>
        <mc:AlternateContent xmlns:mc="http://schemas.openxmlformats.org/markup-compatibility/2006">
          <mc:Choice Requires="x14">
            <control shapeId="2104" r:id="rId59" name="btnQuickView_F-025">
              <controlPr defaultSize="0" print="0" autoFill="0" autoPict="0" macro="기초자료_보기_실행">
                <anchor moveWithCells="1" sizeWithCells="1">
                  <from>
                    <xdr:col>22</xdr:col>
                    <xdr:colOff>9525</xdr:colOff>
                    <xdr:row>28</xdr:row>
                    <xdr:rowOff>9525</xdr:rowOff>
                  </from>
                  <to>
                    <xdr:col>23</xdr:col>
                    <xdr:colOff>66675</xdr:colOff>
                    <xdr:row>28</xdr:row>
                    <xdr:rowOff>200025</xdr:rowOff>
                  </to>
                </anchor>
              </controlPr>
            </control>
          </mc:Choice>
        </mc:AlternateContent>
        <mc:AlternateContent xmlns:mc="http://schemas.openxmlformats.org/markup-compatibility/2006">
          <mc:Choice Requires="x14">
            <control shapeId="2105" r:id="rId60" name="chkQuick_F-026">
              <controlPr defaultSize="0" autoFill="0" autoLine="0" autoPict="0">
                <anchor moveWithCells="1">
                  <from>
                    <xdr:col>19</xdr:col>
                    <xdr:colOff>19050</xdr:colOff>
                    <xdr:row>29</xdr:row>
                    <xdr:rowOff>9525</xdr:rowOff>
                  </from>
                  <to>
                    <xdr:col>19</xdr:col>
                    <xdr:colOff>314325</xdr:colOff>
                    <xdr:row>30</xdr:row>
                    <xdr:rowOff>38100</xdr:rowOff>
                  </to>
                </anchor>
              </controlPr>
            </control>
          </mc:Choice>
        </mc:AlternateContent>
        <mc:AlternateContent xmlns:mc="http://schemas.openxmlformats.org/markup-compatibility/2006">
          <mc:Choice Requires="x14">
            <control shapeId="2106" r:id="rId61" name="chkQuick_F-027">
              <controlPr defaultSize="0" autoFill="0" autoLine="0" autoPict="0">
                <anchor moveWithCells="1">
                  <from>
                    <xdr:col>19</xdr:col>
                    <xdr:colOff>19050</xdr:colOff>
                    <xdr:row>30</xdr:row>
                    <xdr:rowOff>9525</xdr:rowOff>
                  </from>
                  <to>
                    <xdr:col>19</xdr:col>
                    <xdr:colOff>314325</xdr:colOff>
                    <xdr:row>31</xdr:row>
                    <xdr:rowOff>38100</xdr:rowOff>
                  </to>
                </anchor>
              </controlPr>
            </control>
          </mc:Choice>
        </mc:AlternateContent>
        <mc:AlternateContent xmlns:mc="http://schemas.openxmlformats.org/markup-compatibility/2006">
          <mc:Choice Requires="x14">
            <control shapeId="2107" r:id="rId62" name="btnQuickView_F-027">
              <controlPr defaultSize="0" print="0" autoFill="0" autoPict="0" macro="기초자료_보기_실행">
                <anchor moveWithCells="1" sizeWithCells="1">
                  <from>
                    <xdr:col>22</xdr:col>
                    <xdr:colOff>9525</xdr:colOff>
                    <xdr:row>30</xdr:row>
                    <xdr:rowOff>9525</xdr:rowOff>
                  </from>
                  <to>
                    <xdr:col>23</xdr:col>
                    <xdr:colOff>66675</xdr:colOff>
                    <xdr:row>30</xdr:row>
                    <xdr:rowOff>200025</xdr:rowOff>
                  </to>
                </anchor>
              </controlPr>
            </control>
          </mc:Choice>
        </mc:AlternateContent>
        <mc:AlternateContent xmlns:mc="http://schemas.openxmlformats.org/markup-compatibility/2006">
          <mc:Choice Requires="x14">
            <control shapeId="2108" r:id="rId63" name="chkQuick_F-028">
              <controlPr defaultSize="0" autoFill="0" autoLine="0" autoPict="0">
                <anchor moveWithCells="1">
                  <from>
                    <xdr:col>19</xdr:col>
                    <xdr:colOff>19050</xdr:colOff>
                    <xdr:row>31</xdr:row>
                    <xdr:rowOff>9525</xdr:rowOff>
                  </from>
                  <to>
                    <xdr:col>19</xdr:col>
                    <xdr:colOff>314325</xdr:colOff>
                    <xdr:row>32</xdr:row>
                    <xdr:rowOff>38100</xdr:rowOff>
                  </to>
                </anchor>
              </controlPr>
            </control>
          </mc:Choice>
        </mc:AlternateContent>
        <mc:AlternateContent xmlns:mc="http://schemas.openxmlformats.org/markup-compatibility/2006">
          <mc:Choice Requires="x14">
            <control shapeId="2109" r:id="rId64" name="chkQuick_F-029">
              <controlPr defaultSize="0" autoFill="0" autoLine="0" autoPict="0">
                <anchor moveWithCells="1">
                  <from>
                    <xdr:col>19</xdr:col>
                    <xdr:colOff>19050</xdr:colOff>
                    <xdr:row>32</xdr:row>
                    <xdr:rowOff>9525</xdr:rowOff>
                  </from>
                  <to>
                    <xdr:col>19</xdr:col>
                    <xdr:colOff>314325</xdr:colOff>
                    <xdr:row>33</xdr:row>
                    <xdr:rowOff>38100</xdr:rowOff>
                  </to>
                </anchor>
              </controlPr>
            </control>
          </mc:Choice>
        </mc:AlternateContent>
        <mc:AlternateContent xmlns:mc="http://schemas.openxmlformats.org/markup-compatibility/2006">
          <mc:Choice Requires="x14">
            <control shapeId="2110" r:id="rId65" name="btnQuickView_F-029">
              <controlPr defaultSize="0" print="0" autoFill="0" autoPict="0" macro="기초자료_보기_실행">
                <anchor moveWithCells="1" sizeWithCells="1">
                  <from>
                    <xdr:col>22</xdr:col>
                    <xdr:colOff>9525</xdr:colOff>
                    <xdr:row>32</xdr:row>
                    <xdr:rowOff>9525</xdr:rowOff>
                  </from>
                  <to>
                    <xdr:col>23</xdr:col>
                    <xdr:colOff>66675</xdr:colOff>
                    <xdr:row>32</xdr:row>
                    <xdr:rowOff>200025</xdr:rowOff>
                  </to>
                </anchor>
              </controlPr>
            </control>
          </mc:Choice>
        </mc:AlternateContent>
        <mc:AlternateContent xmlns:mc="http://schemas.openxmlformats.org/markup-compatibility/2006">
          <mc:Choice Requires="x14">
            <control shapeId="2111" r:id="rId66" name="chkQuick_F-030">
              <controlPr defaultSize="0" autoFill="0" autoLine="0" autoPict="0">
                <anchor moveWithCells="1">
                  <from>
                    <xdr:col>19</xdr:col>
                    <xdr:colOff>19050</xdr:colOff>
                    <xdr:row>33</xdr:row>
                    <xdr:rowOff>9525</xdr:rowOff>
                  </from>
                  <to>
                    <xdr:col>19</xdr:col>
                    <xdr:colOff>314325</xdr:colOff>
                    <xdr:row>34</xdr:row>
                    <xdr:rowOff>38100</xdr:rowOff>
                  </to>
                </anchor>
              </controlPr>
            </control>
          </mc:Choice>
        </mc:AlternateContent>
        <mc:AlternateContent xmlns:mc="http://schemas.openxmlformats.org/markup-compatibility/2006">
          <mc:Choice Requires="x14">
            <control shapeId="2112" r:id="rId67" name="btnQuickView_F-030">
              <controlPr defaultSize="0" print="0" autoFill="0" autoPict="0" macro="기초자료_보기_실행">
                <anchor moveWithCells="1" sizeWithCells="1">
                  <from>
                    <xdr:col>22</xdr:col>
                    <xdr:colOff>9525</xdr:colOff>
                    <xdr:row>33</xdr:row>
                    <xdr:rowOff>9525</xdr:rowOff>
                  </from>
                  <to>
                    <xdr:col>23</xdr:col>
                    <xdr:colOff>66675</xdr:colOff>
                    <xdr:row>33</xdr:row>
                    <xdr:rowOff>200025</xdr:rowOff>
                  </to>
                </anchor>
              </controlPr>
            </control>
          </mc:Choice>
        </mc:AlternateContent>
        <mc:AlternateContent xmlns:mc="http://schemas.openxmlformats.org/markup-compatibility/2006">
          <mc:Choice Requires="x14">
            <control shapeId="2113" r:id="rId68" name="chkQuick_F-031">
              <controlPr defaultSize="0" autoFill="0" autoLine="0" autoPict="0">
                <anchor moveWithCells="1">
                  <from>
                    <xdr:col>19</xdr:col>
                    <xdr:colOff>19050</xdr:colOff>
                    <xdr:row>34</xdr:row>
                    <xdr:rowOff>9525</xdr:rowOff>
                  </from>
                  <to>
                    <xdr:col>19</xdr:col>
                    <xdr:colOff>314325</xdr:colOff>
                    <xdr:row>35</xdr:row>
                    <xdr:rowOff>38100</xdr:rowOff>
                  </to>
                </anchor>
              </controlPr>
            </control>
          </mc:Choice>
        </mc:AlternateContent>
        <mc:AlternateContent xmlns:mc="http://schemas.openxmlformats.org/markup-compatibility/2006">
          <mc:Choice Requires="x14">
            <control shapeId="2114" r:id="rId69" name="btnQuickView_F-031">
              <controlPr defaultSize="0" print="0" autoFill="0" autoPict="0" macro="기초자료_보기_실행">
                <anchor moveWithCells="1" sizeWithCells="1">
                  <from>
                    <xdr:col>22</xdr:col>
                    <xdr:colOff>9525</xdr:colOff>
                    <xdr:row>34</xdr:row>
                    <xdr:rowOff>9525</xdr:rowOff>
                  </from>
                  <to>
                    <xdr:col>23</xdr:col>
                    <xdr:colOff>66675</xdr:colOff>
                    <xdr:row>34</xdr:row>
                    <xdr:rowOff>200025</xdr:rowOff>
                  </to>
                </anchor>
              </controlPr>
            </control>
          </mc:Choice>
        </mc:AlternateContent>
        <mc:AlternateContent xmlns:mc="http://schemas.openxmlformats.org/markup-compatibility/2006">
          <mc:Choice Requires="x14">
            <control shapeId="2115" r:id="rId70" name="chkQuick_F-032">
              <controlPr defaultSize="0" autoFill="0" autoLine="0" autoPict="0">
                <anchor moveWithCells="1">
                  <from>
                    <xdr:col>19</xdr:col>
                    <xdr:colOff>19050</xdr:colOff>
                    <xdr:row>35</xdr:row>
                    <xdr:rowOff>9525</xdr:rowOff>
                  </from>
                  <to>
                    <xdr:col>19</xdr:col>
                    <xdr:colOff>314325</xdr:colOff>
                    <xdr:row>36</xdr:row>
                    <xdr:rowOff>38100</xdr:rowOff>
                  </to>
                </anchor>
              </controlPr>
            </control>
          </mc:Choice>
        </mc:AlternateContent>
        <mc:AlternateContent xmlns:mc="http://schemas.openxmlformats.org/markup-compatibility/2006">
          <mc:Choice Requires="x14">
            <control shapeId="2116" r:id="rId71" name="btnQuickView_F-032">
              <controlPr defaultSize="0" print="0" autoFill="0" autoPict="0" macro="기초자료_보기_실행">
                <anchor moveWithCells="1" sizeWithCells="1">
                  <from>
                    <xdr:col>22</xdr:col>
                    <xdr:colOff>9525</xdr:colOff>
                    <xdr:row>35</xdr:row>
                    <xdr:rowOff>9525</xdr:rowOff>
                  </from>
                  <to>
                    <xdr:col>23</xdr:col>
                    <xdr:colOff>66675</xdr:colOff>
                    <xdr:row>35</xdr:row>
                    <xdr:rowOff>200025</xdr:rowOff>
                  </to>
                </anchor>
              </controlPr>
            </control>
          </mc:Choice>
        </mc:AlternateContent>
        <mc:AlternateContent xmlns:mc="http://schemas.openxmlformats.org/markup-compatibility/2006">
          <mc:Choice Requires="x14">
            <control shapeId="2117" r:id="rId72" name="chkQuick_F-033">
              <controlPr defaultSize="0" autoFill="0" autoLine="0" autoPict="0">
                <anchor moveWithCells="1">
                  <from>
                    <xdr:col>19</xdr:col>
                    <xdr:colOff>19050</xdr:colOff>
                    <xdr:row>36</xdr:row>
                    <xdr:rowOff>9525</xdr:rowOff>
                  </from>
                  <to>
                    <xdr:col>19</xdr:col>
                    <xdr:colOff>314325</xdr:colOff>
                    <xdr:row>37</xdr:row>
                    <xdr:rowOff>38100</xdr:rowOff>
                  </to>
                </anchor>
              </controlPr>
            </control>
          </mc:Choice>
        </mc:AlternateContent>
        <mc:AlternateContent xmlns:mc="http://schemas.openxmlformats.org/markup-compatibility/2006">
          <mc:Choice Requires="x14">
            <control shapeId="2118" r:id="rId73" name="btnQuickView_F-033">
              <controlPr defaultSize="0" print="0" autoFill="0" autoPict="0" macro="기초자료_보기_실행">
                <anchor moveWithCells="1" sizeWithCells="1">
                  <from>
                    <xdr:col>22</xdr:col>
                    <xdr:colOff>9525</xdr:colOff>
                    <xdr:row>36</xdr:row>
                    <xdr:rowOff>9525</xdr:rowOff>
                  </from>
                  <to>
                    <xdr:col>23</xdr:col>
                    <xdr:colOff>66675</xdr:colOff>
                    <xdr:row>36</xdr:row>
                    <xdr:rowOff>200025</xdr:rowOff>
                  </to>
                </anchor>
              </controlPr>
            </control>
          </mc:Choice>
        </mc:AlternateContent>
        <mc:AlternateContent xmlns:mc="http://schemas.openxmlformats.org/markup-compatibility/2006">
          <mc:Choice Requires="x14">
            <control shapeId="2119" r:id="rId74" name="chkQuick_F-034">
              <controlPr defaultSize="0" autoFill="0" autoLine="0" autoPict="0">
                <anchor moveWithCells="1">
                  <from>
                    <xdr:col>19</xdr:col>
                    <xdr:colOff>19050</xdr:colOff>
                    <xdr:row>37</xdr:row>
                    <xdr:rowOff>9525</xdr:rowOff>
                  </from>
                  <to>
                    <xdr:col>19</xdr:col>
                    <xdr:colOff>314325</xdr:colOff>
                    <xdr:row>38</xdr:row>
                    <xdr:rowOff>38100</xdr:rowOff>
                  </to>
                </anchor>
              </controlPr>
            </control>
          </mc:Choice>
        </mc:AlternateContent>
        <mc:AlternateContent xmlns:mc="http://schemas.openxmlformats.org/markup-compatibility/2006">
          <mc:Choice Requires="x14">
            <control shapeId="2120" r:id="rId75" name="btnQuickView_F-034">
              <controlPr defaultSize="0" print="0" autoFill="0" autoPict="0" macro="기초자료_보기_실행">
                <anchor moveWithCells="1" sizeWithCells="1">
                  <from>
                    <xdr:col>22</xdr:col>
                    <xdr:colOff>9525</xdr:colOff>
                    <xdr:row>37</xdr:row>
                    <xdr:rowOff>9525</xdr:rowOff>
                  </from>
                  <to>
                    <xdr:col>23</xdr:col>
                    <xdr:colOff>66675</xdr:colOff>
                    <xdr:row>37</xdr:row>
                    <xdr:rowOff>200025</xdr:rowOff>
                  </to>
                </anchor>
              </controlPr>
            </control>
          </mc:Choice>
        </mc:AlternateContent>
        <mc:AlternateContent xmlns:mc="http://schemas.openxmlformats.org/markup-compatibility/2006">
          <mc:Choice Requires="x14">
            <control shapeId="2121" r:id="rId76" name="chkQuick_F-035">
              <controlPr defaultSize="0" autoFill="0" autoLine="0" autoPict="0">
                <anchor moveWithCells="1">
                  <from>
                    <xdr:col>19</xdr:col>
                    <xdr:colOff>19050</xdr:colOff>
                    <xdr:row>38</xdr:row>
                    <xdr:rowOff>9525</xdr:rowOff>
                  </from>
                  <to>
                    <xdr:col>19</xdr:col>
                    <xdr:colOff>314325</xdr:colOff>
                    <xdr:row>39</xdr:row>
                    <xdr:rowOff>38100</xdr:rowOff>
                  </to>
                </anchor>
              </controlPr>
            </control>
          </mc:Choice>
        </mc:AlternateContent>
        <mc:AlternateContent xmlns:mc="http://schemas.openxmlformats.org/markup-compatibility/2006">
          <mc:Choice Requires="x14">
            <control shapeId="2122" r:id="rId77" name="btnQuickView_F-035">
              <controlPr defaultSize="0" print="0" autoFill="0" autoPict="0" macro="기초자료_보기_실행">
                <anchor moveWithCells="1" sizeWithCells="1">
                  <from>
                    <xdr:col>22</xdr:col>
                    <xdr:colOff>9525</xdr:colOff>
                    <xdr:row>38</xdr:row>
                    <xdr:rowOff>9525</xdr:rowOff>
                  </from>
                  <to>
                    <xdr:col>23</xdr:col>
                    <xdr:colOff>66675</xdr:colOff>
                    <xdr:row>38</xdr:row>
                    <xdr:rowOff>200025</xdr:rowOff>
                  </to>
                </anchor>
              </controlPr>
            </control>
          </mc:Choice>
        </mc:AlternateContent>
        <mc:AlternateContent xmlns:mc="http://schemas.openxmlformats.org/markup-compatibility/2006">
          <mc:Choice Requires="x14">
            <control shapeId="2123" r:id="rId78" name="chkQuick_F-036">
              <controlPr defaultSize="0" autoFill="0" autoLine="0" autoPict="0">
                <anchor moveWithCells="1">
                  <from>
                    <xdr:col>19</xdr:col>
                    <xdr:colOff>19050</xdr:colOff>
                    <xdr:row>39</xdr:row>
                    <xdr:rowOff>9525</xdr:rowOff>
                  </from>
                  <to>
                    <xdr:col>19</xdr:col>
                    <xdr:colOff>314325</xdr:colOff>
                    <xdr:row>40</xdr:row>
                    <xdr:rowOff>38100</xdr:rowOff>
                  </to>
                </anchor>
              </controlPr>
            </control>
          </mc:Choice>
        </mc:AlternateContent>
        <mc:AlternateContent xmlns:mc="http://schemas.openxmlformats.org/markup-compatibility/2006">
          <mc:Choice Requires="x14">
            <control shapeId="2124" r:id="rId79" name="btnQuickView_F-036">
              <controlPr defaultSize="0" print="0" autoFill="0" autoPict="0" macro="기초자료_보기_실행">
                <anchor moveWithCells="1" sizeWithCells="1">
                  <from>
                    <xdr:col>22</xdr:col>
                    <xdr:colOff>9525</xdr:colOff>
                    <xdr:row>39</xdr:row>
                    <xdr:rowOff>9525</xdr:rowOff>
                  </from>
                  <to>
                    <xdr:col>23</xdr:col>
                    <xdr:colOff>66675</xdr:colOff>
                    <xdr:row>39</xdr:row>
                    <xdr:rowOff>200025</xdr:rowOff>
                  </to>
                </anchor>
              </controlPr>
            </control>
          </mc:Choice>
        </mc:AlternateContent>
        <mc:AlternateContent xmlns:mc="http://schemas.openxmlformats.org/markup-compatibility/2006">
          <mc:Choice Requires="x14">
            <control shapeId="2125" r:id="rId80" name="chkQuick_F-037">
              <controlPr defaultSize="0" autoFill="0" autoLine="0" autoPict="0">
                <anchor moveWithCells="1">
                  <from>
                    <xdr:col>19</xdr:col>
                    <xdr:colOff>19050</xdr:colOff>
                    <xdr:row>40</xdr:row>
                    <xdr:rowOff>9525</xdr:rowOff>
                  </from>
                  <to>
                    <xdr:col>19</xdr:col>
                    <xdr:colOff>314325</xdr:colOff>
                    <xdr:row>41</xdr:row>
                    <xdr:rowOff>38100</xdr:rowOff>
                  </to>
                </anchor>
              </controlPr>
            </control>
          </mc:Choice>
        </mc:AlternateContent>
        <mc:AlternateContent xmlns:mc="http://schemas.openxmlformats.org/markup-compatibility/2006">
          <mc:Choice Requires="x14">
            <control shapeId="2126" r:id="rId81" name="btnQuickView_F-037">
              <controlPr defaultSize="0" print="0" autoFill="0" autoPict="0" macro="기초자료_보기_실행">
                <anchor moveWithCells="1" sizeWithCells="1">
                  <from>
                    <xdr:col>22</xdr:col>
                    <xdr:colOff>9525</xdr:colOff>
                    <xdr:row>40</xdr:row>
                    <xdr:rowOff>9525</xdr:rowOff>
                  </from>
                  <to>
                    <xdr:col>23</xdr:col>
                    <xdr:colOff>66675</xdr:colOff>
                    <xdr:row>40</xdr:row>
                    <xdr:rowOff>200025</xdr:rowOff>
                  </to>
                </anchor>
              </controlPr>
            </control>
          </mc:Choice>
        </mc:AlternateContent>
        <mc:AlternateContent xmlns:mc="http://schemas.openxmlformats.org/markup-compatibility/2006">
          <mc:Choice Requires="x14">
            <control shapeId="2127" r:id="rId82" name="chkQuick_F-038">
              <controlPr defaultSize="0" autoFill="0" autoLine="0" autoPict="0">
                <anchor moveWithCells="1">
                  <from>
                    <xdr:col>19</xdr:col>
                    <xdr:colOff>19050</xdr:colOff>
                    <xdr:row>41</xdr:row>
                    <xdr:rowOff>9525</xdr:rowOff>
                  </from>
                  <to>
                    <xdr:col>19</xdr:col>
                    <xdr:colOff>314325</xdr:colOff>
                    <xdr:row>42</xdr:row>
                    <xdr:rowOff>38100</xdr:rowOff>
                  </to>
                </anchor>
              </controlPr>
            </control>
          </mc:Choice>
        </mc:AlternateContent>
        <mc:AlternateContent xmlns:mc="http://schemas.openxmlformats.org/markup-compatibility/2006">
          <mc:Choice Requires="x14">
            <control shapeId="2128" r:id="rId83" name="btnQuickView_F-038">
              <controlPr defaultSize="0" print="0" autoFill="0" autoPict="0" macro="기초자료_보기_실행">
                <anchor moveWithCells="1" sizeWithCells="1">
                  <from>
                    <xdr:col>22</xdr:col>
                    <xdr:colOff>9525</xdr:colOff>
                    <xdr:row>41</xdr:row>
                    <xdr:rowOff>9525</xdr:rowOff>
                  </from>
                  <to>
                    <xdr:col>23</xdr:col>
                    <xdr:colOff>66675</xdr:colOff>
                    <xdr:row>41</xdr:row>
                    <xdr:rowOff>200025</xdr:rowOff>
                  </to>
                </anchor>
              </controlPr>
            </control>
          </mc:Choice>
        </mc:AlternateContent>
        <mc:AlternateContent xmlns:mc="http://schemas.openxmlformats.org/markup-compatibility/2006">
          <mc:Choice Requires="x14">
            <control shapeId="2129" r:id="rId84" name="chkQuick_F-039">
              <controlPr defaultSize="0" autoFill="0" autoLine="0" autoPict="0">
                <anchor moveWithCells="1">
                  <from>
                    <xdr:col>19</xdr:col>
                    <xdr:colOff>19050</xdr:colOff>
                    <xdr:row>42</xdr:row>
                    <xdr:rowOff>9525</xdr:rowOff>
                  </from>
                  <to>
                    <xdr:col>19</xdr:col>
                    <xdr:colOff>314325</xdr:colOff>
                    <xdr:row>43</xdr:row>
                    <xdr:rowOff>38100</xdr:rowOff>
                  </to>
                </anchor>
              </controlPr>
            </control>
          </mc:Choice>
        </mc:AlternateContent>
        <mc:AlternateContent xmlns:mc="http://schemas.openxmlformats.org/markup-compatibility/2006">
          <mc:Choice Requires="x14">
            <control shapeId="2130" r:id="rId85" name="btnQuickView_F-039">
              <controlPr defaultSize="0" print="0" autoFill="0" autoPict="0" macro="기초자료_보기_실행">
                <anchor moveWithCells="1" sizeWithCells="1">
                  <from>
                    <xdr:col>22</xdr:col>
                    <xdr:colOff>9525</xdr:colOff>
                    <xdr:row>42</xdr:row>
                    <xdr:rowOff>9525</xdr:rowOff>
                  </from>
                  <to>
                    <xdr:col>23</xdr:col>
                    <xdr:colOff>66675</xdr:colOff>
                    <xdr:row>42</xdr:row>
                    <xdr:rowOff>200025</xdr:rowOff>
                  </to>
                </anchor>
              </controlPr>
            </control>
          </mc:Choice>
        </mc:AlternateContent>
        <mc:AlternateContent xmlns:mc="http://schemas.openxmlformats.org/markup-compatibility/2006">
          <mc:Choice Requires="x14">
            <control shapeId="2131" r:id="rId86" name="chkQuick_F-040">
              <controlPr defaultSize="0" autoFill="0" autoLine="0" autoPict="0">
                <anchor moveWithCells="1">
                  <from>
                    <xdr:col>19</xdr:col>
                    <xdr:colOff>19050</xdr:colOff>
                    <xdr:row>43</xdr:row>
                    <xdr:rowOff>9525</xdr:rowOff>
                  </from>
                  <to>
                    <xdr:col>19</xdr:col>
                    <xdr:colOff>314325</xdr:colOff>
                    <xdr:row>44</xdr:row>
                    <xdr:rowOff>38100</xdr:rowOff>
                  </to>
                </anchor>
              </controlPr>
            </control>
          </mc:Choice>
        </mc:AlternateContent>
        <mc:AlternateContent xmlns:mc="http://schemas.openxmlformats.org/markup-compatibility/2006">
          <mc:Choice Requires="x14">
            <control shapeId="2132" r:id="rId87" name="btnQuickView_F-040">
              <controlPr defaultSize="0" print="0" autoFill="0" autoPict="0" macro="기초자료_보기_실행">
                <anchor moveWithCells="1" sizeWithCells="1">
                  <from>
                    <xdr:col>22</xdr:col>
                    <xdr:colOff>9525</xdr:colOff>
                    <xdr:row>43</xdr:row>
                    <xdr:rowOff>9525</xdr:rowOff>
                  </from>
                  <to>
                    <xdr:col>23</xdr:col>
                    <xdr:colOff>66675</xdr:colOff>
                    <xdr:row>43</xdr:row>
                    <xdr:rowOff>200025</xdr:rowOff>
                  </to>
                </anchor>
              </controlPr>
            </control>
          </mc:Choice>
        </mc:AlternateContent>
        <mc:AlternateContent xmlns:mc="http://schemas.openxmlformats.org/markup-compatibility/2006">
          <mc:Choice Requires="x14">
            <control shapeId="2133" r:id="rId88" name="chkQuick_F-041">
              <controlPr defaultSize="0" autoFill="0" autoLine="0" autoPict="0">
                <anchor moveWithCells="1">
                  <from>
                    <xdr:col>19</xdr:col>
                    <xdr:colOff>19050</xdr:colOff>
                    <xdr:row>44</xdr:row>
                    <xdr:rowOff>9525</xdr:rowOff>
                  </from>
                  <to>
                    <xdr:col>19</xdr:col>
                    <xdr:colOff>314325</xdr:colOff>
                    <xdr:row>45</xdr:row>
                    <xdr:rowOff>38100</xdr:rowOff>
                  </to>
                </anchor>
              </controlPr>
            </control>
          </mc:Choice>
        </mc:AlternateContent>
        <mc:AlternateContent xmlns:mc="http://schemas.openxmlformats.org/markup-compatibility/2006">
          <mc:Choice Requires="x14">
            <control shapeId="2134" r:id="rId89" name="btnQuickView_F-041">
              <controlPr defaultSize="0" print="0" autoFill="0" autoPict="0" macro="기초자료_보기_실행">
                <anchor moveWithCells="1" sizeWithCells="1">
                  <from>
                    <xdr:col>22</xdr:col>
                    <xdr:colOff>9525</xdr:colOff>
                    <xdr:row>44</xdr:row>
                    <xdr:rowOff>9525</xdr:rowOff>
                  </from>
                  <to>
                    <xdr:col>23</xdr:col>
                    <xdr:colOff>66675</xdr:colOff>
                    <xdr:row>44</xdr:row>
                    <xdr:rowOff>200025</xdr:rowOff>
                  </to>
                </anchor>
              </controlPr>
            </control>
          </mc:Choice>
        </mc:AlternateContent>
        <mc:AlternateContent xmlns:mc="http://schemas.openxmlformats.org/markup-compatibility/2006">
          <mc:Choice Requires="x14">
            <control shapeId="2135" r:id="rId90" name="chkQuick_F-042">
              <controlPr defaultSize="0" autoFill="0" autoLine="0" autoPict="0">
                <anchor moveWithCells="1">
                  <from>
                    <xdr:col>19</xdr:col>
                    <xdr:colOff>19050</xdr:colOff>
                    <xdr:row>45</xdr:row>
                    <xdr:rowOff>9525</xdr:rowOff>
                  </from>
                  <to>
                    <xdr:col>19</xdr:col>
                    <xdr:colOff>314325</xdr:colOff>
                    <xdr:row>46</xdr:row>
                    <xdr:rowOff>38100</xdr:rowOff>
                  </to>
                </anchor>
              </controlPr>
            </control>
          </mc:Choice>
        </mc:AlternateContent>
        <mc:AlternateContent xmlns:mc="http://schemas.openxmlformats.org/markup-compatibility/2006">
          <mc:Choice Requires="x14">
            <control shapeId="2136" r:id="rId91" name="btnQuickView_F-042">
              <controlPr defaultSize="0" print="0" autoFill="0" autoPict="0" macro="기초자료_보기_실행">
                <anchor moveWithCells="1" sizeWithCells="1">
                  <from>
                    <xdr:col>22</xdr:col>
                    <xdr:colOff>9525</xdr:colOff>
                    <xdr:row>45</xdr:row>
                    <xdr:rowOff>9525</xdr:rowOff>
                  </from>
                  <to>
                    <xdr:col>23</xdr:col>
                    <xdr:colOff>66675</xdr:colOff>
                    <xdr:row>45</xdr:row>
                    <xdr:rowOff>200025</xdr:rowOff>
                  </to>
                </anchor>
              </controlPr>
            </control>
          </mc:Choice>
        </mc:AlternateContent>
        <mc:AlternateContent xmlns:mc="http://schemas.openxmlformats.org/markup-compatibility/2006">
          <mc:Choice Requires="x14">
            <control shapeId="2137" r:id="rId92" name="chkQuick_F-043">
              <controlPr defaultSize="0" autoFill="0" autoLine="0" autoPict="0">
                <anchor moveWithCells="1">
                  <from>
                    <xdr:col>19</xdr:col>
                    <xdr:colOff>19050</xdr:colOff>
                    <xdr:row>46</xdr:row>
                    <xdr:rowOff>9525</xdr:rowOff>
                  </from>
                  <to>
                    <xdr:col>19</xdr:col>
                    <xdr:colOff>314325</xdr:colOff>
                    <xdr:row>47</xdr:row>
                    <xdr:rowOff>38100</xdr:rowOff>
                  </to>
                </anchor>
              </controlPr>
            </control>
          </mc:Choice>
        </mc:AlternateContent>
        <mc:AlternateContent xmlns:mc="http://schemas.openxmlformats.org/markup-compatibility/2006">
          <mc:Choice Requires="x14">
            <control shapeId="2138" r:id="rId93" name="btnQuickView_F-043">
              <controlPr defaultSize="0" print="0" autoFill="0" autoPict="0" macro="기초자료_보기_실행">
                <anchor moveWithCells="1" sizeWithCells="1">
                  <from>
                    <xdr:col>22</xdr:col>
                    <xdr:colOff>9525</xdr:colOff>
                    <xdr:row>46</xdr:row>
                    <xdr:rowOff>9525</xdr:rowOff>
                  </from>
                  <to>
                    <xdr:col>23</xdr:col>
                    <xdr:colOff>66675</xdr:colOff>
                    <xdr:row>46</xdr:row>
                    <xdr:rowOff>200025</xdr:rowOff>
                  </to>
                </anchor>
              </controlPr>
            </control>
          </mc:Choice>
        </mc:AlternateContent>
        <mc:AlternateContent xmlns:mc="http://schemas.openxmlformats.org/markup-compatibility/2006">
          <mc:Choice Requires="x14">
            <control shapeId="2139" r:id="rId94" name="chkQuick_F-044">
              <controlPr defaultSize="0" autoFill="0" autoLine="0" autoPict="0">
                <anchor moveWithCells="1">
                  <from>
                    <xdr:col>19</xdr:col>
                    <xdr:colOff>19050</xdr:colOff>
                    <xdr:row>47</xdr:row>
                    <xdr:rowOff>9525</xdr:rowOff>
                  </from>
                  <to>
                    <xdr:col>19</xdr:col>
                    <xdr:colOff>314325</xdr:colOff>
                    <xdr:row>48</xdr:row>
                    <xdr:rowOff>38100</xdr:rowOff>
                  </to>
                </anchor>
              </controlPr>
            </control>
          </mc:Choice>
        </mc:AlternateContent>
        <mc:AlternateContent xmlns:mc="http://schemas.openxmlformats.org/markup-compatibility/2006">
          <mc:Choice Requires="x14">
            <control shapeId="2140" r:id="rId95" name="btnQuickView_F-044">
              <controlPr defaultSize="0" print="0" autoFill="0" autoPict="0" macro="기초자료_보기_실행">
                <anchor moveWithCells="1" sizeWithCells="1">
                  <from>
                    <xdr:col>22</xdr:col>
                    <xdr:colOff>9525</xdr:colOff>
                    <xdr:row>47</xdr:row>
                    <xdr:rowOff>9525</xdr:rowOff>
                  </from>
                  <to>
                    <xdr:col>23</xdr:col>
                    <xdr:colOff>66675</xdr:colOff>
                    <xdr:row>47</xdr:row>
                    <xdr:rowOff>200025</xdr:rowOff>
                  </to>
                </anchor>
              </controlPr>
            </control>
          </mc:Choice>
        </mc:AlternateContent>
        <mc:AlternateContent xmlns:mc="http://schemas.openxmlformats.org/markup-compatibility/2006">
          <mc:Choice Requires="x14">
            <control shapeId="2141" r:id="rId96" name="chkQuick_F-045">
              <controlPr defaultSize="0" autoFill="0" autoLine="0" autoPict="0">
                <anchor moveWithCells="1">
                  <from>
                    <xdr:col>19</xdr:col>
                    <xdr:colOff>19050</xdr:colOff>
                    <xdr:row>48</xdr:row>
                    <xdr:rowOff>9525</xdr:rowOff>
                  </from>
                  <to>
                    <xdr:col>19</xdr:col>
                    <xdr:colOff>314325</xdr:colOff>
                    <xdr:row>49</xdr:row>
                    <xdr:rowOff>38100</xdr:rowOff>
                  </to>
                </anchor>
              </controlPr>
            </control>
          </mc:Choice>
        </mc:AlternateContent>
        <mc:AlternateContent xmlns:mc="http://schemas.openxmlformats.org/markup-compatibility/2006">
          <mc:Choice Requires="x14">
            <control shapeId="2142" r:id="rId97" name="btnQuickView_F-045">
              <controlPr defaultSize="0" print="0" autoFill="0" autoPict="0" macro="기초자료_보기_실행">
                <anchor moveWithCells="1" sizeWithCells="1">
                  <from>
                    <xdr:col>22</xdr:col>
                    <xdr:colOff>9525</xdr:colOff>
                    <xdr:row>48</xdr:row>
                    <xdr:rowOff>9525</xdr:rowOff>
                  </from>
                  <to>
                    <xdr:col>23</xdr:col>
                    <xdr:colOff>66675</xdr:colOff>
                    <xdr:row>48</xdr:row>
                    <xdr:rowOff>200025</xdr:rowOff>
                  </to>
                </anchor>
              </controlPr>
            </control>
          </mc:Choice>
        </mc:AlternateContent>
        <mc:AlternateContent xmlns:mc="http://schemas.openxmlformats.org/markup-compatibility/2006">
          <mc:Choice Requires="x14">
            <control shapeId="2143" r:id="rId98" name="chkQuick_F-046">
              <controlPr defaultSize="0" autoFill="0" autoLine="0" autoPict="0">
                <anchor moveWithCells="1">
                  <from>
                    <xdr:col>19</xdr:col>
                    <xdr:colOff>19050</xdr:colOff>
                    <xdr:row>49</xdr:row>
                    <xdr:rowOff>9525</xdr:rowOff>
                  </from>
                  <to>
                    <xdr:col>19</xdr:col>
                    <xdr:colOff>314325</xdr:colOff>
                    <xdr:row>50</xdr:row>
                    <xdr:rowOff>38100</xdr:rowOff>
                  </to>
                </anchor>
              </controlPr>
            </control>
          </mc:Choice>
        </mc:AlternateContent>
        <mc:AlternateContent xmlns:mc="http://schemas.openxmlformats.org/markup-compatibility/2006">
          <mc:Choice Requires="x14">
            <control shapeId="2144" r:id="rId99" name="btnQuickView_F-046">
              <controlPr defaultSize="0" print="0" autoFill="0" autoPict="0" macro="기초자료_보기_실행">
                <anchor moveWithCells="1" sizeWithCells="1">
                  <from>
                    <xdr:col>22</xdr:col>
                    <xdr:colOff>9525</xdr:colOff>
                    <xdr:row>49</xdr:row>
                    <xdr:rowOff>9525</xdr:rowOff>
                  </from>
                  <to>
                    <xdr:col>23</xdr:col>
                    <xdr:colOff>66675</xdr:colOff>
                    <xdr:row>49</xdr:row>
                    <xdr:rowOff>200025</xdr:rowOff>
                  </to>
                </anchor>
              </controlPr>
            </control>
          </mc:Choice>
        </mc:AlternateContent>
        <mc:AlternateContent xmlns:mc="http://schemas.openxmlformats.org/markup-compatibility/2006">
          <mc:Choice Requires="x14">
            <control shapeId="2145" r:id="rId100" name="chkQuick_F-047">
              <controlPr defaultSize="0" autoFill="0" autoLine="0" autoPict="0">
                <anchor moveWithCells="1">
                  <from>
                    <xdr:col>19</xdr:col>
                    <xdr:colOff>19050</xdr:colOff>
                    <xdr:row>50</xdr:row>
                    <xdr:rowOff>9525</xdr:rowOff>
                  </from>
                  <to>
                    <xdr:col>19</xdr:col>
                    <xdr:colOff>314325</xdr:colOff>
                    <xdr:row>51</xdr:row>
                    <xdr:rowOff>38100</xdr:rowOff>
                  </to>
                </anchor>
              </controlPr>
            </control>
          </mc:Choice>
        </mc:AlternateContent>
        <mc:AlternateContent xmlns:mc="http://schemas.openxmlformats.org/markup-compatibility/2006">
          <mc:Choice Requires="x14">
            <control shapeId="2146" r:id="rId101" name="btnQuickView_F-047">
              <controlPr defaultSize="0" print="0" autoFill="0" autoPict="0" macro="기초자료_보기_실행">
                <anchor moveWithCells="1" sizeWithCells="1">
                  <from>
                    <xdr:col>22</xdr:col>
                    <xdr:colOff>9525</xdr:colOff>
                    <xdr:row>50</xdr:row>
                    <xdr:rowOff>9525</xdr:rowOff>
                  </from>
                  <to>
                    <xdr:col>23</xdr:col>
                    <xdr:colOff>66675</xdr:colOff>
                    <xdr:row>50</xdr:row>
                    <xdr:rowOff>200025</xdr:rowOff>
                  </to>
                </anchor>
              </controlPr>
            </control>
          </mc:Choice>
        </mc:AlternateContent>
        <mc:AlternateContent xmlns:mc="http://schemas.openxmlformats.org/markup-compatibility/2006">
          <mc:Choice Requires="x14">
            <control shapeId="2147" r:id="rId102" name="chkQuick_F-048">
              <controlPr defaultSize="0" autoFill="0" autoLine="0" autoPict="0">
                <anchor moveWithCells="1">
                  <from>
                    <xdr:col>19</xdr:col>
                    <xdr:colOff>19050</xdr:colOff>
                    <xdr:row>51</xdr:row>
                    <xdr:rowOff>9525</xdr:rowOff>
                  </from>
                  <to>
                    <xdr:col>19</xdr:col>
                    <xdr:colOff>314325</xdr:colOff>
                    <xdr:row>52</xdr:row>
                    <xdr:rowOff>38100</xdr:rowOff>
                  </to>
                </anchor>
              </controlPr>
            </control>
          </mc:Choice>
        </mc:AlternateContent>
        <mc:AlternateContent xmlns:mc="http://schemas.openxmlformats.org/markup-compatibility/2006">
          <mc:Choice Requires="x14">
            <control shapeId="2148" r:id="rId103" name="btnQuickView_F-048">
              <controlPr defaultSize="0" print="0" autoFill="0" autoPict="0" macro="기초자료_보기_실행">
                <anchor moveWithCells="1" sizeWithCells="1">
                  <from>
                    <xdr:col>22</xdr:col>
                    <xdr:colOff>9525</xdr:colOff>
                    <xdr:row>51</xdr:row>
                    <xdr:rowOff>9525</xdr:rowOff>
                  </from>
                  <to>
                    <xdr:col>23</xdr:col>
                    <xdr:colOff>66675</xdr:colOff>
                    <xdr:row>51</xdr:row>
                    <xdr:rowOff>200025</xdr:rowOff>
                  </to>
                </anchor>
              </controlPr>
            </control>
          </mc:Choice>
        </mc:AlternateContent>
        <mc:AlternateContent xmlns:mc="http://schemas.openxmlformats.org/markup-compatibility/2006">
          <mc:Choice Requires="x14">
            <control shapeId="2149" r:id="rId104" name="chkQuick_F-049">
              <controlPr defaultSize="0" autoFill="0" autoLine="0" autoPict="0">
                <anchor moveWithCells="1">
                  <from>
                    <xdr:col>19</xdr:col>
                    <xdr:colOff>19050</xdr:colOff>
                    <xdr:row>52</xdr:row>
                    <xdr:rowOff>9525</xdr:rowOff>
                  </from>
                  <to>
                    <xdr:col>19</xdr:col>
                    <xdr:colOff>314325</xdr:colOff>
                    <xdr:row>53</xdr:row>
                    <xdr:rowOff>38100</xdr:rowOff>
                  </to>
                </anchor>
              </controlPr>
            </control>
          </mc:Choice>
        </mc:AlternateContent>
        <mc:AlternateContent xmlns:mc="http://schemas.openxmlformats.org/markup-compatibility/2006">
          <mc:Choice Requires="x14">
            <control shapeId="2150" r:id="rId105" name="btnQuickView_F-049">
              <controlPr defaultSize="0" print="0" autoFill="0" autoPict="0" macro="기초자료_보기_실행">
                <anchor moveWithCells="1" sizeWithCells="1">
                  <from>
                    <xdr:col>22</xdr:col>
                    <xdr:colOff>9525</xdr:colOff>
                    <xdr:row>52</xdr:row>
                    <xdr:rowOff>9525</xdr:rowOff>
                  </from>
                  <to>
                    <xdr:col>23</xdr:col>
                    <xdr:colOff>66675</xdr:colOff>
                    <xdr:row>52</xdr:row>
                    <xdr:rowOff>200025</xdr:rowOff>
                  </to>
                </anchor>
              </controlPr>
            </control>
          </mc:Choice>
        </mc:AlternateContent>
        <mc:AlternateContent xmlns:mc="http://schemas.openxmlformats.org/markup-compatibility/2006">
          <mc:Choice Requires="x14">
            <control shapeId="2151" r:id="rId106" name="chkQuick_F-050">
              <controlPr defaultSize="0" autoFill="0" autoLine="0" autoPict="0">
                <anchor moveWithCells="1">
                  <from>
                    <xdr:col>19</xdr:col>
                    <xdr:colOff>19050</xdr:colOff>
                    <xdr:row>53</xdr:row>
                    <xdr:rowOff>9525</xdr:rowOff>
                  </from>
                  <to>
                    <xdr:col>19</xdr:col>
                    <xdr:colOff>314325</xdr:colOff>
                    <xdr:row>54</xdr:row>
                    <xdr:rowOff>38100</xdr:rowOff>
                  </to>
                </anchor>
              </controlPr>
            </control>
          </mc:Choice>
        </mc:AlternateContent>
        <mc:AlternateContent xmlns:mc="http://schemas.openxmlformats.org/markup-compatibility/2006">
          <mc:Choice Requires="x14">
            <control shapeId="2152" r:id="rId107" name="btnQuickView_F-050">
              <controlPr defaultSize="0" print="0" autoFill="0" autoPict="0" macro="기초자료_보기_실행">
                <anchor moveWithCells="1" sizeWithCells="1">
                  <from>
                    <xdr:col>22</xdr:col>
                    <xdr:colOff>9525</xdr:colOff>
                    <xdr:row>53</xdr:row>
                    <xdr:rowOff>9525</xdr:rowOff>
                  </from>
                  <to>
                    <xdr:col>23</xdr:col>
                    <xdr:colOff>66675</xdr:colOff>
                    <xdr:row>53</xdr:row>
                    <xdr:rowOff>200025</xdr:rowOff>
                  </to>
                </anchor>
              </controlPr>
            </control>
          </mc:Choice>
        </mc:AlternateContent>
        <mc:AlternateContent xmlns:mc="http://schemas.openxmlformats.org/markup-compatibility/2006">
          <mc:Choice Requires="x14">
            <control shapeId="2153" r:id="rId108" name="chkQuick_F-051">
              <controlPr defaultSize="0" autoFill="0" autoLine="0" autoPict="0">
                <anchor moveWithCells="1">
                  <from>
                    <xdr:col>19</xdr:col>
                    <xdr:colOff>19050</xdr:colOff>
                    <xdr:row>54</xdr:row>
                    <xdr:rowOff>9525</xdr:rowOff>
                  </from>
                  <to>
                    <xdr:col>19</xdr:col>
                    <xdr:colOff>314325</xdr:colOff>
                    <xdr:row>55</xdr:row>
                    <xdr:rowOff>38100</xdr:rowOff>
                  </to>
                </anchor>
              </controlPr>
            </control>
          </mc:Choice>
        </mc:AlternateContent>
        <mc:AlternateContent xmlns:mc="http://schemas.openxmlformats.org/markup-compatibility/2006">
          <mc:Choice Requires="x14">
            <control shapeId="2154" r:id="rId109" name="chkQuick_F-052">
              <controlPr defaultSize="0" autoFill="0" autoLine="0" autoPict="0">
                <anchor moveWithCells="1">
                  <from>
                    <xdr:col>19</xdr:col>
                    <xdr:colOff>19050</xdr:colOff>
                    <xdr:row>55</xdr:row>
                    <xdr:rowOff>9525</xdr:rowOff>
                  </from>
                  <to>
                    <xdr:col>19</xdr:col>
                    <xdr:colOff>314325</xdr:colOff>
                    <xdr:row>56</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0E7FDCA-699F-415F-96FF-4AB1526A1E46}">
          <x14:formula1>
            <xm:f>DB!$U$2:$U$500</xm:f>
          </x14:formula1>
          <xm:sqref>I2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8FD9F-67A1-49AF-9170-1D563C9B40DB}">
  <sheetPr codeName="Sheet3"/>
  <dimension ref="A1:E12"/>
  <sheetViews>
    <sheetView workbookViewId="0"/>
  </sheetViews>
  <sheetFormatPr defaultRowHeight="16.5" x14ac:dyDescent="0.3"/>
  <cols>
    <col min="1" max="1" width="32.625" customWidth="1"/>
    <col min="2" max="2" width="28.625" customWidth="1"/>
    <col min="3" max="3" width="62.625" customWidth="1"/>
  </cols>
  <sheetData>
    <row r="1" spans="1:5" ht="19.5" x14ac:dyDescent="0.3">
      <c r="A1" s="18" t="s">
        <v>1360</v>
      </c>
    </row>
    <row r="2" spans="1:5" ht="42" customHeight="1" x14ac:dyDescent="0.3">
      <c r="A2" s="81" t="s">
        <v>1361</v>
      </c>
      <c r="B2" s="81"/>
      <c r="C2" s="81"/>
      <c r="D2" s="81"/>
      <c r="E2" s="81"/>
    </row>
    <row r="4" spans="1:5" x14ac:dyDescent="0.3">
      <c r="A4" s="65" t="s">
        <v>1362</v>
      </c>
      <c r="B4" s="65" t="s">
        <v>1363</v>
      </c>
      <c r="C4" s="65" t="s">
        <v>1364</v>
      </c>
    </row>
    <row r="5" spans="1:5" ht="42" customHeight="1" x14ac:dyDescent="0.3">
      <c r="A5" s="73" t="s">
        <v>1365</v>
      </c>
      <c r="B5" s="75"/>
      <c r="C5" s="74" t="s">
        <v>1368</v>
      </c>
    </row>
    <row r="6" spans="1:5" ht="33.950000000000003" customHeight="1" x14ac:dyDescent="0.3">
      <c r="A6" s="73" t="s">
        <v>1366</v>
      </c>
      <c r="B6" s="75"/>
      <c r="C6" s="74" t="str">
        <f>IF(B5="2단계 입찰(규격·가격 동시)","매뉴얼 예시: 지방계약법 시행령 제18조 제3항에 따른 2단계 입찰 요건(규격 적격 후 가격경쟁)을 확인함",IF(B5="수의계약","수의계약 사유·추정가격 기준(지방계약법 시행령 및 별표)을 담당자가 최신 기준으로 확인함",IF(B5="일반경쟁입찰","공개경쟁 절차(참가자격·공고기간 등)를 담당자가 최신 지방계약법 시행령 기준으로 확인함",IF(B5="제한경쟁입찰(지역제한)","지역제한·실적제한 등 제한사유 요건을 담당자가 최신 지방계약법 시행령 기준으로 확인함",""))))</f>
        <v/>
      </c>
    </row>
    <row r="7" spans="1:5" x14ac:dyDescent="0.3">
      <c r="A7" s="73" t="s">
        <v>1367</v>
      </c>
      <c r="B7" s="73" t="str">
        <f>IF(AND(B5&lt;&gt;"",B6="예"),B5,"")</f>
        <v/>
      </c>
      <c r="C7" s="74" t="str">
        <f>IF(B7&lt;&gt;"","선택 유형 "&amp;B7&amp;"을(를) 기초자료(B-03)에 반영할 수 있음","아직 반영 대상이 없음")</f>
        <v>아직 반영 대상이 없음</v>
      </c>
    </row>
    <row r="9" spans="1:5" x14ac:dyDescent="0.3">
      <c r="A9" s="3" t="s">
        <v>1369</v>
      </c>
    </row>
    <row r="10" spans="1:5" ht="48" customHeight="1" x14ac:dyDescent="0.3">
      <c r="A10" s="81" t="s">
        <v>1370</v>
      </c>
      <c r="B10" s="81"/>
      <c r="C10" s="81"/>
      <c r="D10" s="81"/>
      <c r="E10" s="81"/>
    </row>
    <row r="12" spans="1:5" x14ac:dyDescent="0.3">
      <c r="A12" s="80" t="s">
        <v>1371</v>
      </c>
      <c r="B12" s="80"/>
      <c r="C12" s="80"/>
      <c r="D12" s="80"/>
      <c r="E12" s="80"/>
    </row>
  </sheetData>
  <mergeCells count="3">
    <mergeCell ref="A2:E2"/>
    <mergeCell ref="A10:E10"/>
    <mergeCell ref="A12:E12"/>
  </mergeCells>
  <phoneticPr fontId="6" type="noConversion"/>
  <dataValidations count="2">
    <dataValidation type="list" allowBlank="1" showInputMessage="1" showErrorMessage="1" sqref="B5" xr:uid="{34D10957-9108-4BF6-B83D-8D92527EC312}">
      <formula1>"수의계약,일반경쟁입찰,제한경쟁입찰(지역제한),2단계 입찰(규격·가격 동시)"</formula1>
    </dataValidation>
    <dataValidation type="list" allowBlank="1" showInputMessage="1" showErrorMessage="1" sqref="B6" xr:uid="{795500EF-FC8E-4668-9BAA-1399D950971D}">
      <formula1>"예,아니오"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tn계약방법반영">
              <controlPr defaultSize="0" print="0" autoFill="0" autoPict="0" macro="계약방법안내_기초자료반영">
                <anchor moveWithCells="1" sizeWithCells="1">
                  <from>
                    <xdr:col>2</xdr:col>
                    <xdr:colOff>1933575</xdr:colOff>
                    <xdr:row>1</xdr:row>
                    <xdr:rowOff>485775</xdr:rowOff>
                  </from>
                  <to>
                    <xdr:col>2</xdr:col>
                    <xdr:colOff>4476750</xdr:colOff>
                    <xdr:row>3</xdr:row>
                    <xdr:rowOff>47625</xdr:rowOff>
                  </to>
                </anchor>
              </controlPr>
            </control>
          </mc:Choice>
        </mc:AlternateContent>
        <mc:AlternateContent xmlns:mc="http://schemas.openxmlformats.org/markup-compatibility/2006">
          <mc:Choice Requires="x14">
            <control shapeId="3074" r:id="rId4" name="btn계약절차_1인견적">
              <controlPr defaultSize="0" print="0" autoFill="0" autoPict="0" macro="계약절차안내_1인견적">
                <anchor moveWithCells="1" sizeWithCells="1">
                  <from>
                    <xdr:col>0</xdr:col>
                    <xdr:colOff>247650</xdr:colOff>
                    <xdr:row>12</xdr:row>
                    <xdr:rowOff>0</xdr:rowOff>
                  </from>
                  <to>
                    <xdr:col>0</xdr:col>
                    <xdr:colOff>2152650</xdr:colOff>
                    <xdr:row>13</xdr:row>
                    <xdr:rowOff>114300</xdr:rowOff>
                  </to>
                </anchor>
              </controlPr>
            </control>
          </mc:Choice>
        </mc:AlternateContent>
        <mc:AlternateContent xmlns:mc="http://schemas.openxmlformats.org/markup-compatibility/2006">
          <mc:Choice Requires="x14">
            <control shapeId="3075" r:id="rId5" name="btn계약절차_2인견적">
              <controlPr defaultSize="0" print="0" autoFill="0" autoPict="0" macro="계약절차안내_2인견적">
                <anchor moveWithCells="1" sizeWithCells="1">
                  <from>
                    <xdr:col>0</xdr:col>
                    <xdr:colOff>2286000</xdr:colOff>
                    <xdr:row>12</xdr:row>
                    <xdr:rowOff>0</xdr:rowOff>
                  </from>
                  <to>
                    <xdr:col>1</xdr:col>
                    <xdr:colOff>1704975</xdr:colOff>
                    <xdr:row>13</xdr:row>
                    <xdr:rowOff>114300</xdr:rowOff>
                  </to>
                </anchor>
              </controlPr>
            </control>
          </mc:Choice>
        </mc:AlternateContent>
        <mc:AlternateContent xmlns:mc="http://schemas.openxmlformats.org/markup-compatibility/2006">
          <mc:Choice Requires="x14">
            <control shapeId="3076" r:id="rId6" name="btn계약절차_입찰계약">
              <controlPr defaultSize="0" print="0" autoFill="0" autoPict="0" macro="계약절차안내_입찰계약">
                <anchor moveWithCells="1" sizeWithCells="1">
                  <from>
                    <xdr:col>1</xdr:col>
                    <xdr:colOff>1828800</xdr:colOff>
                    <xdr:row>12</xdr:row>
                    <xdr:rowOff>0</xdr:rowOff>
                  </from>
                  <to>
                    <xdr:col>2</xdr:col>
                    <xdr:colOff>1552575</xdr:colOff>
                    <xdr:row>13</xdr:row>
                    <xdr:rowOff>114300</xdr:rowOff>
                  </to>
                </anchor>
              </controlPr>
            </control>
          </mc:Choice>
        </mc:AlternateContent>
        <mc:AlternateContent xmlns:mc="http://schemas.openxmlformats.org/markup-compatibility/2006">
          <mc:Choice Requires="x14">
            <control shapeId="3077" r:id="rId7" name="btn이동_기초자료입력">
              <controlPr defaultSize="0" print="0" autoFill="0" autoPict="0" macro="이동_기초자료입력">
                <anchor moveWithCells="1" sizeWithCells="1">
                  <from>
                    <xdr:col>2</xdr:col>
                    <xdr:colOff>1676400</xdr:colOff>
                    <xdr:row>12</xdr:row>
                    <xdr:rowOff>0</xdr:rowOff>
                  </from>
                  <to>
                    <xdr:col>2</xdr:col>
                    <xdr:colOff>3581400</xdr:colOff>
                    <xdr:row>13</xdr:row>
                    <xdr:rowOff>114300</xdr:rowOff>
                  </to>
                </anchor>
              </controlPr>
            </control>
          </mc:Choice>
        </mc:AlternateContent>
        <mc:AlternateContent xmlns:mc="http://schemas.openxmlformats.org/markup-compatibility/2006">
          <mc:Choice Requires="x14">
            <control shapeId="3078" r:id="rId8" name="btn이동_서식선택출력">
              <controlPr defaultSize="0" print="0" autoFill="0" autoPict="0" macro="이동_서식선택출력">
                <anchor moveWithCells="1" sizeWithCells="1">
                  <from>
                    <xdr:col>2</xdr:col>
                    <xdr:colOff>3714750</xdr:colOff>
                    <xdr:row>12</xdr:row>
                    <xdr:rowOff>0</xdr:rowOff>
                  </from>
                  <to>
                    <xdr:col>4</xdr:col>
                    <xdr:colOff>161925</xdr:colOff>
                    <xdr:row>13</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CC390-718E-46BA-A064-D5C9441F03C5}">
  <sheetPr codeName="Sheet4"/>
  <dimension ref="A1:H56"/>
  <sheetViews>
    <sheetView workbookViewId="0"/>
  </sheetViews>
  <sheetFormatPr defaultRowHeight="16.5" x14ac:dyDescent="0.3"/>
  <cols>
    <col min="1" max="1" width="8.625" customWidth="1"/>
    <col min="2" max="2" width="10.625" customWidth="1"/>
    <col min="3" max="3" width="32.625" customWidth="1"/>
    <col min="4" max="5" width="10.625" customWidth="1"/>
    <col min="6" max="6" width="26.625" customWidth="1"/>
    <col min="7" max="8" width="11.625" customWidth="1"/>
  </cols>
  <sheetData>
    <row r="1" spans="1:8" ht="19.5" x14ac:dyDescent="0.3">
      <c r="A1" s="18" t="s">
        <v>125</v>
      </c>
    </row>
    <row r="2" spans="1:8" x14ac:dyDescent="0.3">
      <c r="A2" t="s">
        <v>126</v>
      </c>
    </row>
    <row r="4" spans="1:8" x14ac:dyDescent="0.3">
      <c r="A4" s="16" t="s">
        <v>88</v>
      </c>
      <c r="B4" s="16" t="s">
        <v>89</v>
      </c>
      <c r="C4" s="16" t="s">
        <v>90</v>
      </c>
      <c r="D4" s="16" t="s">
        <v>127</v>
      </c>
      <c r="E4" s="16" t="s">
        <v>128</v>
      </c>
      <c r="F4" s="16" t="s">
        <v>129</v>
      </c>
      <c r="G4" s="16" t="s">
        <v>130</v>
      </c>
      <c r="H4" s="16" t="s">
        <v>131</v>
      </c>
    </row>
    <row r="5" spans="1:8" ht="18" customHeight="1" x14ac:dyDescent="0.3">
      <c r="A5" s="19" t="b">
        <v>0</v>
      </c>
      <c r="B5" s="17" t="s">
        <v>132</v>
      </c>
      <c r="C5" s="17" t="s">
        <v>133</v>
      </c>
      <c r="D5" s="17" t="s">
        <v>134</v>
      </c>
      <c r="E5" s="17" t="s">
        <v>135</v>
      </c>
      <c r="F5" s="17" t="s">
        <v>136</v>
      </c>
      <c r="G5" s="17"/>
      <c r="H5" s="17"/>
    </row>
    <row r="6" spans="1:8" ht="18" customHeight="1" x14ac:dyDescent="0.3">
      <c r="A6" s="19" t="b">
        <v>0</v>
      </c>
      <c r="B6" s="17" t="s">
        <v>137</v>
      </c>
      <c r="C6" s="17" t="s">
        <v>138</v>
      </c>
      <c r="D6" s="17" t="s">
        <v>134</v>
      </c>
      <c r="E6" s="17" t="s">
        <v>135</v>
      </c>
      <c r="F6" s="17" t="s">
        <v>139</v>
      </c>
      <c r="G6" s="17"/>
      <c r="H6" s="17"/>
    </row>
    <row r="7" spans="1:8" ht="18" customHeight="1" x14ac:dyDescent="0.3">
      <c r="A7" s="19" t="b">
        <v>0</v>
      </c>
      <c r="B7" s="17" t="s">
        <v>140</v>
      </c>
      <c r="C7" s="17" t="s">
        <v>141</v>
      </c>
      <c r="D7" s="17" t="s">
        <v>134</v>
      </c>
      <c r="E7" s="17" t="s">
        <v>135</v>
      </c>
      <c r="F7" s="17" t="s">
        <v>142</v>
      </c>
      <c r="G7" s="17"/>
      <c r="H7" s="17"/>
    </row>
    <row r="8" spans="1:8" ht="18" customHeight="1" x14ac:dyDescent="0.3">
      <c r="A8" s="19" t="b">
        <v>0</v>
      </c>
      <c r="B8" s="17" t="s">
        <v>143</v>
      </c>
      <c r="C8" s="17" t="s">
        <v>144</v>
      </c>
      <c r="D8" s="17" t="s">
        <v>134</v>
      </c>
      <c r="E8" s="17" t="s">
        <v>135</v>
      </c>
      <c r="F8" s="17" t="s">
        <v>145</v>
      </c>
      <c r="G8" s="17"/>
      <c r="H8" s="17"/>
    </row>
    <row r="9" spans="1:8" ht="18" customHeight="1" x14ac:dyDescent="0.3">
      <c r="A9" s="19" t="b">
        <v>0</v>
      </c>
      <c r="B9" s="17" t="s">
        <v>146</v>
      </c>
      <c r="C9" s="17" t="s">
        <v>147</v>
      </c>
      <c r="D9" s="17" t="s">
        <v>134</v>
      </c>
      <c r="E9" s="17" t="s">
        <v>135</v>
      </c>
      <c r="F9" s="17" t="s">
        <v>148</v>
      </c>
      <c r="G9" s="17"/>
      <c r="H9" s="17"/>
    </row>
    <row r="10" spans="1:8" ht="18" customHeight="1" x14ac:dyDescent="0.3">
      <c r="A10" s="19" t="b">
        <v>0</v>
      </c>
      <c r="B10" s="17" t="s">
        <v>149</v>
      </c>
      <c r="C10" s="17" t="s">
        <v>150</v>
      </c>
      <c r="D10" s="17" t="s">
        <v>134</v>
      </c>
      <c r="E10" s="17" t="s">
        <v>135</v>
      </c>
      <c r="F10" s="17" t="s">
        <v>151</v>
      </c>
      <c r="G10" s="17"/>
      <c r="H10" s="17"/>
    </row>
    <row r="11" spans="1:8" ht="18" customHeight="1" x14ac:dyDescent="0.3">
      <c r="A11" s="19" t="b">
        <v>0</v>
      </c>
      <c r="B11" s="17" t="s">
        <v>152</v>
      </c>
      <c r="C11" s="17" t="s">
        <v>153</v>
      </c>
      <c r="D11" s="17" t="s">
        <v>154</v>
      </c>
      <c r="E11" s="17" t="s">
        <v>135</v>
      </c>
      <c r="F11" s="17" t="s">
        <v>155</v>
      </c>
      <c r="G11" s="17"/>
      <c r="H11" s="17"/>
    </row>
    <row r="12" spans="1:8" ht="18" customHeight="1" x14ac:dyDescent="0.3">
      <c r="A12" s="19" t="b">
        <v>0</v>
      </c>
      <c r="B12" s="17" t="s">
        <v>156</v>
      </c>
      <c r="C12" s="17" t="s">
        <v>157</v>
      </c>
      <c r="D12" s="17" t="s">
        <v>154</v>
      </c>
      <c r="E12" s="17" t="s">
        <v>135</v>
      </c>
      <c r="F12" s="17" t="s">
        <v>158</v>
      </c>
      <c r="G12" s="17"/>
      <c r="H12" s="17"/>
    </row>
    <row r="13" spans="1:8" ht="18" customHeight="1" x14ac:dyDescent="0.3">
      <c r="A13" s="19" t="b">
        <v>0</v>
      </c>
      <c r="B13" s="17" t="s">
        <v>159</v>
      </c>
      <c r="C13" s="17" t="s">
        <v>160</v>
      </c>
      <c r="D13" s="17" t="s">
        <v>154</v>
      </c>
      <c r="E13" s="17" t="s">
        <v>135</v>
      </c>
      <c r="F13" s="17" t="s">
        <v>161</v>
      </c>
      <c r="G13" s="17"/>
      <c r="H13" s="17"/>
    </row>
    <row r="14" spans="1:8" ht="18" customHeight="1" x14ac:dyDescent="0.3">
      <c r="A14" s="19" t="b">
        <v>0</v>
      </c>
      <c r="B14" s="17" t="s">
        <v>162</v>
      </c>
      <c r="C14" s="17" t="s">
        <v>163</v>
      </c>
      <c r="D14" s="17" t="s">
        <v>154</v>
      </c>
      <c r="E14" s="17" t="s">
        <v>135</v>
      </c>
      <c r="F14" s="17" t="s">
        <v>164</v>
      </c>
      <c r="G14" s="17"/>
      <c r="H14" s="17"/>
    </row>
    <row r="15" spans="1:8" ht="18" customHeight="1" x14ac:dyDescent="0.3">
      <c r="A15" s="19" t="b">
        <v>0</v>
      </c>
      <c r="B15" s="17" t="s">
        <v>165</v>
      </c>
      <c r="C15" s="17" t="s">
        <v>166</v>
      </c>
      <c r="D15" s="17" t="s">
        <v>154</v>
      </c>
      <c r="E15" s="17" t="s">
        <v>135</v>
      </c>
      <c r="F15" s="17" t="s">
        <v>167</v>
      </c>
      <c r="G15" s="17"/>
      <c r="H15" s="17"/>
    </row>
    <row r="16" spans="1:8" ht="18" customHeight="1" x14ac:dyDescent="0.3">
      <c r="A16" s="19" t="b">
        <v>0</v>
      </c>
      <c r="B16" s="17" t="s">
        <v>168</v>
      </c>
      <c r="C16" s="17" t="s">
        <v>169</v>
      </c>
      <c r="D16" s="17" t="s">
        <v>154</v>
      </c>
      <c r="E16" s="17" t="s">
        <v>135</v>
      </c>
      <c r="F16" s="17" t="s">
        <v>170</v>
      </c>
      <c r="G16" s="17"/>
      <c r="H16" s="17"/>
    </row>
    <row r="17" spans="1:8" ht="18" customHeight="1" x14ac:dyDescent="0.3">
      <c r="A17" s="19" t="b">
        <v>0</v>
      </c>
      <c r="B17" s="17" t="s">
        <v>171</v>
      </c>
      <c r="C17" s="17" t="s">
        <v>172</v>
      </c>
      <c r="D17" s="17" t="s">
        <v>154</v>
      </c>
      <c r="E17" s="17" t="s">
        <v>173</v>
      </c>
      <c r="F17" s="17" t="s">
        <v>174</v>
      </c>
      <c r="G17" s="17"/>
      <c r="H17" s="17"/>
    </row>
    <row r="18" spans="1:8" ht="18" customHeight="1" x14ac:dyDescent="0.3">
      <c r="A18" s="19" t="b">
        <v>0</v>
      </c>
      <c r="B18" s="17" t="s">
        <v>175</v>
      </c>
      <c r="C18" s="17" t="s">
        <v>176</v>
      </c>
      <c r="D18" s="17" t="s">
        <v>177</v>
      </c>
      <c r="E18" s="17" t="s">
        <v>135</v>
      </c>
      <c r="F18" s="17" t="s">
        <v>178</v>
      </c>
      <c r="G18" s="17"/>
      <c r="H18" s="17"/>
    </row>
    <row r="19" spans="1:8" ht="18" customHeight="1" x14ac:dyDescent="0.3">
      <c r="A19" s="19" t="b">
        <v>0</v>
      </c>
      <c r="B19" s="17" t="s">
        <v>179</v>
      </c>
      <c r="C19" s="17" t="s">
        <v>180</v>
      </c>
      <c r="D19" s="17" t="s">
        <v>177</v>
      </c>
      <c r="E19" s="17" t="s">
        <v>135</v>
      </c>
      <c r="F19" s="17" t="s">
        <v>181</v>
      </c>
      <c r="G19" s="17"/>
      <c r="H19" s="17"/>
    </row>
    <row r="20" spans="1:8" ht="18" customHeight="1" x14ac:dyDescent="0.3">
      <c r="A20" s="19" t="b">
        <v>0</v>
      </c>
      <c r="B20" s="17" t="s">
        <v>182</v>
      </c>
      <c r="C20" s="17" t="s">
        <v>183</v>
      </c>
      <c r="D20" s="17" t="s">
        <v>177</v>
      </c>
      <c r="E20" s="17" t="s">
        <v>135</v>
      </c>
      <c r="F20" s="17" t="s">
        <v>184</v>
      </c>
      <c r="G20" s="17"/>
      <c r="H20" s="17"/>
    </row>
    <row r="21" spans="1:8" ht="18" customHeight="1" x14ac:dyDescent="0.3">
      <c r="A21" s="19" t="b">
        <v>0</v>
      </c>
      <c r="B21" s="17" t="s">
        <v>185</v>
      </c>
      <c r="C21" s="17" t="s">
        <v>186</v>
      </c>
      <c r="D21" s="17" t="s">
        <v>154</v>
      </c>
      <c r="E21" s="17" t="s">
        <v>135</v>
      </c>
      <c r="F21" s="17" t="s">
        <v>187</v>
      </c>
      <c r="G21" s="17"/>
      <c r="H21" s="17"/>
    </row>
    <row r="22" spans="1:8" ht="18" customHeight="1" x14ac:dyDescent="0.3">
      <c r="A22" s="19" t="b">
        <v>0</v>
      </c>
      <c r="B22" s="17" t="s">
        <v>188</v>
      </c>
      <c r="C22" s="17" t="s">
        <v>189</v>
      </c>
      <c r="D22" s="17" t="s">
        <v>154</v>
      </c>
      <c r="E22" s="17" t="s">
        <v>135</v>
      </c>
      <c r="F22" s="17" t="s">
        <v>190</v>
      </c>
      <c r="G22" s="17"/>
      <c r="H22" s="17"/>
    </row>
    <row r="23" spans="1:8" ht="18" customHeight="1" x14ac:dyDescent="0.3">
      <c r="A23" s="19" t="b">
        <v>0</v>
      </c>
      <c r="B23" s="17" t="s">
        <v>191</v>
      </c>
      <c r="C23" s="17" t="s">
        <v>192</v>
      </c>
      <c r="D23" s="17" t="s">
        <v>154</v>
      </c>
      <c r="E23" s="17" t="s">
        <v>135</v>
      </c>
      <c r="F23" s="17" t="s">
        <v>193</v>
      </c>
      <c r="G23" s="17"/>
      <c r="H23" s="17"/>
    </row>
    <row r="24" spans="1:8" ht="18" customHeight="1" x14ac:dyDescent="0.3">
      <c r="A24" s="19" t="b">
        <v>0</v>
      </c>
      <c r="B24" s="17" t="s">
        <v>194</v>
      </c>
      <c r="C24" s="17" t="s">
        <v>195</v>
      </c>
      <c r="D24" s="17" t="s">
        <v>154</v>
      </c>
      <c r="E24" s="17" t="s">
        <v>135</v>
      </c>
      <c r="F24" s="17" t="s">
        <v>196</v>
      </c>
      <c r="G24" s="17"/>
      <c r="H24" s="17"/>
    </row>
    <row r="25" spans="1:8" ht="18" customHeight="1" x14ac:dyDescent="0.3">
      <c r="A25" s="19" t="b">
        <v>0</v>
      </c>
      <c r="B25" s="17" t="s">
        <v>197</v>
      </c>
      <c r="C25" s="17" t="s">
        <v>198</v>
      </c>
      <c r="D25" s="17" t="s">
        <v>154</v>
      </c>
      <c r="E25" s="17" t="s">
        <v>135</v>
      </c>
      <c r="F25" s="17" t="s">
        <v>199</v>
      </c>
      <c r="G25" s="17"/>
      <c r="H25" s="17"/>
    </row>
    <row r="26" spans="1:8" ht="18" customHeight="1" x14ac:dyDescent="0.3">
      <c r="A26" s="19" t="b">
        <v>0</v>
      </c>
      <c r="B26" s="17" t="s">
        <v>200</v>
      </c>
      <c r="C26" s="17" t="s">
        <v>201</v>
      </c>
      <c r="D26" s="17" t="s">
        <v>154</v>
      </c>
      <c r="E26" s="17" t="s">
        <v>135</v>
      </c>
      <c r="F26" s="17" t="s">
        <v>202</v>
      </c>
      <c r="G26" s="17"/>
      <c r="H26" s="17"/>
    </row>
    <row r="27" spans="1:8" ht="18" customHeight="1" x14ac:dyDescent="0.3">
      <c r="A27" s="19" t="b">
        <v>0</v>
      </c>
      <c r="B27" s="17" t="s">
        <v>203</v>
      </c>
      <c r="C27" s="17" t="s">
        <v>204</v>
      </c>
      <c r="D27" s="17" t="s">
        <v>154</v>
      </c>
      <c r="E27" s="17" t="s">
        <v>135</v>
      </c>
      <c r="F27" s="17" t="s">
        <v>205</v>
      </c>
      <c r="G27" s="17"/>
      <c r="H27" s="17"/>
    </row>
    <row r="28" spans="1:8" ht="18" customHeight="1" x14ac:dyDescent="0.3">
      <c r="A28" s="19" t="b">
        <v>0</v>
      </c>
      <c r="B28" s="17" t="s">
        <v>206</v>
      </c>
      <c r="C28" s="17" t="s">
        <v>207</v>
      </c>
      <c r="D28" s="17" t="s">
        <v>154</v>
      </c>
      <c r="E28" s="17" t="s">
        <v>135</v>
      </c>
      <c r="F28" s="17" t="s">
        <v>208</v>
      </c>
      <c r="G28" s="17"/>
      <c r="H28" s="17"/>
    </row>
    <row r="29" spans="1:8" ht="18" customHeight="1" x14ac:dyDescent="0.3">
      <c r="A29" s="19" t="b">
        <v>0</v>
      </c>
      <c r="B29" s="17" t="s">
        <v>209</v>
      </c>
      <c r="C29" s="17" t="s">
        <v>210</v>
      </c>
      <c r="D29" s="17" t="s">
        <v>154</v>
      </c>
      <c r="E29" s="17" t="s">
        <v>135</v>
      </c>
      <c r="F29" s="17" t="s">
        <v>211</v>
      </c>
      <c r="G29" s="17"/>
      <c r="H29" s="17"/>
    </row>
    <row r="30" spans="1:8" ht="18" customHeight="1" x14ac:dyDescent="0.3">
      <c r="A30" s="19" t="b">
        <v>0</v>
      </c>
      <c r="B30" s="17" t="s">
        <v>212</v>
      </c>
      <c r="C30" s="17" t="s">
        <v>213</v>
      </c>
      <c r="D30" s="17" t="s">
        <v>154</v>
      </c>
      <c r="E30" s="17" t="s">
        <v>214</v>
      </c>
      <c r="F30" s="17"/>
      <c r="G30" s="17"/>
      <c r="H30" s="17"/>
    </row>
    <row r="31" spans="1:8" ht="18" customHeight="1" x14ac:dyDescent="0.3">
      <c r="A31" s="19" t="b">
        <v>0</v>
      </c>
      <c r="B31" s="17" t="s">
        <v>215</v>
      </c>
      <c r="C31" s="17" t="s">
        <v>216</v>
      </c>
      <c r="D31" s="17" t="s">
        <v>154</v>
      </c>
      <c r="E31" s="17" t="s">
        <v>135</v>
      </c>
      <c r="F31" s="17" t="s">
        <v>217</v>
      </c>
      <c r="G31" s="17"/>
      <c r="H31" s="17"/>
    </row>
    <row r="32" spans="1:8" ht="18" customHeight="1" x14ac:dyDescent="0.3">
      <c r="A32" s="19" t="b">
        <v>0</v>
      </c>
      <c r="B32" s="17" t="s">
        <v>218</v>
      </c>
      <c r="C32" s="17" t="s">
        <v>219</v>
      </c>
      <c r="D32" s="17" t="s">
        <v>154</v>
      </c>
      <c r="E32" s="17" t="s">
        <v>214</v>
      </c>
      <c r="F32" s="17"/>
      <c r="G32" s="17"/>
      <c r="H32" s="17"/>
    </row>
    <row r="33" spans="1:8" ht="18" customHeight="1" x14ac:dyDescent="0.3">
      <c r="A33" s="19" t="b">
        <v>0</v>
      </c>
      <c r="B33" s="17" t="s">
        <v>220</v>
      </c>
      <c r="C33" s="17" t="s">
        <v>221</v>
      </c>
      <c r="D33" s="17" t="s">
        <v>154</v>
      </c>
      <c r="E33" s="17" t="s">
        <v>135</v>
      </c>
      <c r="F33" s="17" t="s">
        <v>222</v>
      </c>
      <c r="G33" s="17"/>
      <c r="H33" s="17"/>
    </row>
    <row r="34" spans="1:8" ht="18" customHeight="1" x14ac:dyDescent="0.3">
      <c r="A34" s="19" t="b">
        <v>0</v>
      </c>
      <c r="B34" s="17" t="s">
        <v>223</v>
      </c>
      <c r="C34" s="17" t="s">
        <v>224</v>
      </c>
      <c r="D34" s="17" t="s">
        <v>154</v>
      </c>
      <c r="E34" s="17" t="s">
        <v>135</v>
      </c>
      <c r="F34" s="17" t="s">
        <v>225</v>
      </c>
      <c r="G34" s="17"/>
      <c r="H34" s="17"/>
    </row>
    <row r="35" spans="1:8" ht="18" customHeight="1" x14ac:dyDescent="0.3">
      <c r="A35" s="19" t="b">
        <v>0</v>
      </c>
      <c r="B35" s="17" t="s">
        <v>226</v>
      </c>
      <c r="C35" s="17" t="s">
        <v>227</v>
      </c>
      <c r="D35" s="17" t="s">
        <v>154</v>
      </c>
      <c r="E35" s="17" t="s">
        <v>135</v>
      </c>
      <c r="F35" s="17" t="s">
        <v>228</v>
      </c>
      <c r="G35" s="17"/>
      <c r="H35" s="17"/>
    </row>
    <row r="36" spans="1:8" ht="18" customHeight="1" x14ac:dyDescent="0.3">
      <c r="A36" s="19" t="b">
        <v>0</v>
      </c>
      <c r="B36" s="17" t="s">
        <v>229</v>
      </c>
      <c r="C36" s="17" t="s">
        <v>230</v>
      </c>
      <c r="D36" s="17" t="s">
        <v>177</v>
      </c>
      <c r="E36" s="17" t="s">
        <v>135</v>
      </c>
      <c r="F36" s="17" t="s">
        <v>231</v>
      </c>
      <c r="G36" s="17"/>
      <c r="H36" s="17"/>
    </row>
    <row r="37" spans="1:8" ht="18" customHeight="1" x14ac:dyDescent="0.3">
      <c r="A37" s="19" t="b">
        <v>0</v>
      </c>
      <c r="B37" s="17" t="s">
        <v>232</v>
      </c>
      <c r="C37" s="17" t="s">
        <v>233</v>
      </c>
      <c r="D37" s="17" t="s">
        <v>177</v>
      </c>
      <c r="E37" s="17" t="s">
        <v>135</v>
      </c>
      <c r="F37" s="17" t="s">
        <v>234</v>
      </c>
      <c r="G37" s="17"/>
      <c r="H37" s="17"/>
    </row>
    <row r="38" spans="1:8" ht="18" customHeight="1" x14ac:dyDescent="0.3">
      <c r="A38" s="19" t="b">
        <v>0</v>
      </c>
      <c r="B38" s="17" t="s">
        <v>235</v>
      </c>
      <c r="C38" s="17" t="s">
        <v>236</v>
      </c>
      <c r="D38" s="17" t="s">
        <v>177</v>
      </c>
      <c r="E38" s="17" t="s">
        <v>135</v>
      </c>
      <c r="F38" s="17" t="s">
        <v>237</v>
      </c>
      <c r="G38" s="17"/>
      <c r="H38" s="17"/>
    </row>
    <row r="39" spans="1:8" ht="18" customHeight="1" x14ac:dyDescent="0.3">
      <c r="A39" s="19" t="b">
        <v>0</v>
      </c>
      <c r="B39" s="17" t="s">
        <v>238</v>
      </c>
      <c r="C39" s="17" t="s">
        <v>239</v>
      </c>
      <c r="D39" s="17" t="s">
        <v>177</v>
      </c>
      <c r="E39" s="17" t="s">
        <v>135</v>
      </c>
      <c r="F39" s="17" t="s">
        <v>240</v>
      </c>
      <c r="G39" s="17"/>
      <c r="H39" s="17"/>
    </row>
    <row r="40" spans="1:8" ht="18" customHeight="1" x14ac:dyDescent="0.3">
      <c r="A40" s="19" t="b">
        <v>0</v>
      </c>
      <c r="B40" s="17" t="s">
        <v>241</v>
      </c>
      <c r="C40" s="17" t="s">
        <v>242</v>
      </c>
      <c r="D40" s="17" t="s">
        <v>177</v>
      </c>
      <c r="E40" s="17" t="s">
        <v>135</v>
      </c>
      <c r="F40" s="17" t="s">
        <v>243</v>
      </c>
      <c r="G40" s="17"/>
      <c r="H40" s="17"/>
    </row>
    <row r="41" spans="1:8" ht="18" customHeight="1" x14ac:dyDescent="0.3">
      <c r="A41" s="19" t="b">
        <v>0</v>
      </c>
      <c r="B41" s="17" t="s">
        <v>244</v>
      </c>
      <c r="C41" s="17" t="s">
        <v>245</v>
      </c>
      <c r="D41" s="17" t="s">
        <v>177</v>
      </c>
      <c r="E41" s="17" t="s">
        <v>135</v>
      </c>
      <c r="F41" s="17" t="s">
        <v>246</v>
      </c>
      <c r="G41" s="17"/>
      <c r="H41" s="17"/>
    </row>
    <row r="42" spans="1:8" ht="18" customHeight="1" x14ac:dyDescent="0.3">
      <c r="A42" s="19" t="b">
        <v>0</v>
      </c>
      <c r="B42" s="17" t="s">
        <v>247</v>
      </c>
      <c r="C42" s="17" t="s">
        <v>248</v>
      </c>
      <c r="D42" s="17" t="s">
        <v>177</v>
      </c>
      <c r="E42" s="17" t="s">
        <v>135</v>
      </c>
      <c r="F42" s="17" t="s">
        <v>249</v>
      </c>
      <c r="G42" s="17"/>
      <c r="H42" s="17"/>
    </row>
    <row r="43" spans="1:8" ht="18" customHeight="1" x14ac:dyDescent="0.3">
      <c r="A43" s="19" t="b">
        <v>0</v>
      </c>
      <c r="B43" s="17" t="s">
        <v>250</v>
      </c>
      <c r="C43" s="17" t="s">
        <v>251</v>
      </c>
      <c r="D43" s="17" t="s">
        <v>177</v>
      </c>
      <c r="E43" s="17" t="s">
        <v>135</v>
      </c>
      <c r="F43" s="17" t="s">
        <v>252</v>
      </c>
      <c r="G43" s="17"/>
      <c r="H43" s="17"/>
    </row>
    <row r="44" spans="1:8" ht="18" customHeight="1" x14ac:dyDescent="0.3">
      <c r="A44" s="19" t="b">
        <v>0</v>
      </c>
      <c r="B44" s="17" t="s">
        <v>253</v>
      </c>
      <c r="C44" s="17" t="s">
        <v>141</v>
      </c>
      <c r="D44" s="17" t="s">
        <v>177</v>
      </c>
      <c r="E44" s="17" t="s">
        <v>135</v>
      </c>
      <c r="F44" s="17" t="s">
        <v>254</v>
      </c>
      <c r="G44" s="17"/>
      <c r="H44" s="17"/>
    </row>
    <row r="45" spans="1:8" ht="18" customHeight="1" x14ac:dyDescent="0.3">
      <c r="A45" s="19" t="b">
        <v>0</v>
      </c>
      <c r="B45" s="17" t="s">
        <v>255</v>
      </c>
      <c r="C45" s="17" t="s">
        <v>256</v>
      </c>
      <c r="D45" s="17" t="s">
        <v>257</v>
      </c>
      <c r="E45" s="17" t="s">
        <v>135</v>
      </c>
      <c r="F45" s="17" t="s">
        <v>258</v>
      </c>
      <c r="G45" s="17"/>
      <c r="H45" s="17"/>
    </row>
    <row r="46" spans="1:8" ht="18" customHeight="1" x14ac:dyDescent="0.3">
      <c r="A46" s="19" t="b">
        <v>0</v>
      </c>
      <c r="B46" s="17" t="s">
        <v>259</v>
      </c>
      <c r="C46" s="17" t="s">
        <v>260</v>
      </c>
      <c r="D46" s="17" t="s">
        <v>257</v>
      </c>
      <c r="E46" s="17" t="s">
        <v>135</v>
      </c>
      <c r="F46" s="17" t="s">
        <v>261</v>
      </c>
      <c r="G46" s="17"/>
      <c r="H46" s="17"/>
    </row>
    <row r="47" spans="1:8" ht="18" customHeight="1" x14ac:dyDescent="0.3">
      <c r="A47" s="19" t="b">
        <v>0</v>
      </c>
      <c r="B47" s="17" t="s">
        <v>262</v>
      </c>
      <c r="C47" s="17" t="s">
        <v>263</v>
      </c>
      <c r="D47" s="17" t="s">
        <v>257</v>
      </c>
      <c r="E47" s="17" t="s">
        <v>135</v>
      </c>
      <c r="F47" s="17" t="s">
        <v>264</v>
      </c>
      <c r="G47" s="17"/>
      <c r="H47" s="17"/>
    </row>
    <row r="48" spans="1:8" ht="18" customHeight="1" x14ac:dyDescent="0.3">
      <c r="A48" s="19" t="b">
        <v>0</v>
      </c>
      <c r="B48" s="17" t="s">
        <v>265</v>
      </c>
      <c r="C48" s="17" t="s">
        <v>266</v>
      </c>
      <c r="D48" s="17" t="s">
        <v>267</v>
      </c>
      <c r="E48" s="17" t="s">
        <v>135</v>
      </c>
      <c r="F48" s="17" t="s">
        <v>268</v>
      </c>
      <c r="G48" s="17"/>
      <c r="H48" s="17"/>
    </row>
    <row r="49" spans="1:8" ht="18" customHeight="1" x14ac:dyDescent="0.3">
      <c r="A49" s="19" t="b">
        <v>0</v>
      </c>
      <c r="B49" s="17" t="s">
        <v>269</v>
      </c>
      <c r="C49" s="17" t="s">
        <v>270</v>
      </c>
      <c r="D49" s="17" t="s">
        <v>267</v>
      </c>
      <c r="E49" s="17" t="s">
        <v>135</v>
      </c>
      <c r="F49" s="17" t="s">
        <v>271</v>
      </c>
      <c r="G49" s="17"/>
      <c r="H49" s="17"/>
    </row>
    <row r="50" spans="1:8" ht="18" customHeight="1" x14ac:dyDescent="0.3">
      <c r="A50" s="19" t="b">
        <v>0</v>
      </c>
      <c r="B50" s="17" t="s">
        <v>272</v>
      </c>
      <c r="C50" s="17" t="s">
        <v>273</v>
      </c>
      <c r="D50" s="17" t="s">
        <v>267</v>
      </c>
      <c r="E50" s="17" t="s">
        <v>135</v>
      </c>
      <c r="F50" s="17" t="s">
        <v>274</v>
      </c>
      <c r="G50" s="17"/>
      <c r="H50" s="17"/>
    </row>
    <row r="51" spans="1:8" ht="18" customHeight="1" x14ac:dyDescent="0.3">
      <c r="A51" s="19" t="b">
        <v>0</v>
      </c>
      <c r="B51" s="17" t="s">
        <v>275</v>
      </c>
      <c r="C51" s="17" t="s">
        <v>276</v>
      </c>
      <c r="D51" s="17" t="s">
        <v>267</v>
      </c>
      <c r="E51" s="17" t="s">
        <v>135</v>
      </c>
      <c r="F51" s="17" t="s">
        <v>277</v>
      </c>
      <c r="G51" s="17"/>
      <c r="H51" s="17"/>
    </row>
    <row r="52" spans="1:8" ht="18" customHeight="1" x14ac:dyDescent="0.3">
      <c r="A52" s="19" t="b">
        <v>0</v>
      </c>
      <c r="B52" s="17" t="s">
        <v>278</v>
      </c>
      <c r="C52" s="17" t="s">
        <v>279</v>
      </c>
      <c r="D52" s="17" t="s">
        <v>267</v>
      </c>
      <c r="E52" s="17" t="s">
        <v>135</v>
      </c>
      <c r="F52" s="17" t="s">
        <v>280</v>
      </c>
      <c r="G52" s="17"/>
      <c r="H52" s="17"/>
    </row>
    <row r="53" spans="1:8" ht="18" customHeight="1" x14ac:dyDescent="0.3">
      <c r="A53" s="19" t="b">
        <v>0</v>
      </c>
      <c r="B53" s="17" t="s">
        <v>281</v>
      </c>
      <c r="C53" s="17" t="s">
        <v>282</v>
      </c>
      <c r="D53" s="17" t="s">
        <v>283</v>
      </c>
      <c r="E53" s="17" t="s">
        <v>135</v>
      </c>
      <c r="F53" s="17" t="s">
        <v>284</v>
      </c>
      <c r="G53" s="17"/>
      <c r="H53" s="17"/>
    </row>
    <row r="54" spans="1:8" ht="18" customHeight="1" x14ac:dyDescent="0.3">
      <c r="A54" s="19" t="b">
        <v>0</v>
      </c>
      <c r="B54" s="17" t="s">
        <v>285</v>
      </c>
      <c r="C54" s="17" t="s">
        <v>286</v>
      </c>
      <c r="D54" s="17" t="s">
        <v>283</v>
      </c>
      <c r="E54" s="17" t="s">
        <v>135</v>
      </c>
      <c r="F54" s="17" t="s">
        <v>287</v>
      </c>
      <c r="G54" s="17"/>
      <c r="H54" s="17"/>
    </row>
    <row r="55" spans="1:8" ht="18" customHeight="1" x14ac:dyDescent="0.3">
      <c r="A55" s="19" t="b">
        <v>0</v>
      </c>
      <c r="B55" s="17" t="s">
        <v>288</v>
      </c>
      <c r="C55" s="17" t="s">
        <v>289</v>
      </c>
      <c r="D55" s="17" t="s">
        <v>283</v>
      </c>
      <c r="E55" s="17" t="s">
        <v>214</v>
      </c>
      <c r="F55" s="17"/>
      <c r="G55" s="17"/>
      <c r="H55" s="17"/>
    </row>
    <row r="56" spans="1:8" ht="18" customHeight="1" x14ac:dyDescent="0.3">
      <c r="A56" s="19" t="b">
        <v>0</v>
      </c>
      <c r="B56" s="17" t="s">
        <v>290</v>
      </c>
      <c r="C56" s="17" t="s">
        <v>291</v>
      </c>
      <c r="D56" s="17" t="s">
        <v>283</v>
      </c>
      <c r="E56" s="17" t="s">
        <v>214</v>
      </c>
      <c r="F56" s="17"/>
      <c r="G56" s="17"/>
      <c r="H56" s="17"/>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tn인쇄미리보기">
              <controlPr defaultSize="0" print="0" autoFill="0" autoPict="0" macro="선택서식_인쇄미리보기">
                <anchor moveWithCells="1" sizeWithCells="1">
                  <from>
                    <xdr:col>2</xdr:col>
                    <xdr:colOff>2343150</xdr:colOff>
                    <xdr:row>0</xdr:row>
                    <xdr:rowOff>123825</xdr:rowOff>
                  </from>
                  <to>
                    <xdr:col>5</xdr:col>
                    <xdr:colOff>266700</xdr:colOff>
                    <xdr:row>1</xdr:row>
                    <xdr:rowOff>180975</xdr:rowOff>
                  </to>
                </anchor>
              </controlPr>
            </control>
          </mc:Choice>
        </mc:AlternateContent>
        <mc:AlternateContent xmlns:mc="http://schemas.openxmlformats.org/markup-compatibility/2006">
          <mc:Choice Requires="x14">
            <control shapeId="4098" r:id="rId4" name="btnPDF저장">
              <controlPr defaultSize="0" print="0" autoFill="0" autoPict="0" macro="선택서식_PDF저장">
                <anchor moveWithCells="1" sizeWithCells="1">
                  <from>
                    <xdr:col>5</xdr:col>
                    <xdr:colOff>390525</xdr:colOff>
                    <xdr:row>0</xdr:row>
                    <xdr:rowOff>123825</xdr:rowOff>
                  </from>
                  <to>
                    <xdr:col>6</xdr:col>
                    <xdr:colOff>400050</xdr:colOff>
                    <xdr:row>1</xdr:row>
                    <xdr:rowOff>180975</xdr:rowOff>
                  </to>
                </anchor>
              </controlPr>
            </control>
          </mc:Choice>
        </mc:AlternateContent>
        <mc:AlternateContent xmlns:mc="http://schemas.openxmlformats.org/markup-compatibility/2006">
          <mc:Choice Requires="x14">
            <control shapeId="4099" r:id="rId5" name="btnPrev_F-001">
              <controlPr defaultSize="0" print="0" autoFill="0" autoPict="0" macro="행별_미리보기">
                <anchor moveWithCells="1" sizeWithCells="1">
                  <from>
                    <xdr:col>6</xdr:col>
                    <xdr:colOff>9525</xdr:colOff>
                    <xdr:row>4</xdr:row>
                    <xdr:rowOff>19050</xdr:rowOff>
                  </from>
                  <to>
                    <xdr:col>6</xdr:col>
                    <xdr:colOff>800100</xdr:colOff>
                    <xdr:row>4</xdr:row>
                    <xdr:rowOff>209550</xdr:rowOff>
                  </to>
                </anchor>
              </controlPr>
            </control>
          </mc:Choice>
        </mc:AlternateContent>
        <mc:AlternateContent xmlns:mc="http://schemas.openxmlformats.org/markup-compatibility/2006">
          <mc:Choice Requires="x14">
            <control shapeId="4100" r:id="rId6" name="btnPdf_F-001">
              <controlPr defaultSize="0" print="0" autoFill="0" autoPict="0" macro="행별_PDF저장">
                <anchor moveWithCells="1" sizeWithCells="1">
                  <from>
                    <xdr:col>7</xdr:col>
                    <xdr:colOff>9525</xdr:colOff>
                    <xdr:row>4</xdr:row>
                    <xdr:rowOff>19050</xdr:rowOff>
                  </from>
                  <to>
                    <xdr:col>7</xdr:col>
                    <xdr:colOff>800100</xdr:colOff>
                    <xdr:row>4</xdr:row>
                    <xdr:rowOff>209550</xdr:rowOff>
                  </to>
                </anchor>
              </controlPr>
            </control>
          </mc:Choice>
        </mc:AlternateContent>
        <mc:AlternateContent xmlns:mc="http://schemas.openxmlformats.org/markup-compatibility/2006">
          <mc:Choice Requires="x14">
            <control shapeId="4101" r:id="rId7" name="btnPrev_F-002">
              <controlPr defaultSize="0" print="0" autoFill="0" autoPict="0" macro="행별_미리보기">
                <anchor moveWithCells="1" sizeWithCells="1">
                  <from>
                    <xdr:col>6</xdr:col>
                    <xdr:colOff>9525</xdr:colOff>
                    <xdr:row>5</xdr:row>
                    <xdr:rowOff>19050</xdr:rowOff>
                  </from>
                  <to>
                    <xdr:col>6</xdr:col>
                    <xdr:colOff>800100</xdr:colOff>
                    <xdr:row>5</xdr:row>
                    <xdr:rowOff>209550</xdr:rowOff>
                  </to>
                </anchor>
              </controlPr>
            </control>
          </mc:Choice>
        </mc:AlternateContent>
        <mc:AlternateContent xmlns:mc="http://schemas.openxmlformats.org/markup-compatibility/2006">
          <mc:Choice Requires="x14">
            <control shapeId="4102" r:id="rId8" name="btnPdf_F-002">
              <controlPr defaultSize="0" print="0" autoFill="0" autoPict="0" macro="행별_PDF저장">
                <anchor moveWithCells="1" sizeWithCells="1">
                  <from>
                    <xdr:col>7</xdr:col>
                    <xdr:colOff>9525</xdr:colOff>
                    <xdr:row>5</xdr:row>
                    <xdr:rowOff>19050</xdr:rowOff>
                  </from>
                  <to>
                    <xdr:col>7</xdr:col>
                    <xdr:colOff>800100</xdr:colOff>
                    <xdr:row>5</xdr:row>
                    <xdr:rowOff>209550</xdr:rowOff>
                  </to>
                </anchor>
              </controlPr>
            </control>
          </mc:Choice>
        </mc:AlternateContent>
        <mc:AlternateContent xmlns:mc="http://schemas.openxmlformats.org/markup-compatibility/2006">
          <mc:Choice Requires="x14">
            <control shapeId="4103" r:id="rId9" name="btnPrev_F-003">
              <controlPr defaultSize="0" print="0" autoFill="0" autoPict="0" macro="행별_미리보기">
                <anchor moveWithCells="1" sizeWithCells="1">
                  <from>
                    <xdr:col>6</xdr:col>
                    <xdr:colOff>9525</xdr:colOff>
                    <xdr:row>6</xdr:row>
                    <xdr:rowOff>19050</xdr:rowOff>
                  </from>
                  <to>
                    <xdr:col>6</xdr:col>
                    <xdr:colOff>800100</xdr:colOff>
                    <xdr:row>6</xdr:row>
                    <xdr:rowOff>209550</xdr:rowOff>
                  </to>
                </anchor>
              </controlPr>
            </control>
          </mc:Choice>
        </mc:AlternateContent>
        <mc:AlternateContent xmlns:mc="http://schemas.openxmlformats.org/markup-compatibility/2006">
          <mc:Choice Requires="x14">
            <control shapeId="4104" r:id="rId10" name="btnPdf_F-003">
              <controlPr defaultSize="0" print="0" autoFill="0" autoPict="0" macro="행별_PDF저장">
                <anchor moveWithCells="1" sizeWithCells="1">
                  <from>
                    <xdr:col>7</xdr:col>
                    <xdr:colOff>9525</xdr:colOff>
                    <xdr:row>6</xdr:row>
                    <xdr:rowOff>19050</xdr:rowOff>
                  </from>
                  <to>
                    <xdr:col>7</xdr:col>
                    <xdr:colOff>800100</xdr:colOff>
                    <xdr:row>6</xdr:row>
                    <xdr:rowOff>209550</xdr:rowOff>
                  </to>
                </anchor>
              </controlPr>
            </control>
          </mc:Choice>
        </mc:AlternateContent>
        <mc:AlternateContent xmlns:mc="http://schemas.openxmlformats.org/markup-compatibility/2006">
          <mc:Choice Requires="x14">
            <control shapeId="4105" r:id="rId11" name="btnPrev_F-004">
              <controlPr defaultSize="0" print="0" autoFill="0" autoPict="0" macro="행별_미리보기">
                <anchor moveWithCells="1" sizeWithCells="1">
                  <from>
                    <xdr:col>6</xdr:col>
                    <xdr:colOff>9525</xdr:colOff>
                    <xdr:row>7</xdr:row>
                    <xdr:rowOff>19050</xdr:rowOff>
                  </from>
                  <to>
                    <xdr:col>6</xdr:col>
                    <xdr:colOff>800100</xdr:colOff>
                    <xdr:row>7</xdr:row>
                    <xdr:rowOff>209550</xdr:rowOff>
                  </to>
                </anchor>
              </controlPr>
            </control>
          </mc:Choice>
        </mc:AlternateContent>
        <mc:AlternateContent xmlns:mc="http://schemas.openxmlformats.org/markup-compatibility/2006">
          <mc:Choice Requires="x14">
            <control shapeId="4106" r:id="rId12" name="btnPdf_F-004">
              <controlPr defaultSize="0" print="0" autoFill="0" autoPict="0" macro="행별_PDF저장">
                <anchor moveWithCells="1" sizeWithCells="1">
                  <from>
                    <xdr:col>7</xdr:col>
                    <xdr:colOff>9525</xdr:colOff>
                    <xdr:row>7</xdr:row>
                    <xdr:rowOff>19050</xdr:rowOff>
                  </from>
                  <to>
                    <xdr:col>7</xdr:col>
                    <xdr:colOff>800100</xdr:colOff>
                    <xdr:row>7</xdr:row>
                    <xdr:rowOff>209550</xdr:rowOff>
                  </to>
                </anchor>
              </controlPr>
            </control>
          </mc:Choice>
        </mc:AlternateContent>
        <mc:AlternateContent xmlns:mc="http://schemas.openxmlformats.org/markup-compatibility/2006">
          <mc:Choice Requires="x14">
            <control shapeId="4107" r:id="rId13" name="btnPrev_F-005">
              <controlPr defaultSize="0" print="0" autoFill="0" autoPict="0" macro="행별_미리보기">
                <anchor moveWithCells="1" sizeWithCells="1">
                  <from>
                    <xdr:col>6</xdr:col>
                    <xdr:colOff>9525</xdr:colOff>
                    <xdr:row>8</xdr:row>
                    <xdr:rowOff>19050</xdr:rowOff>
                  </from>
                  <to>
                    <xdr:col>6</xdr:col>
                    <xdr:colOff>800100</xdr:colOff>
                    <xdr:row>8</xdr:row>
                    <xdr:rowOff>209550</xdr:rowOff>
                  </to>
                </anchor>
              </controlPr>
            </control>
          </mc:Choice>
        </mc:AlternateContent>
        <mc:AlternateContent xmlns:mc="http://schemas.openxmlformats.org/markup-compatibility/2006">
          <mc:Choice Requires="x14">
            <control shapeId="4108" r:id="rId14" name="btnPdf_F-005">
              <controlPr defaultSize="0" print="0" autoFill="0" autoPict="0" macro="행별_PDF저장">
                <anchor moveWithCells="1" sizeWithCells="1">
                  <from>
                    <xdr:col>7</xdr:col>
                    <xdr:colOff>9525</xdr:colOff>
                    <xdr:row>8</xdr:row>
                    <xdr:rowOff>19050</xdr:rowOff>
                  </from>
                  <to>
                    <xdr:col>7</xdr:col>
                    <xdr:colOff>800100</xdr:colOff>
                    <xdr:row>8</xdr:row>
                    <xdr:rowOff>209550</xdr:rowOff>
                  </to>
                </anchor>
              </controlPr>
            </control>
          </mc:Choice>
        </mc:AlternateContent>
        <mc:AlternateContent xmlns:mc="http://schemas.openxmlformats.org/markup-compatibility/2006">
          <mc:Choice Requires="x14">
            <control shapeId="4109" r:id="rId15" name="btnPrev_F-006">
              <controlPr defaultSize="0" print="0" autoFill="0" autoPict="0" macro="행별_미리보기">
                <anchor moveWithCells="1" sizeWithCells="1">
                  <from>
                    <xdr:col>6</xdr:col>
                    <xdr:colOff>9525</xdr:colOff>
                    <xdr:row>9</xdr:row>
                    <xdr:rowOff>19050</xdr:rowOff>
                  </from>
                  <to>
                    <xdr:col>6</xdr:col>
                    <xdr:colOff>800100</xdr:colOff>
                    <xdr:row>9</xdr:row>
                    <xdr:rowOff>209550</xdr:rowOff>
                  </to>
                </anchor>
              </controlPr>
            </control>
          </mc:Choice>
        </mc:AlternateContent>
        <mc:AlternateContent xmlns:mc="http://schemas.openxmlformats.org/markup-compatibility/2006">
          <mc:Choice Requires="x14">
            <control shapeId="4110" r:id="rId16" name="btnPdf_F-006">
              <controlPr defaultSize="0" print="0" autoFill="0" autoPict="0" macro="행별_PDF저장">
                <anchor moveWithCells="1" sizeWithCells="1">
                  <from>
                    <xdr:col>7</xdr:col>
                    <xdr:colOff>9525</xdr:colOff>
                    <xdr:row>9</xdr:row>
                    <xdr:rowOff>19050</xdr:rowOff>
                  </from>
                  <to>
                    <xdr:col>7</xdr:col>
                    <xdr:colOff>800100</xdr:colOff>
                    <xdr:row>9</xdr:row>
                    <xdr:rowOff>209550</xdr:rowOff>
                  </to>
                </anchor>
              </controlPr>
            </control>
          </mc:Choice>
        </mc:AlternateContent>
        <mc:AlternateContent xmlns:mc="http://schemas.openxmlformats.org/markup-compatibility/2006">
          <mc:Choice Requires="x14">
            <control shapeId="4111" r:id="rId17" name="btnPrev_F-007">
              <controlPr defaultSize="0" print="0" autoFill="0" autoPict="0" macro="행별_미리보기">
                <anchor moveWithCells="1" sizeWithCells="1">
                  <from>
                    <xdr:col>6</xdr:col>
                    <xdr:colOff>9525</xdr:colOff>
                    <xdr:row>10</xdr:row>
                    <xdr:rowOff>19050</xdr:rowOff>
                  </from>
                  <to>
                    <xdr:col>6</xdr:col>
                    <xdr:colOff>800100</xdr:colOff>
                    <xdr:row>10</xdr:row>
                    <xdr:rowOff>209550</xdr:rowOff>
                  </to>
                </anchor>
              </controlPr>
            </control>
          </mc:Choice>
        </mc:AlternateContent>
        <mc:AlternateContent xmlns:mc="http://schemas.openxmlformats.org/markup-compatibility/2006">
          <mc:Choice Requires="x14">
            <control shapeId="4112" r:id="rId18" name="btnPdf_F-007">
              <controlPr defaultSize="0" print="0" autoFill="0" autoPict="0" macro="행별_PDF저장">
                <anchor moveWithCells="1" sizeWithCells="1">
                  <from>
                    <xdr:col>7</xdr:col>
                    <xdr:colOff>9525</xdr:colOff>
                    <xdr:row>10</xdr:row>
                    <xdr:rowOff>19050</xdr:rowOff>
                  </from>
                  <to>
                    <xdr:col>7</xdr:col>
                    <xdr:colOff>800100</xdr:colOff>
                    <xdr:row>10</xdr:row>
                    <xdr:rowOff>209550</xdr:rowOff>
                  </to>
                </anchor>
              </controlPr>
            </control>
          </mc:Choice>
        </mc:AlternateContent>
        <mc:AlternateContent xmlns:mc="http://schemas.openxmlformats.org/markup-compatibility/2006">
          <mc:Choice Requires="x14">
            <control shapeId="4113" r:id="rId19" name="btnPrev_F-008">
              <controlPr defaultSize="0" print="0" autoFill="0" autoPict="0" macro="행별_미리보기">
                <anchor moveWithCells="1" sizeWithCells="1">
                  <from>
                    <xdr:col>6</xdr:col>
                    <xdr:colOff>9525</xdr:colOff>
                    <xdr:row>11</xdr:row>
                    <xdr:rowOff>19050</xdr:rowOff>
                  </from>
                  <to>
                    <xdr:col>6</xdr:col>
                    <xdr:colOff>800100</xdr:colOff>
                    <xdr:row>11</xdr:row>
                    <xdr:rowOff>209550</xdr:rowOff>
                  </to>
                </anchor>
              </controlPr>
            </control>
          </mc:Choice>
        </mc:AlternateContent>
        <mc:AlternateContent xmlns:mc="http://schemas.openxmlformats.org/markup-compatibility/2006">
          <mc:Choice Requires="x14">
            <control shapeId="4114" r:id="rId20" name="btnPdf_F-008">
              <controlPr defaultSize="0" print="0" autoFill="0" autoPict="0" macro="행별_PDF저장">
                <anchor moveWithCells="1" sizeWithCells="1">
                  <from>
                    <xdr:col>7</xdr:col>
                    <xdr:colOff>9525</xdr:colOff>
                    <xdr:row>11</xdr:row>
                    <xdr:rowOff>19050</xdr:rowOff>
                  </from>
                  <to>
                    <xdr:col>7</xdr:col>
                    <xdr:colOff>800100</xdr:colOff>
                    <xdr:row>11</xdr:row>
                    <xdr:rowOff>209550</xdr:rowOff>
                  </to>
                </anchor>
              </controlPr>
            </control>
          </mc:Choice>
        </mc:AlternateContent>
        <mc:AlternateContent xmlns:mc="http://schemas.openxmlformats.org/markup-compatibility/2006">
          <mc:Choice Requires="x14">
            <control shapeId="4115" r:id="rId21" name="btnPrev_F-009">
              <controlPr defaultSize="0" print="0" autoFill="0" autoPict="0" macro="행별_미리보기">
                <anchor moveWithCells="1" sizeWithCells="1">
                  <from>
                    <xdr:col>6</xdr:col>
                    <xdr:colOff>9525</xdr:colOff>
                    <xdr:row>12</xdr:row>
                    <xdr:rowOff>19050</xdr:rowOff>
                  </from>
                  <to>
                    <xdr:col>6</xdr:col>
                    <xdr:colOff>800100</xdr:colOff>
                    <xdr:row>12</xdr:row>
                    <xdr:rowOff>209550</xdr:rowOff>
                  </to>
                </anchor>
              </controlPr>
            </control>
          </mc:Choice>
        </mc:AlternateContent>
        <mc:AlternateContent xmlns:mc="http://schemas.openxmlformats.org/markup-compatibility/2006">
          <mc:Choice Requires="x14">
            <control shapeId="4116" r:id="rId22" name="btnPdf_F-009">
              <controlPr defaultSize="0" print="0" autoFill="0" autoPict="0" macro="행별_PDF저장">
                <anchor moveWithCells="1" sizeWithCells="1">
                  <from>
                    <xdr:col>7</xdr:col>
                    <xdr:colOff>9525</xdr:colOff>
                    <xdr:row>12</xdr:row>
                    <xdr:rowOff>19050</xdr:rowOff>
                  </from>
                  <to>
                    <xdr:col>7</xdr:col>
                    <xdr:colOff>800100</xdr:colOff>
                    <xdr:row>12</xdr:row>
                    <xdr:rowOff>209550</xdr:rowOff>
                  </to>
                </anchor>
              </controlPr>
            </control>
          </mc:Choice>
        </mc:AlternateContent>
        <mc:AlternateContent xmlns:mc="http://schemas.openxmlformats.org/markup-compatibility/2006">
          <mc:Choice Requires="x14">
            <control shapeId="4117" r:id="rId23" name="btnPrev_F-010">
              <controlPr defaultSize="0" print="0" autoFill="0" autoPict="0" macro="행별_미리보기">
                <anchor moveWithCells="1" sizeWithCells="1">
                  <from>
                    <xdr:col>6</xdr:col>
                    <xdr:colOff>9525</xdr:colOff>
                    <xdr:row>13</xdr:row>
                    <xdr:rowOff>19050</xdr:rowOff>
                  </from>
                  <to>
                    <xdr:col>6</xdr:col>
                    <xdr:colOff>800100</xdr:colOff>
                    <xdr:row>13</xdr:row>
                    <xdr:rowOff>209550</xdr:rowOff>
                  </to>
                </anchor>
              </controlPr>
            </control>
          </mc:Choice>
        </mc:AlternateContent>
        <mc:AlternateContent xmlns:mc="http://schemas.openxmlformats.org/markup-compatibility/2006">
          <mc:Choice Requires="x14">
            <control shapeId="4118" r:id="rId24" name="btnPdf_F-010">
              <controlPr defaultSize="0" print="0" autoFill="0" autoPict="0" macro="행별_PDF저장">
                <anchor moveWithCells="1" sizeWithCells="1">
                  <from>
                    <xdr:col>7</xdr:col>
                    <xdr:colOff>9525</xdr:colOff>
                    <xdr:row>13</xdr:row>
                    <xdr:rowOff>19050</xdr:rowOff>
                  </from>
                  <to>
                    <xdr:col>7</xdr:col>
                    <xdr:colOff>800100</xdr:colOff>
                    <xdr:row>13</xdr:row>
                    <xdr:rowOff>209550</xdr:rowOff>
                  </to>
                </anchor>
              </controlPr>
            </control>
          </mc:Choice>
        </mc:AlternateContent>
        <mc:AlternateContent xmlns:mc="http://schemas.openxmlformats.org/markup-compatibility/2006">
          <mc:Choice Requires="x14">
            <control shapeId="4119" r:id="rId25" name="btnPrev_F-011">
              <controlPr defaultSize="0" print="0" autoFill="0" autoPict="0" macro="행별_미리보기">
                <anchor moveWithCells="1" sizeWithCells="1">
                  <from>
                    <xdr:col>6</xdr:col>
                    <xdr:colOff>9525</xdr:colOff>
                    <xdr:row>14</xdr:row>
                    <xdr:rowOff>19050</xdr:rowOff>
                  </from>
                  <to>
                    <xdr:col>6</xdr:col>
                    <xdr:colOff>800100</xdr:colOff>
                    <xdr:row>14</xdr:row>
                    <xdr:rowOff>209550</xdr:rowOff>
                  </to>
                </anchor>
              </controlPr>
            </control>
          </mc:Choice>
        </mc:AlternateContent>
        <mc:AlternateContent xmlns:mc="http://schemas.openxmlformats.org/markup-compatibility/2006">
          <mc:Choice Requires="x14">
            <control shapeId="4120" r:id="rId26" name="btnPdf_F-011">
              <controlPr defaultSize="0" print="0" autoFill="0" autoPict="0" macro="행별_PDF저장">
                <anchor moveWithCells="1" sizeWithCells="1">
                  <from>
                    <xdr:col>7</xdr:col>
                    <xdr:colOff>9525</xdr:colOff>
                    <xdr:row>14</xdr:row>
                    <xdr:rowOff>19050</xdr:rowOff>
                  </from>
                  <to>
                    <xdr:col>7</xdr:col>
                    <xdr:colOff>800100</xdr:colOff>
                    <xdr:row>14</xdr:row>
                    <xdr:rowOff>209550</xdr:rowOff>
                  </to>
                </anchor>
              </controlPr>
            </control>
          </mc:Choice>
        </mc:AlternateContent>
        <mc:AlternateContent xmlns:mc="http://schemas.openxmlformats.org/markup-compatibility/2006">
          <mc:Choice Requires="x14">
            <control shapeId="4121" r:id="rId27" name="btnPrev_F-012">
              <controlPr defaultSize="0" print="0" autoFill="0" autoPict="0" macro="행별_미리보기">
                <anchor moveWithCells="1" sizeWithCells="1">
                  <from>
                    <xdr:col>6</xdr:col>
                    <xdr:colOff>9525</xdr:colOff>
                    <xdr:row>15</xdr:row>
                    <xdr:rowOff>19050</xdr:rowOff>
                  </from>
                  <to>
                    <xdr:col>6</xdr:col>
                    <xdr:colOff>800100</xdr:colOff>
                    <xdr:row>15</xdr:row>
                    <xdr:rowOff>209550</xdr:rowOff>
                  </to>
                </anchor>
              </controlPr>
            </control>
          </mc:Choice>
        </mc:AlternateContent>
        <mc:AlternateContent xmlns:mc="http://schemas.openxmlformats.org/markup-compatibility/2006">
          <mc:Choice Requires="x14">
            <control shapeId="4122" r:id="rId28" name="btnPdf_F-012">
              <controlPr defaultSize="0" print="0" autoFill="0" autoPict="0" macro="행별_PDF저장">
                <anchor moveWithCells="1" sizeWithCells="1">
                  <from>
                    <xdr:col>7</xdr:col>
                    <xdr:colOff>9525</xdr:colOff>
                    <xdr:row>15</xdr:row>
                    <xdr:rowOff>19050</xdr:rowOff>
                  </from>
                  <to>
                    <xdr:col>7</xdr:col>
                    <xdr:colOff>800100</xdr:colOff>
                    <xdr:row>15</xdr:row>
                    <xdr:rowOff>209550</xdr:rowOff>
                  </to>
                </anchor>
              </controlPr>
            </control>
          </mc:Choice>
        </mc:AlternateContent>
        <mc:AlternateContent xmlns:mc="http://schemas.openxmlformats.org/markup-compatibility/2006">
          <mc:Choice Requires="x14">
            <control shapeId="4123" r:id="rId29" name="btnPrev_F-014">
              <controlPr defaultSize="0" print="0" autoFill="0" autoPict="0" macro="행별_미리보기">
                <anchor moveWithCells="1" sizeWithCells="1">
                  <from>
                    <xdr:col>6</xdr:col>
                    <xdr:colOff>9525</xdr:colOff>
                    <xdr:row>17</xdr:row>
                    <xdr:rowOff>19050</xdr:rowOff>
                  </from>
                  <to>
                    <xdr:col>6</xdr:col>
                    <xdr:colOff>800100</xdr:colOff>
                    <xdr:row>17</xdr:row>
                    <xdr:rowOff>209550</xdr:rowOff>
                  </to>
                </anchor>
              </controlPr>
            </control>
          </mc:Choice>
        </mc:AlternateContent>
        <mc:AlternateContent xmlns:mc="http://schemas.openxmlformats.org/markup-compatibility/2006">
          <mc:Choice Requires="x14">
            <control shapeId="4124" r:id="rId30" name="btnPdf_F-014">
              <controlPr defaultSize="0" print="0" autoFill="0" autoPict="0" macro="행별_PDF저장">
                <anchor moveWithCells="1" sizeWithCells="1">
                  <from>
                    <xdr:col>7</xdr:col>
                    <xdr:colOff>9525</xdr:colOff>
                    <xdr:row>17</xdr:row>
                    <xdr:rowOff>19050</xdr:rowOff>
                  </from>
                  <to>
                    <xdr:col>7</xdr:col>
                    <xdr:colOff>800100</xdr:colOff>
                    <xdr:row>17</xdr:row>
                    <xdr:rowOff>209550</xdr:rowOff>
                  </to>
                </anchor>
              </controlPr>
            </control>
          </mc:Choice>
        </mc:AlternateContent>
        <mc:AlternateContent xmlns:mc="http://schemas.openxmlformats.org/markup-compatibility/2006">
          <mc:Choice Requires="x14">
            <control shapeId="4125" r:id="rId31" name="btnPrev_F-015">
              <controlPr defaultSize="0" print="0" autoFill="0" autoPict="0" macro="행별_미리보기">
                <anchor moveWithCells="1" sizeWithCells="1">
                  <from>
                    <xdr:col>6</xdr:col>
                    <xdr:colOff>9525</xdr:colOff>
                    <xdr:row>18</xdr:row>
                    <xdr:rowOff>19050</xdr:rowOff>
                  </from>
                  <to>
                    <xdr:col>6</xdr:col>
                    <xdr:colOff>800100</xdr:colOff>
                    <xdr:row>18</xdr:row>
                    <xdr:rowOff>209550</xdr:rowOff>
                  </to>
                </anchor>
              </controlPr>
            </control>
          </mc:Choice>
        </mc:AlternateContent>
        <mc:AlternateContent xmlns:mc="http://schemas.openxmlformats.org/markup-compatibility/2006">
          <mc:Choice Requires="x14">
            <control shapeId="4126" r:id="rId32" name="btnPdf_F-015">
              <controlPr defaultSize="0" print="0" autoFill="0" autoPict="0" macro="행별_PDF저장">
                <anchor moveWithCells="1" sizeWithCells="1">
                  <from>
                    <xdr:col>7</xdr:col>
                    <xdr:colOff>9525</xdr:colOff>
                    <xdr:row>18</xdr:row>
                    <xdr:rowOff>19050</xdr:rowOff>
                  </from>
                  <to>
                    <xdr:col>7</xdr:col>
                    <xdr:colOff>800100</xdr:colOff>
                    <xdr:row>18</xdr:row>
                    <xdr:rowOff>209550</xdr:rowOff>
                  </to>
                </anchor>
              </controlPr>
            </control>
          </mc:Choice>
        </mc:AlternateContent>
        <mc:AlternateContent xmlns:mc="http://schemas.openxmlformats.org/markup-compatibility/2006">
          <mc:Choice Requires="x14">
            <control shapeId="4127" r:id="rId33" name="btnPrev_F-016">
              <controlPr defaultSize="0" print="0" autoFill="0" autoPict="0" macro="행별_미리보기">
                <anchor moveWithCells="1" sizeWithCells="1">
                  <from>
                    <xdr:col>6</xdr:col>
                    <xdr:colOff>9525</xdr:colOff>
                    <xdr:row>19</xdr:row>
                    <xdr:rowOff>19050</xdr:rowOff>
                  </from>
                  <to>
                    <xdr:col>6</xdr:col>
                    <xdr:colOff>800100</xdr:colOff>
                    <xdr:row>19</xdr:row>
                    <xdr:rowOff>209550</xdr:rowOff>
                  </to>
                </anchor>
              </controlPr>
            </control>
          </mc:Choice>
        </mc:AlternateContent>
        <mc:AlternateContent xmlns:mc="http://schemas.openxmlformats.org/markup-compatibility/2006">
          <mc:Choice Requires="x14">
            <control shapeId="4128" r:id="rId34" name="btnPdf_F-016">
              <controlPr defaultSize="0" print="0" autoFill="0" autoPict="0" macro="행별_PDF저장">
                <anchor moveWithCells="1" sizeWithCells="1">
                  <from>
                    <xdr:col>7</xdr:col>
                    <xdr:colOff>9525</xdr:colOff>
                    <xdr:row>19</xdr:row>
                    <xdr:rowOff>19050</xdr:rowOff>
                  </from>
                  <to>
                    <xdr:col>7</xdr:col>
                    <xdr:colOff>800100</xdr:colOff>
                    <xdr:row>19</xdr:row>
                    <xdr:rowOff>209550</xdr:rowOff>
                  </to>
                </anchor>
              </controlPr>
            </control>
          </mc:Choice>
        </mc:AlternateContent>
        <mc:AlternateContent xmlns:mc="http://schemas.openxmlformats.org/markup-compatibility/2006">
          <mc:Choice Requires="x14">
            <control shapeId="4129" r:id="rId35" name="btnPrev_F-017">
              <controlPr defaultSize="0" print="0" autoFill="0" autoPict="0" macro="행별_미리보기">
                <anchor moveWithCells="1" sizeWithCells="1">
                  <from>
                    <xdr:col>6</xdr:col>
                    <xdr:colOff>9525</xdr:colOff>
                    <xdr:row>20</xdr:row>
                    <xdr:rowOff>19050</xdr:rowOff>
                  </from>
                  <to>
                    <xdr:col>6</xdr:col>
                    <xdr:colOff>800100</xdr:colOff>
                    <xdr:row>20</xdr:row>
                    <xdr:rowOff>209550</xdr:rowOff>
                  </to>
                </anchor>
              </controlPr>
            </control>
          </mc:Choice>
        </mc:AlternateContent>
        <mc:AlternateContent xmlns:mc="http://schemas.openxmlformats.org/markup-compatibility/2006">
          <mc:Choice Requires="x14">
            <control shapeId="4130" r:id="rId36" name="btnPdf_F-017">
              <controlPr defaultSize="0" print="0" autoFill="0" autoPict="0" macro="행별_PDF저장">
                <anchor moveWithCells="1" sizeWithCells="1">
                  <from>
                    <xdr:col>7</xdr:col>
                    <xdr:colOff>9525</xdr:colOff>
                    <xdr:row>20</xdr:row>
                    <xdr:rowOff>19050</xdr:rowOff>
                  </from>
                  <to>
                    <xdr:col>7</xdr:col>
                    <xdr:colOff>800100</xdr:colOff>
                    <xdr:row>20</xdr:row>
                    <xdr:rowOff>209550</xdr:rowOff>
                  </to>
                </anchor>
              </controlPr>
            </control>
          </mc:Choice>
        </mc:AlternateContent>
        <mc:AlternateContent xmlns:mc="http://schemas.openxmlformats.org/markup-compatibility/2006">
          <mc:Choice Requires="x14">
            <control shapeId="4131" r:id="rId37" name="btnPrev_F-018">
              <controlPr defaultSize="0" print="0" autoFill="0" autoPict="0" macro="행별_미리보기">
                <anchor moveWithCells="1" sizeWithCells="1">
                  <from>
                    <xdr:col>6</xdr:col>
                    <xdr:colOff>9525</xdr:colOff>
                    <xdr:row>21</xdr:row>
                    <xdr:rowOff>19050</xdr:rowOff>
                  </from>
                  <to>
                    <xdr:col>6</xdr:col>
                    <xdr:colOff>800100</xdr:colOff>
                    <xdr:row>21</xdr:row>
                    <xdr:rowOff>209550</xdr:rowOff>
                  </to>
                </anchor>
              </controlPr>
            </control>
          </mc:Choice>
        </mc:AlternateContent>
        <mc:AlternateContent xmlns:mc="http://schemas.openxmlformats.org/markup-compatibility/2006">
          <mc:Choice Requires="x14">
            <control shapeId="4132" r:id="rId38" name="btnPdf_F-018">
              <controlPr defaultSize="0" print="0" autoFill="0" autoPict="0" macro="행별_PDF저장">
                <anchor moveWithCells="1" sizeWithCells="1">
                  <from>
                    <xdr:col>7</xdr:col>
                    <xdr:colOff>9525</xdr:colOff>
                    <xdr:row>21</xdr:row>
                    <xdr:rowOff>19050</xdr:rowOff>
                  </from>
                  <to>
                    <xdr:col>7</xdr:col>
                    <xdr:colOff>800100</xdr:colOff>
                    <xdr:row>21</xdr:row>
                    <xdr:rowOff>209550</xdr:rowOff>
                  </to>
                </anchor>
              </controlPr>
            </control>
          </mc:Choice>
        </mc:AlternateContent>
        <mc:AlternateContent xmlns:mc="http://schemas.openxmlformats.org/markup-compatibility/2006">
          <mc:Choice Requires="x14">
            <control shapeId="4133" r:id="rId39" name="btnPrev_F-019">
              <controlPr defaultSize="0" print="0" autoFill="0" autoPict="0" macro="행별_미리보기">
                <anchor moveWithCells="1" sizeWithCells="1">
                  <from>
                    <xdr:col>6</xdr:col>
                    <xdr:colOff>9525</xdr:colOff>
                    <xdr:row>22</xdr:row>
                    <xdr:rowOff>19050</xdr:rowOff>
                  </from>
                  <to>
                    <xdr:col>6</xdr:col>
                    <xdr:colOff>800100</xdr:colOff>
                    <xdr:row>22</xdr:row>
                    <xdr:rowOff>209550</xdr:rowOff>
                  </to>
                </anchor>
              </controlPr>
            </control>
          </mc:Choice>
        </mc:AlternateContent>
        <mc:AlternateContent xmlns:mc="http://schemas.openxmlformats.org/markup-compatibility/2006">
          <mc:Choice Requires="x14">
            <control shapeId="4134" r:id="rId40" name="btnPdf_F-019">
              <controlPr defaultSize="0" print="0" autoFill="0" autoPict="0" macro="행별_PDF저장">
                <anchor moveWithCells="1" sizeWithCells="1">
                  <from>
                    <xdr:col>7</xdr:col>
                    <xdr:colOff>9525</xdr:colOff>
                    <xdr:row>22</xdr:row>
                    <xdr:rowOff>19050</xdr:rowOff>
                  </from>
                  <to>
                    <xdr:col>7</xdr:col>
                    <xdr:colOff>800100</xdr:colOff>
                    <xdr:row>22</xdr:row>
                    <xdr:rowOff>209550</xdr:rowOff>
                  </to>
                </anchor>
              </controlPr>
            </control>
          </mc:Choice>
        </mc:AlternateContent>
        <mc:AlternateContent xmlns:mc="http://schemas.openxmlformats.org/markup-compatibility/2006">
          <mc:Choice Requires="x14">
            <control shapeId="4135" r:id="rId41" name="btnPrev_F-020">
              <controlPr defaultSize="0" print="0" autoFill="0" autoPict="0" macro="행별_미리보기">
                <anchor moveWithCells="1" sizeWithCells="1">
                  <from>
                    <xdr:col>6</xdr:col>
                    <xdr:colOff>9525</xdr:colOff>
                    <xdr:row>23</xdr:row>
                    <xdr:rowOff>19050</xdr:rowOff>
                  </from>
                  <to>
                    <xdr:col>6</xdr:col>
                    <xdr:colOff>800100</xdr:colOff>
                    <xdr:row>23</xdr:row>
                    <xdr:rowOff>209550</xdr:rowOff>
                  </to>
                </anchor>
              </controlPr>
            </control>
          </mc:Choice>
        </mc:AlternateContent>
        <mc:AlternateContent xmlns:mc="http://schemas.openxmlformats.org/markup-compatibility/2006">
          <mc:Choice Requires="x14">
            <control shapeId="4136" r:id="rId42" name="btnPdf_F-020">
              <controlPr defaultSize="0" print="0" autoFill="0" autoPict="0" macro="행별_PDF저장">
                <anchor moveWithCells="1" sizeWithCells="1">
                  <from>
                    <xdr:col>7</xdr:col>
                    <xdr:colOff>9525</xdr:colOff>
                    <xdr:row>23</xdr:row>
                    <xdr:rowOff>19050</xdr:rowOff>
                  </from>
                  <to>
                    <xdr:col>7</xdr:col>
                    <xdr:colOff>800100</xdr:colOff>
                    <xdr:row>23</xdr:row>
                    <xdr:rowOff>209550</xdr:rowOff>
                  </to>
                </anchor>
              </controlPr>
            </control>
          </mc:Choice>
        </mc:AlternateContent>
        <mc:AlternateContent xmlns:mc="http://schemas.openxmlformats.org/markup-compatibility/2006">
          <mc:Choice Requires="x14">
            <control shapeId="4137" r:id="rId43" name="btnPrev_F-021">
              <controlPr defaultSize="0" print="0" autoFill="0" autoPict="0" macro="행별_미리보기">
                <anchor moveWithCells="1" sizeWithCells="1">
                  <from>
                    <xdr:col>6</xdr:col>
                    <xdr:colOff>9525</xdr:colOff>
                    <xdr:row>24</xdr:row>
                    <xdr:rowOff>19050</xdr:rowOff>
                  </from>
                  <to>
                    <xdr:col>6</xdr:col>
                    <xdr:colOff>800100</xdr:colOff>
                    <xdr:row>24</xdr:row>
                    <xdr:rowOff>209550</xdr:rowOff>
                  </to>
                </anchor>
              </controlPr>
            </control>
          </mc:Choice>
        </mc:AlternateContent>
        <mc:AlternateContent xmlns:mc="http://schemas.openxmlformats.org/markup-compatibility/2006">
          <mc:Choice Requires="x14">
            <control shapeId="4138" r:id="rId44" name="btnPdf_F-021">
              <controlPr defaultSize="0" print="0" autoFill="0" autoPict="0" macro="행별_PDF저장">
                <anchor moveWithCells="1" sizeWithCells="1">
                  <from>
                    <xdr:col>7</xdr:col>
                    <xdr:colOff>9525</xdr:colOff>
                    <xdr:row>24</xdr:row>
                    <xdr:rowOff>19050</xdr:rowOff>
                  </from>
                  <to>
                    <xdr:col>7</xdr:col>
                    <xdr:colOff>800100</xdr:colOff>
                    <xdr:row>24</xdr:row>
                    <xdr:rowOff>209550</xdr:rowOff>
                  </to>
                </anchor>
              </controlPr>
            </control>
          </mc:Choice>
        </mc:AlternateContent>
        <mc:AlternateContent xmlns:mc="http://schemas.openxmlformats.org/markup-compatibility/2006">
          <mc:Choice Requires="x14">
            <control shapeId="4139" r:id="rId45" name="btnPrev_F-022">
              <controlPr defaultSize="0" print="0" autoFill="0" autoPict="0" macro="행별_미리보기">
                <anchor moveWithCells="1" sizeWithCells="1">
                  <from>
                    <xdr:col>6</xdr:col>
                    <xdr:colOff>9525</xdr:colOff>
                    <xdr:row>25</xdr:row>
                    <xdr:rowOff>19050</xdr:rowOff>
                  </from>
                  <to>
                    <xdr:col>6</xdr:col>
                    <xdr:colOff>800100</xdr:colOff>
                    <xdr:row>25</xdr:row>
                    <xdr:rowOff>209550</xdr:rowOff>
                  </to>
                </anchor>
              </controlPr>
            </control>
          </mc:Choice>
        </mc:AlternateContent>
        <mc:AlternateContent xmlns:mc="http://schemas.openxmlformats.org/markup-compatibility/2006">
          <mc:Choice Requires="x14">
            <control shapeId="4140" r:id="rId46" name="btnPdf_F-022">
              <controlPr defaultSize="0" print="0" autoFill="0" autoPict="0" macro="행별_PDF저장">
                <anchor moveWithCells="1" sizeWithCells="1">
                  <from>
                    <xdr:col>7</xdr:col>
                    <xdr:colOff>9525</xdr:colOff>
                    <xdr:row>25</xdr:row>
                    <xdr:rowOff>19050</xdr:rowOff>
                  </from>
                  <to>
                    <xdr:col>7</xdr:col>
                    <xdr:colOff>800100</xdr:colOff>
                    <xdr:row>25</xdr:row>
                    <xdr:rowOff>209550</xdr:rowOff>
                  </to>
                </anchor>
              </controlPr>
            </control>
          </mc:Choice>
        </mc:AlternateContent>
        <mc:AlternateContent xmlns:mc="http://schemas.openxmlformats.org/markup-compatibility/2006">
          <mc:Choice Requires="x14">
            <control shapeId="4141" r:id="rId47" name="btnPrev_F-023">
              <controlPr defaultSize="0" print="0" autoFill="0" autoPict="0" macro="행별_미리보기">
                <anchor moveWithCells="1" sizeWithCells="1">
                  <from>
                    <xdr:col>6</xdr:col>
                    <xdr:colOff>9525</xdr:colOff>
                    <xdr:row>26</xdr:row>
                    <xdr:rowOff>19050</xdr:rowOff>
                  </from>
                  <to>
                    <xdr:col>6</xdr:col>
                    <xdr:colOff>800100</xdr:colOff>
                    <xdr:row>26</xdr:row>
                    <xdr:rowOff>209550</xdr:rowOff>
                  </to>
                </anchor>
              </controlPr>
            </control>
          </mc:Choice>
        </mc:AlternateContent>
        <mc:AlternateContent xmlns:mc="http://schemas.openxmlformats.org/markup-compatibility/2006">
          <mc:Choice Requires="x14">
            <control shapeId="4142" r:id="rId48" name="btnPdf_F-023">
              <controlPr defaultSize="0" print="0" autoFill="0" autoPict="0" macro="행별_PDF저장">
                <anchor moveWithCells="1" sizeWithCells="1">
                  <from>
                    <xdr:col>7</xdr:col>
                    <xdr:colOff>9525</xdr:colOff>
                    <xdr:row>26</xdr:row>
                    <xdr:rowOff>19050</xdr:rowOff>
                  </from>
                  <to>
                    <xdr:col>7</xdr:col>
                    <xdr:colOff>800100</xdr:colOff>
                    <xdr:row>26</xdr:row>
                    <xdr:rowOff>209550</xdr:rowOff>
                  </to>
                </anchor>
              </controlPr>
            </control>
          </mc:Choice>
        </mc:AlternateContent>
        <mc:AlternateContent xmlns:mc="http://schemas.openxmlformats.org/markup-compatibility/2006">
          <mc:Choice Requires="x14">
            <control shapeId="4143" r:id="rId49" name="btnPrev_F-024">
              <controlPr defaultSize="0" print="0" autoFill="0" autoPict="0" macro="행별_미리보기">
                <anchor moveWithCells="1" sizeWithCells="1">
                  <from>
                    <xdr:col>6</xdr:col>
                    <xdr:colOff>9525</xdr:colOff>
                    <xdr:row>27</xdr:row>
                    <xdr:rowOff>19050</xdr:rowOff>
                  </from>
                  <to>
                    <xdr:col>6</xdr:col>
                    <xdr:colOff>800100</xdr:colOff>
                    <xdr:row>27</xdr:row>
                    <xdr:rowOff>209550</xdr:rowOff>
                  </to>
                </anchor>
              </controlPr>
            </control>
          </mc:Choice>
        </mc:AlternateContent>
        <mc:AlternateContent xmlns:mc="http://schemas.openxmlformats.org/markup-compatibility/2006">
          <mc:Choice Requires="x14">
            <control shapeId="4144" r:id="rId50" name="btnPdf_F-024">
              <controlPr defaultSize="0" print="0" autoFill="0" autoPict="0" macro="행별_PDF저장">
                <anchor moveWithCells="1" sizeWithCells="1">
                  <from>
                    <xdr:col>7</xdr:col>
                    <xdr:colOff>9525</xdr:colOff>
                    <xdr:row>27</xdr:row>
                    <xdr:rowOff>19050</xdr:rowOff>
                  </from>
                  <to>
                    <xdr:col>7</xdr:col>
                    <xdr:colOff>800100</xdr:colOff>
                    <xdr:row>27</xdr:row>
                    <xdr:rowOff>209550</xdr:rowOff>
                  </to>
                </anchor>
              </controlPr>
            </control>
          </mc:Choice>
        </mc:AlternateContent>
        <mc:AlternateContent xmlns:mc="http://schemas.openxmlformats.org/markup-compatibility/2006">
          <mc:Choice Requires="x14">
            <control shapeId="4145" r:id="rId51" name="btnPrev_F-025">
              <controlPr defaultSize="0" print="0" autoFill="0" autoPict="0" macro="행별_미리보기">
                <anchor moveWithCells="1" sizeWithCells="1">
                  <from>
                    <xdr:col>6</xdr:col>
                    <xdr:colOff>9525</xdr:colOff>
                    <xdr:row>28</xdr:row>
                    <xdr:rowOff>19050</xdr:rowOff>
                  </from>
                  <to>
                    <xdr:col>6</xdr:col>
                    <xdr:colOff>800100</xdr:colOff>
                    <xdr:row>28</xdr:row>
                    <xdr:rowOff>209550</xdr:rowOff>
                  </to>
                </anchor>
              </controlPr>
            </control>
          </mc:Choice>
        </mc:AlternateContent>
        <mc:AlternateContent xmlns:mc="http://schemas.openxmlformats.org/markup-compatibility/2006">
          <mc:Choice Requires="x14">
            <control shapeId="4146" r:id="rId52" name="btnPdf_F-025">
              <controlPr defaultSize="0" print="0" autoFill="0" autoPict="0" macro="행별_PDF저장">
                <anchor moveWithCells="1" sizeWithCells="1">
                  <from>
                    <xdr:col>7</xdr:col>
                    <xdr:colOff>9525</xdr:colOff>
                    <xdr:row>28</xdr:row>
                    <xdr:rowOff>19050</xdr:rowOff>
                  </from>
                  <to>
                    <xdr:col>7</xdr:col>
                    <xdr:colOff>800100</xdr:colOff>
                    <xdr:row>28</xdr:row>
                    <xdr:rowOff>209550</xdr:rowOff>
                  </to>
                </anchor>
              </controlPr>
            </control>
          </mc:Choice>
        </mc:AlternateContent>
        <mc:AlternateContent xmlns:mc="http://schemas.openxmlformats.org/markup-compatibility/2006">
          <mc:Choice Requires="x14">
            <control shapeId="4147" r:id="rId53" name="btnPrev_F-027">
              <controlPr defaultSize="0" print="0" autoFill="0" autoPict="0" macro="행별_미리보기">
                <anchor moveWithCells="1" sizeWithCells="1">
                  <from>
                    <xdr:col>6</xdr:col>
                    <xdr:colOff>9525</xdr:colOff>
                    <xdr:row>30</xdr:row>
                    <xdr:rowOff>19050</xdr:rowOff>
                  </from>
                  <to>
                    <xdr:col>6</xdr:col>
                    <xdr:colOff>800100</xdr:colOff>
                    <xdr:row>30</xdr:row>
                    <xdr:rowOff>209550</xdr:rowOff>
                  </to>
                </anchor>
              </controlPr>
            </control>
          </mc:Choice>
        </mc:AlternateContent>
        <mc:AlternateContent xmlns:mc="http://schemas.openxmlformats.org/markup-compatibility/2006">
          <mc:Choice Requires="x14">
            <control shapeId="4148" r:id="rId54" name="btnPdf_F-027">
              <controlPr defaultSize="0" print="0" autoFill="0" autoPict="0" macro="행별_PDF저장">
                <anchor moveWithCells="1" sizeWithCells="1">
                  <from>
                    <xdr:col>7</xdr:col>
                    <xdr:colOff>9525</xdr:colOff>
                    <xdr:row>30</xdr:row>
                    <xdr:rowOff>19050</xdr:rowOff>
                  </from>
                  <to>
                    <xdr:col>7</xdr:col>
                    <xdr:colOff>800100</xdr:colOff>
                    <xdr:row>30</xdr:row>
                    <xdr:rowOff>209550</xdr:rowOff>
                  </to>
                </anchor>
              </controlPr>
            </control>
          </mc:Choice>
        </mc:AlternateContent>
        <mc:AlternateContent xmlns:mc="http://schemas.openxmlformats.org/markup-compatibility/2006">
          <mc:Choice Requires="x14">
            <control shapeId="4149" r:id="rId55" name="btnPrev_F-029">
              <controlPr defaultSize="0" print="0" autoFill="0" autoPict="0" macro="행별_미리보기">
                <anchor moveWithCells="1" sizeWithCells="1">
                  <from>
                    <xdr:col>6</xdr:col>
                    <xdr:colOff>9525</xdr:colOff>
                    <xdr:row>32</xdr:row>
                    <xdr:rowOff>19050</xdr:rowOff>
                  </from>
                  <to>
                    <xdr:col>6</xdr:col>
                    <xdr:colOff>800100</xdr:colOff>
                    <xdr:row>32</xdr:row>
                    <xdr:rowOff>209550</xdr:rowOff>
                  </to>
                </anchor>
              </controlPr>
            </control>
          </mc:Choice>
        </mc:AlternateContent>
        <mc:AlternateContent xmlns:mc="http://schemas.openxmlformats.org/markup-compatibility/2006">
          <mc:Choice Requires="x14">
            <control shapeId="4150" r:id="rId56" name="btnPdf_F-029">
              <controlPr defaultSize="0" print="0" autoFill="0" autoPict="0" macro="행별_PDF저장">
                <anchor moveWithCells="1" sizeWithCells="1">
                  <from>
                    <xdr:col>7</xdr:col>
                    <xdr:colOff>9525</xdr:colOff>
                    <xdr:row>32</xdr:row>
                    <xdr:rowOff>19050</xdr:rowOff>
                  </from>
                  <to>
                    <xdr:col>7</xdr:col>
                    <xdr:colOff>800100</xdr:colOff>
                    <xdr:row>32</xdr:row>
                    <xdr:rowOff>209550</xdr:rowOff>
                  </to>
                </anchor>
              </controlPr>
            </control>
          </mc:Choice>
        </mc:AlternateContent>
        <mc:AlternateContent xmlns:mc="http://schemas.openxmlformats.org/markup-compatibility/2006">
          <mc:Choice Requires="x14">
            <control shapeId="4151" r:id="rId57" name="btnPrev_F-030">
              <controlPr defaultSize="0" print="0" autoFill="0" autoPict="0" macro="행별_미리보기">
                <anchor moveWithCells="1" sizeWithCells="1">
                  <from>
                    <xdr:col>6</xdr:col>
                    <xdr:colOff>9525</xdr:colOff>
                    <xdr:row>33</xdr:row>
                    <xdr:rowOff>19050</xdr:rowOff>
                  </from>
                  <to>
                    <xdr:col>6</xdr:col>
                    <xdr:colOff>800100</xdr:colOff>
                    <xdr:row>33</xdr:row>
                    <xdr:rowOff>209550</xdr:rowOff>
                  </to>
                </anchor>
              </controlPr>
            </control>
          </mc:Choice>
        </mc:AlternateContent>
        <mc:AlternateContent xmlns:mc="http://schemas.openxmlformats.org/markup-compatibility/2006">
          <mc:Choice Requires="x14">
            <control shapeId="4152" r:id="rId58" name="btnPdf_F-030">
              <controlPr defaultSize="0" print="0" autoFill="0" autoPict="0" macro="행별_PDF저장">
                <anchor moveWithCells="1" sizeWithCells="1">
                  <from>
                    <xdr:col>7</xdr:col>
                    <xdr:colOff>9525</xdr:colOff>
                    <xdr:row>33</xdr:row>
                    <xdr:rowOff>19050</xdr:rowOff>
                  </from>
                  <to>
                    <xdr:col>7</xdr:col>
                    <xdr:colOff>800100</xdr:colOff>
                    <xdr:row>33</xdr:row>
                    <xdr:rowOff>209550</xdr:rowOff>
                  </to>
                </anchor>
              </controlPr>
            </control>
          </mc:Choice>
        </mc:AlternateContent>
        <mc:AlternateContent xmlns:mc="http://schemas.openxmlformats.org/markup-compatibility/2006">
          <mc:Choice Requires="x14">
            <control shapeId="4153" r:id="rId59" name="btnPrev_F-031">
              <controlPr defaultSize="0" print="0" autoFill="0" autoPict="0" macro="행별_미리보기">
                <anchor moveWithCells="1" sizeWithCells="1">
                  <from>
                    <xdr:col>6</xdr:col>
                    <xdr:colOff>9525</xdr:colOff>
                    <xdr:row>34</xdr:row>
                    <xdr:rowOff>19050</xdr:rowOff>
                  </from>
                  <to>
                    <xdr:col>6</xdr:col>
                    <xdr:colOff>800100</xdr:colOff>
                    <xdr:row>34</xdr:row>
                    <xdr:rowOff>209550</xdr:rowOff>
                  </to>
                </anchor>
              </controlPr>
            </control>
          </mc:Choice>
        </mc:AlternateContent>
        <mc:AlternateContent xmlns:mc="http://schemas.openxmlformats.org/markup-compatibility/2006">
          <mc:Choice Requires="x14">
            <control shapeId="4154" r:id="rId60" name="btnPdf_F-031">
              <controlPr defaultSize="0" print="0" autoFill="0" autoPict="0" macro="행별_PDF저장">
                <anchor moveWithCells="1" sizeWithCells="1">
                  <from>
                    <xdr:col>7</xdr:col>
                    <xdr:colOff>9525</xdr:colOff>
                    <xdr:row>34</xdr:row>
                    <xdr:rowOff>19050</xdr:rowOff>
                  </from>
                  <to>
                    <xdr:col>7</xdr:col>
                    <xdr:colOff>800100</xdr:colOff>
                    <xdr:row>34</xdr:row>
                    <xdr:rowOff>209550</xdr:rowOff>
                  </to>
                </anchor>
              </controlPr>
            </control>
          </mc:Choice>
        </mc:AlternateContent>
        <mc:AlternateContent xmlns:mc="http://schemas.openxmlformats.org/markup-compatibility/2006">
          <mc:Choice Requires="x14">
            <control shapeId="4155" r:id="rId61" name="btnPrev_F-032">
              <controlPr defaultSize="0" print="0" autoFill="0" autoPict="0" macro="행별_미리보기">
                <anchor moveWithCells="1" sizeWithCells="1">
                  <from>
                    <xdr:col>6</xdr:col>
                    <xdr:colOff>9525</xdr:colOff>
                    <xdr:row>35</xdr:row>
                    <xdr:rowOff>19050</xdr:rowOff>
                  </from>
                  <to>
                    <xdr:col>6</xdr:col>
                    <xdr:colOff>800100</xdr:colOff>
                    <xdr:row>35</xdr:row>
                    <xdr:rowOff>209550</xdr:rowOff>
                  </to>
                </anchor>
              </controlPr>
            </control>
          </mc:Choice>
        </mc:AlternateContent>
        <mc:AlternateContent xmlns:mc="http://schemas.openxmlformats.org/markup-compatibility/2006">
          <mc:Choice Requires="x14">
            <control shapeId="4156" r:id="rId62" name="btnPdf_F-032">
              <controlPr defaultSize="0" print="0" autoFill="0" autoPict="0" macro="행별_PDF저장">
                <anchor moveWithCells="1" sizeWithCells="1">
                  <from>
                    <xdr:col>7</xdr:col>
                    <xdr:colOff>9525</xdr:colOff>
                    <xdr:row>35</xdr:row>
                    <xdr:rowOff>19050</xdr:rowOff>
                  </from>
                  <to>
                    <xdr:col>7</xdr:col>
                    <xdr:colOff>800100</xdr:colOff>
                    <xdr:row>35</xdr:row>
                    <xdr:rowOff>209550</xdr:rowOff>
                  </to>
                </anchor>
              </controlPr>
            </control>
          </mc:Choice>
        </mc:AlternateContent>
        <mc:AlternateContent xmlns:mc="http://schemas.openxmlformats.org/markup-compatibility/2006">
          <mc:Choice Requires="x14">
            <control shapeId="4157" r:id="rId63" name="btnPrev_F-033">
              <controlPr defaultSize="0" print="0" autoFill="0" autoPict="0" macro="행별_미리보기">
                <anchor moveWithCells="1" sizeWithCells="1">
                  <from>
                    <xdr:col>6</xdr:col>
                    <xdr:colOff>9525</xdr:colOff>
                    <xdr:row>36</xdr:row>
                    <xdr:rowOff>19050</xdr:rowOff>
                  </from>
                  <to>
                    <xdr:col>6</xdr:col>
                    <xdr:colOff>800100</xdr:colOff>
                    <xdr:row>36</xdr:row>
                    <xdr:rowOff>209550</xdr:rowOff>
                  </to>
                </anchor>
              </controlPr>
            </control>
          </mc:Choice>
        </mc:AlternateContent>
        <mc:AlternateContent xmlns:mc="http://schemas.openxmlformats.org/markup-compatibility/2006">
          <mc:Choice Requires="x14">
            <control shapeId="4158" r:id="rId64" name="btnPdf_F-033">
              <controlPr defaultSize="0" print="0" autoFill="0" autoPict="0" macro="행별_PDF저장">
                <anchor moveWithCells="1" sizeWithCells="1">
                  <from>
                    <xdr:col>7</xdr:col>
                    <xdr:colOff>9525</xdr:colOff>
                    <xdr:row>36</xdr:row>
                    <xdr:rowOff>19050</xdr:rowOff>
                  </from>
                  <to>
                    <xdr:col>7</xdr:col>
                    <xdr:colOff>800100</xdr:colOff>
                    <xdr:row>36</xdr:row>
                    <xdr:rowOff>209550</xdr:rowOff>
                  </to>
                </anchor>
              </controlPr>
            </control>
          </mc:Choice>
        </mc:AlternateContent>
        <mc:AlternateContent xmlns:mc="http://schemas.openxmlformats.org/markup-compatibility/2006">
          <mc:Choice Requires="x14">
            <control shapeId="4159" r:id="rId65" name="btnPrev_F-034">
              <controlPr defaultSize="0" print="0" autoFill="0" autoPict="0" macro="행별_미리보기">
                <anchor moveWithCells="1" sizeWithCells="1">
                  <from>
                    <xdr:col>6</xdr:col>
                    <xdr:colOff>9525</xdr:colOff>
                    <xdr:row>37</xdr:row>
                    <xdr:rowOff>19050</xdr:rowOff>
                  </from>
                  <to>
                    <xdr:col>6</xdr:col>
                    <xdr:colOff>800100</xdr:colOff>
                    <xdr:row>37</xdr:row>
                    <xdr:rowOff>209550</xdr:rowOff>
                  </to>
                </anchor>
              </controlPr>
            </control>
          </mc:Choice>
        </mc:AlternateContent>
        <mc:AlternateContent xmlns:mc="http://schemas.openxmlformats.org/markup-compatibility/2006">
          <mc:Choice Requires="x14">
            <control shapeId="4160" r:id="rId66" name="btnPdf_F-034">
              <controlPr defaultSize="0" print="0" autoFill="0" autoPict="0" macro="행별_PDF저장">
                <anchor moveWithCells="1" sizeWithCells="1">
                  <from>
                    <xdr:col>7</xdr:col>
                    <xdr:colOff>9525</xdr:colOff>
                    <xdr:row>37</xdr:row>
                    <xdr:rowOff>19050</xdr:rowOff>
                  </from>
                  <to>
                    <xdr:col>7</xdr:col>
                    <xdr:colOff>800100</xdr:colOff>
                    <xdr:row>37</xdr:row>
                    <xdr:rowOff>209550</xdr:rowOff>
                  </to>
                </anchor>
              </controlPr>
            </control>
          </mc:Choice>
        </mc:AlternateContent>
        <mc:AlternateContent xmlns:mc="http://schemas.openxmlformats.org/markup-compatibility/2006">
          <mc:Choice Requires="x14">
            <control shapeId="4161" r:id="rId67" name="btnPrev_F-035">
              <controlPr defaultSize="0" print="0" autoFill="0" autoPict="0" macro="행별_미리보기">
                <anchor moveWithCells="1" sizeWithCells="1">
                  <from>
                    <xdr:col>6</xdr:col>
                    <xdr:colOff>9525</xdr:colOff>
                    <xdr:row>38</xdr:row>
                    <xdr:rowOff>19050</xdr:rowOff>
                  </from>
                  <to>
                    <xdr:col>6</xdr:col>
                    <xdr:colOff>800100</xdr:colOff>
                    <xdr:row>38</xdr:row>
                    <xdr:rowOff>209550</xdr:rowOff>
                  </to>
                </anchor>
              </controlPr>
            </control>
          </mc:Choice>
        </mc:AlternateContent>
        <mc:AlternateContent xmlns:mc="http://schemas.openxmlformats.org/markup-compatibility/2006">
          <mc:Choice Requires="x14">
            <control shapeId="4162" r:id="rId68" name="btnPdf_F-035">
              <controlPr defaultSize="0" print="0" autoFill="0" autoPict="0" macro="행별_PDF저장">
                <anchor moveWithCells="1" sizeWithCells="1">
                  <from>
                    <xdr:col>7</xdr:col>
                    <xdr:colOff>9525</xdr:colOff>
                    <xdr:row>38</xdr:row>
                    <xdr:rowOff>19050</xdr:rowOff>
                  </from>
                  <to>
                    <xdr:col>7</xdr:col>
                    <xdr:colOff>800100</xdr:colOff>
                    <xdr:row>38</xdr:row>
                    <xdr:rowOff>209550</xdr:rowOff>
                  </to>
                </anchor>
              </controlPr>
            </control>
          </mc:Choice>
        </mc:AlternateContent>
        <mc:AlternateContent xmlns:mc="http://schemas.openxmlformats.org/markup-compatibility/2006">
          <mc:Choice Requires="x14">
            <control shapeId="4163" r:id="rId69" name="btnPrev_F-036">
              <controlPr defaultSize="0" print="0" autoFill="0" autoPict="0" macro="행별_미리보기">
                <anchor moveWithCells="1" sizeWithCells="1">
                  <from>
                    <xdr:col>6</xdr:col>
                    <xdr:colOff>9525</xdr:colOff>
                    <xdr:row>39</xdr:row>
                    <xdr:rowOff>19050</xdr:rowOff>
                  </from>
                  <to>
                    <xdr:col>6</xdr:col>
                    <xdr:colOff>800100</xdr:colOff>
                    <xdr:row>39</xdr:row>
                    <xdr:rowOff>209550</xdr:rowOff>
                  </to>
                </anchor>
              </controlPr>
            </control>
          </mc:Choice>
        </mc:AlternateContent>
        <mc:AlternateContent xmlns:mc="http://schemas.openxmlformats.org/markup-compatibility/2006">
          <mc:Choice Requires="x14">
            <control shapeId="4164" r:id="rId70" name="btnPdf_F-036">
              <controlPr defaultSize="0" print="0" autoFill="0" autoPict="0" macro="행별_PDF저장">
                <anchor moveWithCells="1" sizeWithCells="1">
                  <from>
                    <xdr:col>7</xdr:col>
                    <xdr:colOff>9525</xdr:colOff>
                    <xdr:row>39</xdr:row>
                    <xdr:rowOff>19050</xdr:rowOff>
                  </from>
                  <to>
                    <xdr:col>7</xdr:col>
                    <xdr:colOff>800100</xdr:colOff>
                    <xdr:row>39</xdr:row>
                    <xdr:rowOff>209550</xdr:rowOff>
                  </to>
                </anchor>
              </controlPr>
            </control>
          </mc:Choice>
        </mc:AlternateContent>
        <mc:AlternateContent xmlns:mc="http://schemas.openxmlformats.org/markup-compatibility/2006">
          <mc:Choice Requires="x14">
            <control shapeId="4165" r:id="rId71" name="btnPrev_F-037">
              <controlPr defaultSize="0" print="0" autoFill="0" autoPict="0" macro="행별_미리보기">
                <anchor moveWithCells="1" sizeWithCells="1">
                  <from>
                    <xdr:col>6</xdr:col>
                    <xdr:colOff>9525</xdr:colOff>
                    <xdr:row>40</xdr:row>
                    <xdr:rowOff>19050</xdr:rowOff>
                  </from>
                  <to>
                    <xdr:col>6</xdr:col>
                    <xdr:colOff>800100</xdr:colOff>
                    <xdr:row>40</xdr:row>
                    <xdr:rowOff>209550</xdr:rowOff>
                  </to>
                </anchor>
              </controlPr>
            </control>
          </mc:Choice>
        </mc:AlternateContent>
        <mc:AlternateContent xmlns:mc="http://schemas.openxmlformats.org/markup-compatibility/2006">
          <mc:Choice Requires="x14">
            <control shapeId="4166" r:id="rId72" name="btnPdf_F-037">
              <controlPr defaultSize="0" print="0" autoFill="0" autoPict="0" macro="행별_PDF저장">
                <anchor moveWithCells="1" sizeWithCells="1">
                  <from>
                    <xdr:col>7</xdr:col>
                    <xdr:colOff>9525</xdr:colOff>
                    <xdr:row>40</xdr:row>
                    <xdr:rowOff>19050</xdr:rowOff>
                  </from>
                  <to>
                    <xdr:col>7</xdr:col>
                    <xdr:colOff>800100</xdr:colOff>
                    <xdr:row>40</xdr:row>
                    <xdr:rowOff>209550</xdr:rowOff>
                  </to>
                </anchor>
              </controlPr>
            </control>
          </mc:Choice>
        </mc:AlternateContent>
        <mc:AlternateContent xmlns:mc="http://schemas.openxmlformats.org/markup-compatibility/2006">
          <mc:Choice Requires="x14">
            <control shapeId="4167" r:id="rId73" name="btnPrev_F-038">
              <controlPr defaultSize="0" print="0" autoFill="0" autoPict="0" macro="행별_미리보기">
                <anchor moveWithCells="1" sizeWithCells="1">
                  <from>
                    <xdr:col>6</xdr:col>
                    <xdr:colOff>9525</xdr:colOff>
                    <xdr:row>41</xdr:row>
                    <xdr:rowOff>19050</xdr:rowOff>
                  </from>
                  <to>
                    <xdr:col>6</xdr:col>
                    <xdr:colOff>800100</xdr:colOff>
                    <xdr:row>41</xdr:row>
                    <xdr:rowOff>209550</xdr:rowOff>
                  </to>
                </anchor>
              </controlPr>
            </control>
          </mc:Choice>
        </mc:AlternateContent>
        <mc:AlternateContent xmlns:mc="http://schemas.openxmlformats.org/markup-compatibility/2006">
          <mc:Choice Requires="x14">
            <control shapeId="4168" r:id="rId74" name="btnPdf_F-038">
              <controlPr defaultSize="0" print="0" autoFill="0" autoPict="0" macro="행별_PDF저장">
                <anchor moveWithCells="1" sizeWithCells="1">
                  <from>
                    <xdr:col>7</xdr:col>
                    <xdr:colOff>9525</xdr:colOff>
                    <xdr:row>41</xdr:row>
                    <xdr:rowOff>19050</xdr:rowOff>
                  </from>
                  <to>
                    <xdr:col>7</xdr:col>
                    <xdr:colOff>800100</xdr:colOff>
                    <xdr:row>41</xdr:row>
                    <xdr:rowOff>209550</xdr:rowOff>
                  </to>
                </anchor>
              </controlPr>
            </control>
          </mc:Choice>
        </mc:AlternateContent>
        <mc:AlternateContent xmlns:mc="http://schemas.openxmlformats.org/markup-compatibility/2006">
          <mc:Choice Requires="x14">
            <control shapeId="4169" r:id="rId75" name="btnPrev_F-039">
              <controlPr defaultSize="0" print="0" autoFill="0" autoPict="0" macro="행별_미리보기">
                <anchor moveWithCells="1" sizeWithCells="1">
                  <from>
                    <xdr:col>6</xdr:col>
                    <xdr:colOff>9525</xdr:colOff>
                    <xdr:row>42</xdr:row>
                    <xdr:rowOff>19050</xdr:rowOff>
                  </from>
                  <to>
                    <xdr:col>6</xdr:col>
                    <xdr:colOff>800100</xdr:colOff>
                    <xdr:row>42</xdr:row>
                    <xdr:rowOff>209550</xdr:rowOff>
                  </to>
                </anchor>
              </controlPr>
            </control>
          </mc:Choice>
        </mc:AlternateContent>
        <mc:AlternateContent xmlns:mc="http://schemas.openxmlformats.org/markup-compatibility/2006">
          <mc:Choice Requires="x14">
            <control shapeId="4170" r:id="rId76" name="btnPdf_F-039">
              <controlPr defaultSize="0" print="0" autoFill="0" autoPict="0" macro="행별_PDF저장">
                <anchor moveWithCells="1" sizeWithCells="1">
                  <from>
                    <xdr:col>7</xdr:col>
                    <xdr:colOff>9525</xdr:colOff>
                    <xdr:row>42</xdr:row>
                    <xdr:rowOff>19050</xdr:rowOff>
                  </from>
                  <to>
                    <xdr:col>7</xdr:col>
                    <xdr:colOff>800100</xdr:colOff>
                    <xdr:row>42</xdr:row>
                    <xdr:rowOff>209550</xdr:rowOff>
                  </to>
                </anchor>
              </controlPr>
            </control>
          </mc:Choice>
        </mc:AlternateContent>
        <mc:AlternateContent xmlns:mc="http://schemas.openxmlformats.org/markup-compatibility/2006">
          <mc:Choice Requires="x14">
            <control shapeId="4171" r:id="rId77" name="btnPrev_F-040">
              <controlPr defaultSize="0" print="0" autoFill="0" autoPict="0" macro="행별_미리보기">
                <anchor moveWithCells="1" sizeWithCells="1">
                  <from>
                    <xdr:col>6</xdr:col>
                    <xdr:colOff>9525</xdr:colOff>
                    <xdr:row>43</xdr:row>
                    <xdr:rowOff>19050</xdr:rowOff>
                  </from>
                  <to>
                    <xdr:col>6</xdr:col>
                    <xdr:colOff>800100</xdr:colOff>
                    <xdr:row>43</xdr:row>
                    <xdr:rowOff>209550</xdr:rowOff>
                  </to>
                </anchor>
              </controlPr>
            </control>
          </mc:Choice>
        </mc:AlternateContent>
        <mc:AlternateContent xmlns:mc="http://schemas.openxmlformats.org/markup-compatibility/2006">
          <mc:Choice Requires="x14">
            <control shapeId="4172" r:id="rId78" name="btnPdf_F-040">
              <controlPr defaultSize="0" print="0" autoFill="0" autoPict="0" macro="행별_PDF저장">
                <anchor moveWithCells="1" sizeWithCells="1">
                  <from>
                    <xdr:col>7</xdr:col>
                    <xdr:colOff>9525</xdr:colOff>
                    <xdr:row>43</xdr:row>
                    <xdr:rowOff>19050</xdr:rowOff>
                  </from>
                  <to>
                    <xdr:col>7</xdr:col>
                    <xdr:colOff>800100</xdr:colOff>
                    <xdr:row>43</xdr:row>
                    <xdr:rowOff>209550</xdr:rowOff>
                  </to>
                </anchor>
              </controlPr>
            </control>
          </mc:Choice>
        </mc:AlternateContent>
        <mc:AlternateContent xmlns:mc="http://schemas.openxmlformats.org/markup-compatibility/2006">
          <mc:Choice Requires="x14">
            <control shapeId="4173" r:id="rId79" name="btnPrev_F-041">
              <controlPr defaultSize="0" print="0" autoFill="0" autoPict="0" macro="행별_미리보기">
                <anchor moveWithCells="1" sizeWithCells="1">
                  <from>
                    <xdr:col>6</xdr:col>
                    <xdr:colOff>9525</xdr:colOff>
                    <xdr:row>44</xdr:row>
                    <xdr:rowOff>19050</xdr:rowOff>
                  </from>
                  <to>
                    <xdr:col>6</xdr:col>
                    <xdr:colOff>800100</xdr:colOff>
                    <xdr:row>44</xdr:row>
                    <xdr:rowOff>209550</xdr:rowOff>
                  </to>
                </anchor>
              </controlPr>
            </control>
          </mc:Choice>
        </mc:AlternateContent>
        <mc:AlternateContent xmlns:mc="http://schemas.openxmlformats.org/markup-compatibility/2006">
          <mc:Choice Requires="x14">
            <control shapeId="4174" r:id="rId80" name="btnPdf_F-041">
              <controlPr defaultSize="0" print="0" autoFill="0" autoPict="0" macro="행별_PDF저장">
                <anchor moveWithCells="1" sizeWithCells="1">
                  <from>
                    <xdr:col>7</xdr:col>
                    <xdr:colOff>9525</xdr:colOff>
                    <xdr:row>44</xdr:row>
                    <xdr:rowOff>19050</xdr:rowOff>
                  </from>
                  <to>
                    <xdr:col>7</xdr:col>
                    <xdr:colOff>800100</xdr:colOff>
                    <xdr:row>44</xdr:row>
                    <xdr:rowOff>209550</xdr:rowOff>
                  </to>
                </anchor>
              </controlPr>
            </control>
          </mc:Choice>
        </mc:AlternateContent>
        <mc:AlternateContent xmlns:mc="http://schemas.openxmlformats.org/markup-compatibility/2006">
          <mc:Choice Requires="x14">
            <control shapeId="4175" r:id="rId81" name="btnPrev_F-042">
              <controlPr defaultSize="0" print="0" autoFill="0" autoPict="0" macro="행별_미리보기">
                <anchor moveWithCells="1" sizeWithCells="1">
                  <from>
                    <xdr:col>6</xdr:col>
                    <xdr:colOff>9525</xdr:colOff>
                    <xdr:row>45</xdr:row>
                    <xdr:rowOff>19050</xdr:rowOff>
                  </from>
                  <to>
                    <xdr:col>6</xdr:col>
                    <xdr:colOff>800100</xdr:colOff>
                    <xdr:row>45</xdr:row>
                    <xdr:rowOff>209550</xdr:rowOff>
                  </to>
                </anchor>
              </controlPr>
            </control>
          </mc:Choice>
        </mc:AlternateContent>
        <mc:AlternateContent xmlns:mc="http://schemas.openxmlformats.org/markup-compatibility/2006">
          <mc:Choice Requires="x14">
            <control shapeId="4176" r:id="rId82" name="btnPdf_F-042">
              <controlPr defaultSize="0" print="0" autoFill="0" autoPict="0" macro="행별_PDF저장">
                <anchor moveWithCells="1" sizeWithCells="1">
                  <from>
                    <xdr:col>7</xdr:col>
                    <xdr:colOff>9525</xdr:colOff>
                    <xdr:row>45</xdr:row>
                    <xdr:rowOff>19050</xdr:rowOff>
                  </from>
                  <to>
                    <xdr:col>7</xdr:col>
                    <xdr:colOff>800100</xdr:colOff>
                    <xdr:row>45</xdr:row>
                    <xdr:rowOff>209550</xdr:rowOff>
                  </to>
                </anchor>
              </controlPr>
            </control>
          </mc:Choice>
        </mc:AlternateContent>
        <mc:AlternateContent xmlns:mc="http://schemas.openxmlformats.org/markup-compatibility/2006">
          <mc:Choice Requires="x14">
            <control shapeId="4177" r:id="rId83" name="btnPrev_F-043">
              <controlPr defaultSize="0" print="0" autoFill="0" autoPict="0" macro="행별_미리보기">
                <anchor moveWithCells="1" sizeWithCells="1">
                  <from>
                    <xdr:col>6</xdr:col>
                    <xdr:colOff>9525</xdr:colOff>
                    <xdr:row>46</xdr:row>
                    <xdr:rowOff>19050</xdr:rowOff>
                  </from>
                  <to>
                    <xdr:col>6</xdr:col>
                    <xdr:colOff>800100</xdr:colOff>
                    <xdr:row>46</xdr:row>
                    <xdr:rowOff>209550</xdr:rowOff>
                  </to>
                </anchor>
              </controlPr>
            </control>
          </mc:Choice>
        </mc:AlternateContent>
        <mc:AlternateContent xmlns:mc="http://schemas.openxmlformats.org/markup-compatibility/2006">
          <mc:Choice Requires="x14">
            <control shapeId="4178" r:id="rId84" name="btnPdf_F-043">
              <controlPr defaultSize="0" print="0" autoFill="0" autoPict="0" macro="행별_PDF저장">
                <anchor moveWithCells="1" sizeWithCells="1">
                  <from>
                    <xdr:col>7</xdr:col>
                    <xdr:colOff>9525</xdr:colOff>
                    <xdr:row>46</xdr:row>
                    <xdr:rowOff>19050</xdr:rowOff>
                  </from>
                  <to>
                    <xdr:col>7</xdr:col>
                    <xdr:colOff>800100</xdr:colOff>
                    <xdr:row>46</xdr:row>
                    <xdr:rowOff>209550</xdr:rowOff>
                  </to>
                </anchor>
              </controlPr>
            </control>
          </mc:Choice>
        </mc:AlternateContent>
        <mc:AlternateContent xmlns:mc="http://schemas.openxmlformats.org/markup-compatibility/2006">
          <mc:Choice Requires="x14">
            <control shapeId="4179" r:id="rId85" name="btnPrev_F-044">
              <controlPr defaultSize="0" print="0" autoFill="0" autoPict="0" macro="행별_미리보기">
                <anchor moveWithCells="1" sizeWithCells="1">
                  <from>
                    <xdr:col>6</xdr:col>
                    <xdr:colOff>9525</xdr:colOff>
                    <xdr:row>47</xdr:row>
                    <xdr:rowOff>19050</xdr:rowOff>
                  </from>
                  <to>
                    <xdr:col>6</xdr:col>
                    <xdr:colOff>800100</xdr:colOff>
                    <xdr:row>47</xdr:row>
                    <xdr:rowOff>209550</xdr:rowOff>
                  </to>
                </anchor>
              </controlPr>
            </control>
          </mc:Choice>
        </mc:AlternateContent>
        <mc:AlternateContent xmlns:mc="http://schemas.openxmlformats.org/markup-compatibility/2006">
          <mc:Choice Requires="x14">
            <control shapeId="4180" r:id="rId86" name="btnPdf_F-044">
              <controlPr defaultSize="0" print="0" autoFill="0" autoPict="0" macro="행별_PDF저장">
                <anchor moveWithCells="1" sizeWithCells="1">
                  <from>
                    <xdr:col>7</xdr:col>
                    <xdr:colOff>9525</xdr:colOff>
                    <xdr:row>47</xdr:row>
                    <xdr:rowOff>19050</xdr:rowOff>
                  </from>
                  <to>
                    <xdr:col>7</xdr:col>
                    <xdr:colOff>800100</xdr:colOff>
                    <xdr:row>47</xdr:row>
                    <xdr:rowOff>209550</xdr:rowOff>
                  </to>
                </anchor>
              </controlPr>
            </control>
          </mc:Choice>
        </mc:AlternateContent>
        <mc:AlternateContent xmlns:mc="http://schemas.openxmlformats.org/markup-compatibility/2006">
          <mc:Choice Requires="x14">
            <control shapeId="4181" r:id="rId87" name="btnPrev_F-045">
              <controlPr defaultSize="0" print="0" autoFill="0" autoPict="0" macro="행별_미리보기">
                <anchor moveWithCells="1" sizeWithCells="1">
                  <from>
                    <xdr:col>6</xdr:col>
                    <xdr:colOff>9525</xdr:colOff>
                    <xdr:row>48</xdr:row>
                    <xdr:rowOff>19050</xdr:rowOff>
                  </from>
                  <to>
                    <xdr:col>6</xdr:col>
                    <xdr:colOff>800100</xdr:colOff>
                    <xdr:row>48</xdr:row>
                    <xdr:rowOff>209550</xdr:rowOff>
                  </to>
                </anchor>
              </controlPr>
            </control>
          </mc:Choice>
        </mc:AlternateContent>
        <mc:AlternateContent xmlns:mc="http://schemas.openxmlformats.org/markup-compatibility/2006">
          <mc:Choice Requires="x14">
            <control shapeId="4182" r:id="rId88" name="btnPdf_F-045">
              <controlPr defaultSize="0" print="0" autoFill="0" autoPict="0" macro="행별_PDF저장">
                <anchor moveWithCells="1" sizeWithCells="1">
                  <from>
                    <xdr:col>7</xdr:col>
                    <xdr:colOff>9525</xdr:colOff>
                    <xdr:row>48</xdr:row>
                    <xdr:rowOff>19050</xdr:rowOff>
                  </from>
                  <to>
                    <xdr:col>7</xdr:col>
                    <xdr:colOff>800100</xdr:colOff>
                    <xdr:row>48</xdr:row>
                    <xdr:rowOff>209550</xdr:rowOff>
                  </to>
                </anchor>
              </controlPr>
            </control>
          </mc:Choice>
        </mc:AlternateContent>
        <mc:AlternateContent xmlns:mc="http://schemas.openxmlformats.org/markup-compatibility/2006">
          <mc:Choice Requires="x14">
            <control shapeId="4183" r:id="rId89" name="btnPrev_F-046">
              <controlPr defaultSize="0" print="0" autoFill="0" autoPict="0" macro="행별_미리보기">
                <anchor moveWithCells="1" sizeWithCells="1">
                  <from>
                    <xdr:col>6</xdr:col>
                    <xdr:colOff>9525</xdr:colOff>
                    <xdr:row>49</xdr:row>
                    <xdr:rowOff>19050</xdr:rowOff>
                  </from>
                  <to>
                    <xdr:col>6</xdr:col>
                    <xdr:colOff>800100</xdr:colOff>
                    <xdr:row>49</xdr:row>
                    <xdr:rowOff>209550</xdr:rowOff>
                  </to>
                </anchor>
              </controlPr>
            </control>
          </mc:Choice>
        </mc:AlternateContent>
        <mc:AlternateContent xmlns:mc="http://schemas.openxmlformats.org/markup-compatibility/2006">
          <mc:Choice Requires="x14">
            <control shapeId="4184" r:id="rId90" name="btnPdf_F-046">
              <controlPr defaultSize="0" print="0" autoFill="0" autoPict="0" macro="행별_PDF저장">
                <anchor moveWithCells="1" sizeWithCells="1">
                  <from>
                    <xdr:col>7</xdr:col>
                    <xdr:colOff>9525</xdr:colOff>
                    <xdr:row>49</xdr:row>
                    <xdr:rowOff>19050</xdr:rowOff>
                  </from>
                  <to>
                    <xdr:col>7</xdr:col>
                    <xdr:colOff>800100</xdr:colOff>
                    <xdr:row>49</xdr:row>
                    <xdr:rowOff>209550</xdr:rowOff>
                  </to>
                </anchor>
              </controlPr>
            </control>
          </mc:Choice>
        </mc:AlternateContent>
        <mc:AlternateContent xmlns:mc="http://schemas.openxmlformats.org/markup-compatibility/2006">
          <mc:Choice Requires="x14">
            <control shapeId="4185" r:id="rId91" name="btnPrev_F-047">
              <controlPr defaultSize="0" print="0" autoFill="0" autoPict="0" macro="행별_미리보기">
                <anchor moveWithCells="1" sizeWithCells="1">
                  <from>
                    <xdr:col>6</xdr:col>
                    <xdr:colOff>9525</xdr:colOff>
                    <xdr:row>50</xdr:row>
                    <xdr:rowOff>19050</xdr:rowOff>
                  </from>
                  <to>
                    <xdr:col>6</xdr:col>
                    <xdr:colOff>800100</xdr:colOff>
                    <xdr:row>50</xdr:row>
                    <xdr:rowOff>209550</xdr:rowOff>
                  </to>
                </anchor>
              </controlPr>
            </control>
          </mc:Choice>
        </mc:AlternateContent>
        <mc:AlternateContent xmlns:mc="http://schemas.openxmlformats.org/markup-compatibility/2006">
          <mc:Choice Requires="x14">
            <control shapeId="4186" r:id="rId92" name="btnPdf_F-047">
              <controlPr defaultSize="0" print="0" autoFill="0" autoPict="0" macro="행별_PDF저장">
                <anchor moveWithCells="1" sizeWithCells="1">
                  <from>
                    <xdr:col>7</xdr:col>
                    <xdr:colOff>9525</xdr:colOff>
                    <xdr:row>50</xdr:row>
                    <xdr:rowOff>19050</xdr:rowOff>
                  </from>
                  <to>
                    <xdr:col>7</xdr:col>
                    <xdr:colOff>800100</xdr:colOff>
                    <xdr:row>50</xdr:row>
                    <xdr:rowOff>209550</xdr:rowOff>
                  </to>
                </anchor>
              </controlPr>
            </control>
          </mc:Choice>
        </mc:AlternateContent>
        <mc:AlternateContent xmlns:mc="http://schemas.openxmlformats.org/markup-compatibility/2006">
          <mc:Choice Requires="x14">
            <control shapeId="4187" r:id="rId93" name="btnPrev_F-048">
              <controlPr defaultSize="0" print="0" autoFill="0" autoPict="0" macro="행별_미리보기">
                <anchor moveWithCells="1" sizeWithCells="1">
                  <from>
                    <xdr:col>6</xdr:col>
                    <xdr:colOff>9525</xdr:colOff>
                    <xdr:row>51</xdr:row>
                    <xdr:rowOff>19050</xdr:rowOff>
                  </from>
                  <to>
                    <xdr:col>6</xdr:col>
                    <xdr:colOff>800100</xdr:colOff>
                    <xdr:row>51</xdr:row>
                    <xdr:rowOff>209550</xdr:rowOff>
                  </to>
                </anchor>
              </controlPr>
            </control>
          </mc:Choice>
        </mc:AlternateContent>
        <mc:AlternateContent xmlns:mc="http://schemas.openxmlformats.org/markup-compatibility/2006">
          <mc:Choice Requires="x14">
            <control shapeId="4188" r:id="rId94" name="btnPdf_F-048">
              <controlPr defaultSize="0" print="0" autoFill="0" autoPict="0" macro="행별_PDF저장">
                <anchor moveWithCells="1" sizeWithCells="1">
                  <from>
                    <xdr:col>7</xdr:col>
                    <xdr:colOff>9525</xdr:colOff>
                    <xdr:row>51</xdr:row>
                    <xdr:rowOff>19050</xdr:rowOff>
                  </from>
                  <to>
                    <xdr:col>7</xdr:col>
                    <xdr:colOff>800100</xdr:colOff>
                    <xdr:row>51</xdr:row>
                    <xdr:rowOff>209550</xdr:rowOff>
                  </to>
                </anchor>
              </controlPr>
            </control>
          </mc:Choice>
        </mc:AlternateContent>
        <mc:AlternateContent xmlns:mc="http://schemas.openxmlformats.org/markup-compatibility/2006">
          <mc:Choice Requires="x14">
            <control shapeId="4189" r:id="rId95" name="btnPrev_F-049">
              <controlPr defaultSize="0" print="0" autoFill="0" autoPict="0" macro="행별_미리보기">
                <anchor moveWithCells="1" sizeWithCells="1">
                  <from>
                    <xdr:col>6</xdr:col>
                    <xdr:colOff>9525</xdr:colOff>
                    <xdr:row>52</xdr:row>
                    <xdr:rowOff>19050</xdr:rowOff>
                  </from>
                  <to>
                    <xdr:col>6</xdr:col>
                    <xdr:colOff>800100</xdr:colOff>
                    <xdr:row>52</xdr:row>
                    <xdr:rowOff>209550</xdr:rowOff>
                  </to>
                </anchor>
              </controlPr>
            </control>
          </mc:Choice>
        </mc:AlternateContent>
        <mc:AlternateContent xmlns:mc="http://schemas.openxmlformats.org/markup-compatibility/2006">
          <mc:Choice Requires="x14">
            <control shapeId="4190" r:id="rId96" name="btnPdf_F-049">
              <controlPr defaultSize="0" print="0" autoFill="0" autoPict="0" macro="행별_PDF저장">
                <anchor moveWithCells="1" sizeWithCells="1">
                  <from>
                    <xdr:col>7</xdr:col>
                    <xdr:colOff>9525</xdr:colOff>
                    <xdr:row>52</xdr:row>
                    <xdr:rowOff>19050</xdr:rowOff>
                  </from>
                  <to>
                    <xdr:col>7</xdr:col>
                    <xdr:colOff>800100</xdr:colOff>
                    <xdr:row>52</xdr:row>
                    <xdr:rowOff>209550</xdr:rowOff>
                  </to>
                </anchor>
              </controlPr>
            </control>
          </mc:Choice>
        </mc:AlternateContent>
        <mc:AlternateContent xmlns:mc="http://schemas.openxmlformats.org/markup-compatibility/2006">
          <mc:Choice Requires="x14">
            <control shapeId="4191" r:id="rId97" name="btnPrev_F-050">
              <controlPr defaultSize="0" print="0" autoFill="0" autoPict="0" macro="행별_미리보기">
                <anchor moveWithCells="1" sizeWithCells="1">
                  <from>
                    <xdr:col>6</xdr:col>
                    <xdr:colOff>9525</xdr:colOff>
                    <xdr:row>53</xdr:row>
                    <xdr:rowOff>19050</xdr:rowOff>
                  </from>
                  <to>
                    <xdr:col>6</xdr:col>
                    <xdr:colOff>800100</xdr:colOff>
                    <xdr:row>53</xdr:row>
                    <xdr:rowOff>209550</xdr:rowOff>
                  </to>
                </anchor>
              </controlPr>
            </control>
          </mc:Choice>
        </mc:AlternateContent>
        <mc:AlternateContent xmlns:mc="http://schemas.openxmlformats.org/markup-compatibility/2006">
          <mc:Choice Requires="x14">
            <control shapeId="4192" r:id="rId98" name="btnPdf_F-050">
              <controlPr defaultSize="0" print="0" autoFill="0" autoPict="0" macro="행별_PDF저장">
                <anchor moveWithCells="1" sizeWithCells="1">
                  <from>
                    <xdr:col>7</xdr:col>
                    <xdr:colOff>9525</xdr:colOff>
                    <xdr:row>53</xdr:row>
                    <xdr:rowOff>19050</xdr:rowOff>
                  </from>
                  <to>
                    <xdr:col>7</xdr:col>
                    <xdr:colOff>800100</xdr:colOff>
                    <xdr:row>53</xdr:row>
                    <xdr:rowOff>209550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470D93-338B-4118-ABB1-97C7BB647E90}">
  <sheetPr codeName="Sheet5"/>
  <dimension ref="A1:D13"/>
  <sheetViews>
    <sheetView tabSelected="1" workbookViewId="0"/>
  </sheetViews>
  <sheetFormatPr defaultRowHeight="16.5" x14ac:dyDescent="0.3"/>
  <cols>
    <col min="1" max="1" width="22.625" customWidth="1"/>
    <col min="2" max="2" width="52.625" customWidth="1"/>
    <col min="3" max="3" width="30.625" customWidth="1"/>
    <col min="4" max="4" width="14.625" customWidth="1"/>
  </cols>
  <sheetData>
    <row r="1" spans="1:4" ht="19.5" x14ac:dyDescent="0.3">
      <c r="A1" s="18" t="s">
        <v>1329</v>
      </c>
    </row>
    <row r="2" spans="1:4" x14ac:dyDescent="0.3">
      <c r="A2" t="s">
        <v>1330</v>
      </c>
    </row>
    <row r="4" spans="1:4" x14ac:dyDescent="0.3">
      <c r="A4" s="16" t="s">
        <v>1331</v>
      </c>
      <c r="B4" s="16" t="s">
        <v>1332</v>
      </c>
      <c r="C4" s="16" t="s">
        <v>1333</v>
      </c>
      <c r="D4" s="16" t="s">
        <v>1334</v>
      </c>
    </row>
    <row r="5" spans="1:4" x14ac:dyDescent="0.3">
      <c r="A5" s="72" t="s">
        <v>1335</v>
      </c>
      <c r="B5" s="74" t="s">
        <v>1336</v>
      </c>
      <c r="C5" s="74" t="s">
        <v>1337</v>
      </c>
      <c r="D5" s="72" t="s">
        <v>132</v>
      </c>
    </row>
    <row r="6" spans="1:4" x14ac:dyDescent="0.3">
      <c r="A6" s="72" t="s">
        <v>1338</v>
      </c>
      <c r="B6" s="74" t="s">
        <v>1339</v>
      </c>
      <c r="C6" s="74" t="s">
        <v>149</v>
      </c>
      <c r="D6" s="72" t="s">
        <v>149</v>
      </c>
    </row>
    <row r="7" spans="1:4" x14ac:dyDescent="0.3">
      <c r="A7" s="72" t="s">
        <v>1340</v>
      </c>
      <c r="B7" s="74" t="s">
        <v>1341</v>
      </c>
      <c r="C7" s="74" t="s">
        <v>1342</v>
      </c>
      <c r="D7" s="72" t="s">
        <v>152</v>
      </c>
    </row>
    <row r="8" spans="1:4" x14ac:dyDescent="0.3">
      <c r="A8" s="72" t="s">
        <v>1343</v>
      </c>
      <c r="B8" s="74" t="s">
        <v>1344</v>
      </c>
      <c r="C8" s="74" t="s">
        <v>1345</v>
      </c>
      <c r="D8" s="72" t="s">
        <v>165</v>
      </c>
    </row>
    <row r="9" spans="1:4" x14ac:dyDescent="0.3">
      <c r="A9" s="72" t="s">
        <v>1346</v>
      </c>
      <c r="B9" s="74" t="s">
        <v>1347</v>
      </c>
      <c r="C9" s="74" t="s">
        <v>1348</v>
      </c>
      <c r="D9" s="72" t="s">
        <v>185</v>
      </c>
    </row>
    <row r="10" spans="1:4" x14ac:dyDescent="0.3">
      <c r="A10" s="72" t="s">
        <v>1349</v>
      </c>
      <c r="B10" s="74" t="s">
        <v>1350</v>
      </c>
      <c r="C10" s="74" t="s">
        <v>1351</v>
      </c>
      <c r="D10" s="72" t="s">
        <v>175</v>
      </c>
    </row>
    <row r="11" spans="1:4" x14ac:dyDescent="0.3">
      <c r="A11" s="72" t="s">
        <v>1352</v>
      </c>
      <c r="B11" s="74" t="s">
        <v>1353</v>
      </c>
      <c r="C11" s="74" t="s">
        <v>1354</v>
      </c>
      <c r="D11" s="72" t="s">
        <v>255</v>
      </c>
    </row>
    <row r="12" spans="1:4" x14ac:dyDescent="0.3">
      <c r="A12" s="72" t="s">
        <v>1355</v>
      </c>
      <c r="B12" s="74" t="s">
        <v>1356</v>
      </c>
      <c r="C12" s="74" t="s">
        <v>262</v>
      </c>
      <c r="D12" s="72" t="s">
        <v>262</v>
      </c>
    </row>
    <row r="13" spans="1:4" x14ac:dyDescent="0.3">
      <c r="A13" s="72" t="s">
        <v>1357</v>
      </c>
      <c r="B13" s="74" t="s">
        <v>1358</v>
      </c>
      <c r="C13" s="74" t="s">
        <v>1359</v>
      </c>
      <c r="D13" s="72" t="s">
        <v>265</v>
      </c>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tn관련FormID이동">
              <controlPr defaultSize="0" print="0" autoFill="0" autoPict="0" macro="관련FormID로이동">
                <anchor moveWithCells="1" sizeWithCells="1">
                  <from>
                    <xdr:col>3</xdr:col>
                    <xdr:colOff>180975</xdr:colOff>
                    <xdr:row>1</xdr:row>
                    <xdr:rowOff>190500</xdr:rowOff>
                  </from>
                  <to>
                    <xdr:col>5</xdr:col>
                    <xdr:colOff>285750</xdr:colOff>
                    <xdr:row>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13309-B4E9-41B4-B90F-7A4E73EFE947}">
  <sheetPr codeName="Sheet6"/>
  <dimension ref="A1:F126"/>
  <sheetViews>
    <sheetView workbookViewId="0"/>
  </sheetViews>
  <sheetFormatPr defaultRowHeight="16.5" x14ac:dyDescent="0.3"/>
  <cols>
    <col min="1" max="1" width="8.625" customWidth="1"/>
    <col min="2" max="2" width="12.625" customWidth="1"/>
    <col min="3" max="3" width="10.625" customWidth="1"/>
    <col min="4" max="4" width="26.625" customWidth="1"/>
    <col min="5" max="5" width="38.625" customWidth="1"/>
    <col min="6" max="6" width="16.625" customWidth="1"/>
  </cols>
  <sheetData>
    <row r="1" spans="1:6" ht="19.5" x14ac:dyDescent="0.3">
      <c r="A1" s="18" t="s">
        <v>1327</v>
      </c>
    </row>
    <row r="2" spans="1:6" x14ac:dyDescent="0.3">
      <c r="A2" t="s">
        <v>1328</v>
      </c>
    </row>
    <row r="3" spans="1:6" x14ac:dyDescent="0.3">
      <c r="A3" t="s">
        <v>93</v>
      </c>
      <c r="B3" s="9"/>
      <c r="C3" t="s">
        <v>961</v>
      </c>
      <c r="D3" s="9"/>
      <c r="E3" t="s">
        <v>962</v>
      </c>
      <c r="F3" s="9"/>
    </row>
    <row r="6" spans="1:6" x14ac:dyDescent="0.3">
      <c r="A6" s="65" t="s">
        <v>902</v>
      </c>
      <c r="B6" s="65" t="s">
        <v>961</v>
      </c>
      <c r="C6" s="65" t="s">
        <v>962</v>
      </c>
      <c r="D6" s="65" t="s">
        <v>93</v>
      </c>
      <c r="E6" s="65" t="s">
        <v>312</v>
      </c>
      <c r="F6" s="65" t="s">
        <v>387</v>
      </c>
    </row>
    <row r="7" spans="1:6" x14ac:dyDescent="0.3">
      <c r="A7" s="17"/>
      <c r="B7" s="17"/>
      <c r="C7" s="17"/>
      <c r="D7" s="17"/>
      <c r="E7" s="17"/>
      <c r="F7" s="17"/>
    </row>
    <row r="8" spans="1:6" x14ac:dyDescent="0.3">
      <c r="A8" s="17"/>
      <c r="B8" s="17"/>
      <c r="C8" s="17"/>
      <c r="D8" s="17"/>
      <c r="E8" s="17"/>
      <c r="F8" s="17"/>
    </row>
    <row r="9" spans="1:6" x14ac:dyDescent="0.3">
      <c r="A9" s="17"/>
      <c r="B9" s="17"/>
      <c r="C9" s="17"/>
      <c r="D9" s="17"/>
      <c r="E9" s="17"/>
      <c r="F9" s="17"/>
    </row>
    <row r="10" spans="1:6" x14ac:dyDescent="0.3">
      <c r="A10" s="17"/>
      <c r="B10" s="17"/>
      <c r="C10" s="17"/>
      <c r="D10" s="17"/>
      <c r="E10" s="17"/>
      <c r="F10" s="17"/>
    </row>
    <row r="11" spans="1:6" x14ac:dyDescent="0.3">
      <c r="A11" s="17"/>
      <c r="B11" s="17"/>
      <c r="C11" s="17"/>
      <c r="D11" s="17"/>
      <c r="E11" s="17"/>
      <c r="F11" s="17"/>
    </row>
    <row r="12" spans="1:6" x14ac:dyDescent="0.3">
      <c r="A12" s="17"/>
      <c r="B12" s="17"/>
      <c r="C12" s="17"/>
      <c r="D12" s="17"/>
      <c r="E12" s="17"/>
      <c r="F12" s="17"/>
    </row>
    <row r="13" spans="1:6" x14ac:dyDescent="0.3">
      <c r="A13" s="17"/>
      <c r="B13" s="17"/>
      <c r="C13" s="17"/>
      <c r="D13" s="17"/>
      <c r="E13" s="17"/>
      <c r="F13" s="17"/>
    </row>
    <row r="14" spans="1:6" x14ac:dyDescent="0.3">
      <c r="A14" s="17"/>
      <c r="B14" s="17"/>
      <c r="C14" s="17"/>
      <c r="D14" s="17"/>
      <c r="E14" s="17"/>
      <c r="F14" s="17"/>
    </row>
    <row r="15" spans="1:6" x14ac:dyDescent="0.3">
      <c r="A15" s="17"/>
      <c r="B15" s="17"/>
      <c r="C15" s="17"/>
      <c r="D15" s="17"/>
      <c r="E15" s="17"/>
      <c r="F15" s="17"/>
    </row>
    <row r="16" spans="1:6" x14ac:dyDescent="0.3">
      <c r="A16" s="17"/>
      <c r="B16" s="17"/>
      <c r="C16" s="17"/>
      <c r="D16" s="17"/>
      <c r="E16" s="17"/>
      <c r="F16" s="17"/>
    </row>
    <row r="17" spans="1:6" x14ac:dyDescent="0.3">
      <c r="A17" s="17"/>
      <c r="B17" s="17"/>
      <c r="C17" s="17"/>
      <c r="D17" s="17"/>
      <c r="E17" s="17"/>
      <c r="F17" s="17"/>
    </row>
    <row r="18" spans="1:6" x14ac:dyDescent="0.3">
      <c r="A18" s="17"/>
      <c r="B18" s="17"/>
      <c r="C18" s="17"/>
      <c r="D18" s="17"/>
      <c r="E18" s="17"/>
      <c r="F18" s="17"/>
    </row>
    <row r="19" spans="1:6" x14ac:dyDescent="0.3">
      <c r="A19" s="17"/>
      <c r="B19" s="17"/>
      <c r="C19" s="17"/>
      <c r="D19" s="17"/>
      <c r="E19" s="17"/>
      <c r="F19" s="17"/>
    </row>
    <row r="20" spans="1:6" x14ac:dyDescent="0.3">
      <c r="A20" s="17"/>
      <c r="B20" s="17"/>
      <c r="C20" s="17"/>
      <c r="D20" s="17"/>
      <c r="E20" s="17"/>
      <c r="F20" s="17"/>
    </row>
    <row r="21" spans="1:6" x14ac:dyDescent="0.3">
      <c r="A21" s="17"/>
      <c r="B21" s="17"/>
      <c r="C21" s="17"/>
      <c r="D21" s="17"/>
      <c r="E21" s="17"/>
      <c r="F21" s="17"/>
    </row>
    <row r="22" spans="1:6" x14ac:dyDescent="0.3">
      <c r="A22" s="17"/>
      <c r="B22" s="17"/>
      <c r="C22" s="17"/>
      <c r="D22" s="17"/>
      <c r="E22" s="17"/>
      <c r="F22" s="17"/>
    </row>
    <row r="23" spans="1:6" x14ac:dyDescent="0.3">
      <c r="A23" s="17"/>
      <c r="B23" s="17"/>
      <c r="C23" s="17"/>
      <c r="D23" s="17"/>
      <c r="E23" s="17"/>
      <c r="F23" s="17"/>
    </row>
    <row r="24" spans="1:6" x14ac:dyDescent="0.3">
      <c r="A24" s="17"/>
      <c r="B24" s="17"/>
      <c r="C24" s="17"/>
      <c r="D24" s="17"/>
      <c r="E24" s="17"/>
      <c r="F24" s="17"/>
    </row>
    <row r="25" spans="1:6" x14ac:dyDescent="0.3">
      <c r="A25" s="17"/>
      <c r="B25" s="17"/>
      <c r="C25" s="17"/>
      <c r="D25" s="17"/>
      <c r="E25" s="17"/>
      <c r="F25" s="17"/>
    </row>
    <row r="26" spans="1:6" x14ac:dyDescent="0.3">
      <c r="A26" s="17"/>
      <c r="B26" s="17"/>
      <c r="C26" s="17"/>
      <c r="D26" s="17"/>
      <c r="E26" s="17"/>
      <c r="F26" s="17"/>
    </row>
    <row r="27" spans="1:6" x14ac:dyDescent="0.3">
      <c r="A27" s="17"/>
      <c r="B27" s="17"/>
      <c r="C27" s="17"/>
      <c r="D27" s="17"/>
      <c r="E27" s="17"/>
      <c r="F27" s="17"/>
    </row>
    <row r="28" spans="1:6" x14ac:dyDescent="0.3">
      <c r="A28" s="17"/>
      <c r="B28" s="17"/>
      <c r="C28" s="17"/>
      <c r="D28" s="17"/>
      <c r="E28" s="17"/>
      <c r="F28" s="17"/>
    </row>
    <row r="29" spans="1:6" x14ac:dyDescent="0.3">
      <c r="A29" s="17"/>
      <c r="B29" s="17"/>
      <c r="C29" s="17"/>
      <c r="D29" s="17"/>
      <c r="E29" s="17"/>
      <c r="F29" s="17"/>
    </row>
    <row r="30" spans="1:6" x14ac:dyDescent="0.3">
      <c r="A30" s="17"/>
      <c r="B30" s="17"/>
      <c r="C30" s="17"/>
      <c r="D30" s="17"/>
      <c r="E30" s="17"/>
      <c r="F30" s="17"/>
    </row>
    <row r="31" spans="1:6" x14ac:dyDescent="0.3">
      <c r="A31" s="17"/>
      <c r="B31" s="17"/>
      <c r="C31" s="17"/>
      <c r="D31" s="17"/>
      <c r="E31" s="17"/>
      <c r="F31" s="17"/>
    </row>
    <row r="32" spans="1:6" x14ac:dyDescent="0.3">
      <c r="A32" s="17"/>
      <c r="B32" s="17"/>
      <c r="C32" s="17"/>
      <c r="D32" s="17"/>
      <c r="E32" s="17"/>
      <c r="F32" s="17"/>
    </row>
    <row r="33" spans="1:6" x14ac:dyDescent="0.3">
      <c r="A33" s="17"/>
      <c r="B33" s="17"/>
      <c r="C33" s="17"/>
      <c r="D33" s="17"/>
      <c r="E33" s="17"/>
      <c r="F33" s="17"/>
    </row>
    <row r="34" spans="1:6" x14ac:dyDescent="0.3">
      <c r="A34" s="17"/>
      <c r="B34" s="17"/>
      <c r="C34" s="17"/>
      <c r="D34" s="17"/>
      <c r="E34" s="17"/>
      <c r="F34" s="17"/>
    </row>
    <row r="35" spans="1:6" x14ac:dyDescent="0.3">
      <c r="A35" s="17"/>
      <c r="B35" s="17"/>
      <c r="C35" s="17"/>
      <c r="D35" s="17"/>
      <c r="E35" s="17"/>
      <c r="F35" s="17"/>
    </row>
    <row r="36" spans="1:6" x14ac:dyDescent="0.3">
      <c r="A36" s="17"/>
      <c r="B36" s="17"/>
      <c r="C36" s="17"/>
      <c r="D36" s="17"/>
      <c r="E36" s="17"/>
      <c r="F36" s="17"/>
    </row>
    <row r="37" spans="1:6" x14ac:dyDescent="0.3">
      <c r="A37" s="17"/>
      <c r="B37" s="17"/>
      <c r="C37" s="17"/>
      <c r="D37" s="17"/>
      <c r="E37" s="17"/>
      <c r="F37" s="17"/>
    </row>
    <row r="38" spans="1:6" x14ac:dyDescent="0.3">
      <c r="A38" s="17"/>
      <c r="B38" s="17"/>
      <c r="C38" s="17"/>
      <c r="D38" s="17"/>
      <c r="E38" s="17"/>
      <c r="F38" s="17"/>
    </row>
    <row r="39" spans="1:6" x14ac:dyDescent="0.3">
      <c r="A39" s="17"/>
      <c r="B39" s="17"/>
      <c r="C39" s="17"/>
      <c r="D39" s="17"/>
      <c r="E39" s="17"/>
      <c r="F39" s="17"/>
    </row>
    <row r="40" spans="1:6" x14ac:dyDescent="0.3">
      <c r="A40" s="17"/>
      <c r="B40" s="17"/>
      <c r="C40" s="17"/>
      <c r="D40" s="17"/>
      <c r="E40" s="17"/>
      <c r="F40" s="17"/>
    </row>
    <row r="41" spans="1:6" x14ac:dyDescent="0.3">
      <c r="A41" s="17"/>
      <c r="B41" s="17"/>
      <c r="C41" s="17"/>
      <c r="D41" s="17"/>
      <c r="E41" s="17"/>
      <c r="F41" s="17"/>
    </row>
    <row r="42" spans="1:6" x14ac:dyDescent="0.3">
      <c r="A42" s="17"/>
      <c r="B42" s="17"/>
      <c r="C42" s="17"/>
      <c r="D42" s="17"/>
      <c r="E42" s="17"/>
      <c r="F42" s="17"/>
    </row>
    <row r="43" spans="1:6" x14ac:dyDescent="0.3">
      <c r="A43" s="17"/>
      <c r="B43" s="17"/>
      <c r="C43" s="17"/>
      <c r="D43" s="17"/>
      <c r="E43" s="17"/>
      <c r="F43" s="17"/>
    </row>
    <row r="44" spans="1:6" x14ac:dyDescent="0.3">
      <c r="A44" s="17"/>
      <c r="B44" s="17"/>
      <c r="C44" s="17"/>
      <c r="D44" s="17"/>
      <c r="E44" s="17"/>
      <c r="F44" s="17"/>
    </row>
    <row r="45" spans="1:6" x14ac:dyDescent="0.3">
      <c r="A45" s="17"/>
      <c r="B45" s="17"/>
      <c r="C45" s="17"/>
      <c r="D45" s="17"/>
      <c r="E45" s="17"/>
      <c r="F45" s="17"/>
    </row>
    <row r="46" spans="1:6" x14ac:dyDescent="0.3">
      <c r="A46" s="17"/>
      <c r="B46" s="17"/>
      <c r="C46" s="17"/>
      <c r="D46" s="17"/>
      <c r="E46" s="17"/>
      <c r="F46" s="17"/>
    </row>
    <row r="47" spans="1:6" x14ac:dyDescent="0.3">
      <c r="A47" s="17"/>
      <c r="B47" s="17"/>
      <c r="C47" s="17"/>
      <c r="D47" s="17"/>
      <c r="E47" s="17"/>
      <c r="F47" s="17"/>
    </row>
    <row r="48" spans="1:6" x14ac:dyDescent="0.3">
      <c r="A48" s="17"/>
      <c r="B48" s="17"/>
      <c r="C48" s="17"/>
      <c r="D48" s="17"/>
      <c r="E48" s="17"/>
      <c r="F48" s="17"/>
    </row>
    <row r="49" spans="1:6" x14ac:dyDescent="0.3">
      <c r="A49" s="17"/>
      <c r="B49" s="17"/>
      <c r="C49" s="17"/>
      <c r="D49" s="17"/>
      <c r="E49" s="17"/>
      <c r="F49" s="17"/>
    </row>
    <row r="50" spans="1:6" x14ac:dyDescent="0.3">
      <c r="A50" s="17"/>
      <c r="B50" s="17"/>
      <c r="C50" s="17"/>
      <c r="D50" s="17"/>
      <c r="E50" s="17"/>
      <c r="F50" s="17"/>
    </row>
    <row r="51" spans="1:6" x14ac:dyDescent="0.3">
      <c r="A51" s="17"/>
      <c r="B51" s="17"/>
      <c r="C51" s="17"/>
      <c r="D51" s="17"/>
      <c r="E51" s="17"/>
      <c r="F51" s="17"/>
    </row>
    <row r="52" spans="1:6" x14ac:dyDescent="0.3">
      <c r="A52" s="17"/>
      <c r="B52" s="17"/>
      <c r="C52" s="17"/>
      <c r="D52" s="17"/>
      <c r="E52" s="17"/>
      <c r="F52" s="17"/>
    </row>
    <row r="53" spans="1:6" x14ac:dyDescent="0.3">
      <c r="A53" s="17"/>
      <c r="B53" s="17"/>
      <c r="C53" s="17"/>
      <c r="D53" s="17"/>
      <c r="E53" s="17"/>
      <c r="F53" s="17"/>
    </row>
    <row r="54" spans="1:6" x14ac:dyDescent="0.3">
      <c r="A54" s="17"/>
      <c r="B54" s="17"/>
      <c r="C54" s="17"/>
      <c r="D54" s="17"/>
      <c r="E54" s="17"/>
      <c r="F54" s="17"/>
    </row>
    <row r="55" spans="1:6" x14ac:dyDescent="0.3">
      <c r="A55" s="17"/>
      <c r="B55" s="17"/>
      <c r="C55" s="17"/>
      <c r="D55" s="17"/>
      <c r="E55" s="17"/>
      <c r="F55" s="17"/>
    </row>
    <row r="56" spans="1:6" x14ac:dyDescent="0.3">
      <c r="A56" s="17"/>
      <c r="B56" s="17"/>
      <c r="C56" s="17"/>
      <c r="D56" s="17"/>
      <c r="E56" s="17"/>
      <c r="F56" s="17"/>
    </row>
    <row r="57" spans="1:6" x14ac:dyDescent="0.3">
      <c r="A57" s="17"/>
      <c r="B57" s="17"/>
      <c r="C57" s="17"/>
      <c r="D57" s="17"/>
      <c r="E57" s="17"/>
      <c r="F57" s="17"/>
    </row>
    <row r="58" spans="1:6" x14ac:dyDescent="0.3">
      <c r="A58" s="17"/>
      <c r="B58" s="17"/>
      <c r="C58" s="17"/>
      <c r="D58" s="17"/>
      <c r="E58" s="17"/>
      <c r="F58" s="17"/>
    </row>
    <row r="59" spans="1:6" x14ac:dyDescent="0.3">
      <c r="A59" s="17"/>
      <c r="B59" s="17"/>
      <c r="C59" s="17"/>
      <c r="D59" s="17"/>
      <c r="E59" s="17"/>
      <c r="F59" s="17"/>
    </row>
    <row r="60" spans="1:6" x14ac:dyDescent="0.3">
      <c r="A60" s="17"/>
      <c r="B60" s="17"/>
      <c r="C60" s="17"/>
      <c r="D60" s="17"/>
      <c r="E60" s="17"/>
      <c r="F60" s="17"/>
    </row>
    <row r="61" spans="1:6" x14ac:dyDescent="0.3">
      <c r="A61" s="17"/>
      <c r="B61" s="17"/>
      <c r="C61" s="17"/>
      <c r="D61" s="17"/>
      <c r="E61" s="17"/>
      <c r="F61" s="17"/>
    </row>
    <row r="62" spans="1:6" x14ac:dyDescent="0.3">
      <c r="A62" s="17"/>
      <c r="B62" s="17"/>
      <c r="C62" s="17"/>
      <c r="D62" s="17"/>
      <c r="E62" s="17"/>
      <c r="F62" s="17"/>
    </row>
    <row r="63" spans="1:6" x14ac:dyDescent="0.3">
      <c r="A63" s="17"/>
      <c r="B63" s="17"/>
      <c r="C63" s="17"/>
      <c r="D63" s="17"/>
      <c r="E63" s="17"/>
      <c r="F63" s="17"/>
    </row>
    <row r="64" spans="1:6" x14ac:dyDescent="0.3">
      <c r="A64" s="17"/>
      <c r="B64" s="17"/>
      <c r="C64" s="17"/>
      <c r="D64" s="17"/>
      <c r="E64" s="17"/>
      <c r="F64" s="17"/>
    </row>
    <row r="65" spans="1:6" x14ac:dyDescent="0.3">
      <c r="A65" s="17"/>
      <c r="B65" s="17"/>
      <c r="C65" s="17"/>
      <c r="D65" s="17"/>
      <c r="E65" s="17"/>
      <c r="F65" s="17"/>
    </row>
    <row r="66" spans="1:6" x14ac:dyDescent="0.3">
      <c r="A66" s="17"/>
      <c r="B66" s="17"/>
      <c r="C66" s="17"/>
      <c r="D66" s="17"/>
      <c r="E66" s="17"/>
      <c r="F66" s="17"/>
    </row>
    <row r="67" spans="1:6" x14ac:dyDescent="0.3">
      <c r="A67" s="17"/>
      <c r="B67" s="17"/>
      <c r="C67" s="17"/>
      <c r="D67" s="17"/>
      <c r="E67" s="17"/>
      <c r="F67" s="17"/>
    </row>
    <row r="68" spans="1:6" x14ac:dyDescent="0.3">
      <c r="A68" s="17"/>
      <c r="B68" s="17"/>
      <c r="C68" s="17"/>
      <c r="D68" s="17"/>
      <c r="E68" s="17"/>
      <c r="F68" s="17"/>
    </row>
    <row r="69" spans="1:6" x14ac:dyDescent="0.3">
      <c r="A69" s="17"/>
      <c r="B69" s="17"/>
      <c r="C69" s="17"/>
      <c r="D69" s="17"/>
      <c r="E69" s="17"/>
      <c r="F69" s="17"/>
    </row>
    <row r="70" spans="1:6" x14ac:dyDescent="0.3">
      <c r="A70" s="17"/>
      <c r="B70" s="17"/>
      <c r="C70" s="17"/>
      <c r="D70" s="17"/>
      <c r="E70" s="17"/>
      <c r="F70" s="17"/>
    </row>
    <row r="71" spans="1:6" x14ac:dyDescent="0.3">
      <c r="A71" s="17"/>
      <c r="B71" s="17"/>
      <c r="C71" s="17"/>
      <c r="D71" s="17"/>
      <c r="E71" s="17"/>
      <c r="F71" s="17"/>
    </row>
    <row r="72" spans="1:6" x14ac:dyDescent="0.3">
      <c r="A72" s="17"/>
      <c r="B72" s="17"/>
      <c r="C72" s="17"/>
      <c r="D72" s="17"/>
      <c r="E72" s="17"/>
      <c r="F72" s="17"/>
    </row>
    <row r="73" spans="1:6" x14ac:dyDescent="0.3">
      <c r="A73" s="17"/>
      <c r="B73" s="17"/>
      <c r="C73" s="17"/>
      <c r="D73" s="17"/>
      <c r="E73" s="17"/>
      <c r="F73" s="17"/>
    </row>
    <row r="74" spans="1:6" x14ac:dyDescent="0.3">
      <c r="A74" s="17"/>
      <c r="B74" s="17"/>
      <c r="C74" s="17"/>
      <c r="D74" s="17"/>
      <c r="E74" s="17"/>
      <c r="F74" s="17"/>
    </row>
    <row r="75" spans="1:6" x14ac:dyDescent="0.3">
      <c r="A75" s="17"/>
      <c r="B75" s="17"/>
      <c r="C75" s="17"/>
      <c r="D75" s="17"/>
      <c r="E75" s="17"/>
      <c r="F75" s="17"/>
    </row>
    <row r="76" spans="1:6" x14ac:dyDescent="0.3">
      <c r="A76" s="17"/>
      <c r="B76" s="17"/>
      <c r="C76" s="17"/>
      <c r="D76" s="17"/>
      <c r="E76" s="17"/>
      <c r="F76" s="17"/>
    </row>
    <row r="77" spans="1:6" x14ac:dyDescent="0.3">
      <c r="A77" s="17"/>
      <c r="B77" s="17"/>
      <c r="C77" s="17"/>
      <c r="D77" s="17"/>
      <c r="E77" s="17"/>
      <c r="F77" s="17"/>
    </row>
    <row r="78" spans="1:6" x14ac:dyDescent="0.3">
      <c r="A78" s="17"/>
      <c r="B78" s="17"/>
      <c r="C78" s="17"/>
      <c r="D78" s="17"/>
      <c r="E78" s="17"/>
      <c r="F78" s="17"/>
    </row>
    <row r="79" spans="1:6" x14ac:dyDescent="0.3">
      <c r="A79" s="17"/>
      <c r="B79" s="17"/>
      <c r="C79" s="17"/>
      <c r="D79" s="17"/>
      <c r="E79" s="17"/>
      <c r="F79" s="17"/>
    </row>
    <row r="80" spans="1:6" x14ac:dyDescent="0.3">
      <c r="A80" s="17"/>
      <c r="B80" s="17"/>
      <c r="C80" s="17"/>
      <c r="D80" s="17"/>
      <c r="E80" s="17"/>
      <c r="F80" s="17"/>
    </row>
    <row r="81" spans="1:6" x14ac:dyDescent="0.3">
      <c r="A81" s="17"/>
      <c r="B81" s="17"/>
      <c r="C81" s="17"/>
      <c r="D81" s="17"/>
      <c r="E81" s="17"/>
      <c r="F81" s="17"/>
    </row>
    <row r="82" spans="1:6" x14ac:dyDescent="0.3">
      <c r="A82" s="17"/>
      <c r="B82" s="17"/>
      <c r="C82" s="17"/>
      <c r="D82" s="17"/>
      <c r="E82" s="17"/>
      <c r="F82" s="17"/>
    </row>
    <row r="83" spans="1:6" x14ac:dyDescent="0.3">
      <c r="A83" s="17"/>
      <c r="B83" s="17"/>
      <c r="C83" s="17"/>
      <c r="D83" s="17"/>
      <c r="E83" s="17"/>
      <c r="F83" s="17"/>
    </row>
    <row r="84" spans="1:6" x14ac:dyDescent="0.3">
      <c r="A84" s="17"/>
      <c r="B84" s="17"/>
      <c r="C84" s="17"/>
      <c r="D84" s="17"/>
      <c r="E84" s="17"/>
      <c r="F84" s="17"/>
    </row>
    <row r="85" spans="1:6" x14ac:dyDescent="0.3">
      <c r="A85" s="17"/>
      <c r="B85" s="17"/>
      <c r="C85" s="17"/>
      <c r="D85" s="17"/>
      <c r="E85" s="17"/>
      <c r="F85" s="17"/>
    </row>
    <row r="86" spans="1:6" x14ac:dyDescent="0.3">
      <c r="A86" s="17"/>
      <c r="B86" s="17"/>
      <c r="C86" s="17"/>
      <c r="D86" s="17"/>
      <c r="E86" s="17"/>
      <c r="F86" s="17"/>
    </row>
    <row r="87" spans="1:6" x14ac:dyDescent="0.3">
      <c r="A87" s="17"/>
      <c r="B87" s="17"/>
      <c r="C87" s="17"/>
      <c r="D87" s="17"/>
      <c r="E87" s="17"/>
      <c r="F87" s="17"/>
    </row>
    <row r="88" spans="1:6" x14ac:dyDescent="0.3">
      <c r="A88" s="17"/>
      <c r="B88" s="17"/>
      <c r="C88" s="17"/>
      <c r="D88" s="17"/>
      <c r="E88" s="17"/>
      <c r="F88" s="17"/>
    </row>
    <row r="89" spans="1:6" x14ac:dyDescent="0.3">
      <c r="A89" s="17"/>
      <c r="B89" s="17"/>
      <c r="C89" s="17"/>
      <c r="D89" s="17"/>
      <c r="E89" s="17"/>
      <c r="F89" s="17"/>
    </row>
    <row r="90" spans="1:6" x14ac:dyDescent="0.3">
      <c r="A90" s="17"/>
      <c r="B90" s="17"/>
      <c r="C90" s="17"/>
      <c r="D90" s="17"/>
      <c r="E90" s="17"/>
      <c r="F90" s="17"/>
    </row>
    <row r="91" spans="1:6" x14ac:dyDescent="0.3">
      <c r="A91" s="17"/>
      <c r="B91" s="17"/>
      <c r="C91" s="17"/>
      <c r="D91" s="17"/>
      <c r="E91" s="17"/>
      <c r="F91" s="17"/>
    </row>
    <row r="92" spans="1:6" x14ac:dyDescent="0.3">
      <c r="A92" s="17"/>
      <c r="B92" s="17"/>
      <c r="C92" s="17"/>
      <c r="D92" s="17"/>
      <c r="E92" s="17"/>
      <c r="F92" s="17"/>
    </row>
    <row r="93" spans="1:6" x14ac:dyDescent="0.3">
      <c r="A93" s="17"/>
      <c r="B93" s="17"/>
      <c r="C93" s="17"/>
      <c r="D93" s="17"/>
      <c r="E93" s="17"/>
      <c r="F93" s="17"/>
    </row>
    <row r="94" spans="1:6" x14ac:dyDescent="0.3">
      <c r="A94" s="17"/>
      <c r="B94" s="17"/>
      <c r="C94" s="17"/>
      <c r="D94" s="17"/>
      <c r="E94" s="17"/>
      <c r="F94" s="17"/>
    </row>
    <row r="95" spans="1:6" x14ac:dyDescent="0.3">
      <c r="A95" s="17"/>
      <c r="B95" s="17"/>
      <c r="C95" s="17"/>
      <c r="D95" s="17"/>
      <c r="E95" s="17"/>
      <c r="F95" s="17"/>
    </row>
    <row r="96" spans="1:6" x14ac:dyDescent="0.3">
      <c r="A96" s="17"/>
      <c r="B96" s="17"/>
      <c r="C96" s="17"/>
      <c r="D96" s="17"/>
      <c r="E96" s="17"/>
      <c r="F96" s="17"/>
    </row>
    <row r="97" spans="1:6" x14ac:dyDescent="0.3">
      <c r="A97" s="17"/>
      <c r="B97" s="17"/>
      <c r="C97" s="17"/>
      <c r="D97" s="17"/>
      <c r="E97" s="17"/>
      <c r="F97" s="17"/>
    </row>
    <row r="98" spans="1:6" x14ac:dyDescent="0.3">
      <c r="A98" s="17"/>
      <c r="B98" s="17"/>
      <c r="C98" s="17"/>
      <c r="D98" s="17"/>
      <c r="E98" s="17"/>
      <c r="F98" s="17"/>
    </row>
    <row r="99" spans="1:6" x14ac:dyDescent="0.3">
      <c r="A99" s="17"/>
      <c r="B99" s="17"/>
      <c r="C99" s="17"/>
      <c r="D99" s="17"/>
      <c r="E99" s="17"/>
      <c r="F99" s="17"/>
    </row>
    <row r="100" spans="1:6" x14ac:dyDescent="0.3">
      <c r="A100" s="17"/>
      <c r="B100" s="17"/>
      <c r="C100" s="17"/>
      <c r="D100" s="17"/>
      <c r="E100" s="17"/>
      <c r="F100" s="17"/>
    </row>
    <row r="101" spans="1:6" x14ac:dyDescent="0.3">
      <c r="A101" s="17"/>
      <c r="B101" s="17"/>
      <c r="C101" s="17"/>
      <c r="D101" s="17"/>
      <c r="E101" s="17"/>
      <c r="F101" s="17"/>
    </row>
    <row r="102" spans="1:6" x14ac:dyDescent="0.3">
      <c r="A102" s="17"/>
      <c r="B102" s="17"/>
      <c r="C102" s="17"/>
      <c r="D102" s="17"/>
      <c r="E102" s="17"/>
      <c r="F102" s="17"/>
    </row>
    <row r="103" spans="1:6" x14ac:dyDescent="0.3">
      <c r="A103" s="17"/>
      <c r="B103" s="17"/>
      <c r="C103" s="17"/>
      <c r="D103" s="17"/>
      <c r="E103" s="17"/>
      <c r="F103" s="17"/>
    </row>
    <row r="104" spans="1:6" x14ac:dyDescent="0.3">
      <c r="A104" s="17"/>
      <c r="B104" s="17"/>
      <c r="C104" s="17"/>
      <c r="D104" s="17"/>
      <c r="E104" s="17"/>
      <c r="F104" s="17"/>
    </row>
    <row r="105" spans="1:6" x14ac:dyDescent="0.3">
      <c r="A105" s="17"/>
      <c r="B105" s="17"/>
      <c r="C105" s="17"/>
      <c r="D105" s="17"/>
      <c r="E105" s="17"/>
      <c r="F105" s="17"/>
    </row>
    <row r="106" spans="1:6" x14ac:dyDescent="0.3">
      <c r="A106" s="17"/>
      <c r="B106" s="17"/>
      <c r="C106" s="17"/>
      <c r="D106" s="17"/>
      <c r="E106" s="17"/>
      <c r="F106" s="17"/>
    </row>
    <row r="107" spans="1:6" x14ac:dyDescent="0.3">
      <c r="A107" s="17"/>
      <c r="B107" s="17"/>
      <c r="C107" s="17"/>
      <c r="D107" s="17"/>
      <c r="E107" s="17"/>
      <c r="F107" s="17"/>
    </row>
    <row r="108" spans="1:6" x14ac:dyDescent="0.3">
      <c r="A108" s="17"/>
      <c r="B108" s="17"/>
      <c r="C108" s="17"/>
      <c r="D108" s="17"/>
      <c r="E108" s="17"/>
      <c r="F108" s="17"/>
    </row>
    <row r="109" spans="1:6" x14ac:dyDescent="0.3">
      <c r="A109" s="17"/>
      <c r="B109" s="17"/>
      <c r="C109" s="17"/>
      <c r="D109" s="17"/>
      <c r="E109" s="17"/>
      <c r="F109" s="17"/>
    </row>
    <row r="110" spans="1:6" x14ac:dyDescent="0.3">
      <c r="A110" s="17"/>
      <c r="B110" s="17"/>
      <c r="C110" s="17"/>
      <c r="D110" s="17"/>
      <c r="E110" s="17"/>
      <c r="F110" s="17"/>
    </row>
    <row r="111" spans="1:6" x14ac:dyDescent="0.3">
      <c r="A111" s="17"/>
      <c r="B111" s="17"/>
      <c r="C111" s="17"/>
      <c r="D111" s="17"/>
      <c r="E111" s="17"/>
      <c r="F111" s="17"/>
    </row>
    <row r="112" spans="1:6" x14ac:dyDescent="0.3">
      <c r="A112" s="17"/>
      <c r="B112" s="17"/>
      <c r="C112" s="17"/>
      <c r="D112" s="17"/>
      <c r="E112" s="17"/>
      <c r="F112" s="17"/>
    </row>
    <row r="113" spans="1:6" x14ac:dyDescent="0.3">
      <c r="A113" s="17"/>
      <c r="B113" s="17"/>
      <c r="C113" s="17"/>
      <c r="D113" s="17"/>
      <c r="E113" s="17"/>
      <c r="F113" s="17"/>
    </row>
    <row r="114" spans="1:6" x14ac:dyDescent="0.3">
      <c r="A114" s="17"/>
      <c r="B114" s="17"/>
      <c r="C114" s="17"/>
      <c r="D114" s="17"/>
      <c r="E114" s="17"/>
      <c r="F114" s="17"/>
    </row>
    <row r="115" spans="1:6" x14ac:dyDescent="0.3">
      <c r="A115" s="17"/>
      <c r="B115" s="17"/>
      <c r="C115" s="17"/>
      <c r="D115" s="17"/>
      <c r="E115" s="17"/>
      <c r="F115" s="17"/>
    </row>
    <row r="116" spans="1:6" x14ac:dyDescent="0.3">
      <c r="A116" s="17"/>
      <c r="B116" s="17"/>
      <c r="C116" s="17"/>
      <c r="D116" s="17"/>
      <c r="E116" s="17"/>
      <c r="F116" s="17"/>
    </row>
    <row r="117" spans="1:6" x14ac:dyDescent="0.3">
      <c r="A117" s="17"/>
      <c r="B117" s="17"/>
      <c r="C117" s="17"/>
      <c r="D117" s="17"/>
      <c r="E117" s="17"/>
      <c r="F117" s="17"/>
    </row>
    <row r="118" spans="1:6" x14ac:dyDescent="0.3">
      <c r="A118" s="17"/>
      <c r="B118" s="17"/>
      <c r="C118" s="17"/>
      <c r="D118" s="17"/>
      <c r="E118" s="17"/>
      <c r="F118" s="17"/>
    </row>
    <row r="119" spans="1:6" x14ac:dyDescent="0.3">
      <c r="A119" s="17"/>
      <c r="B119" s="17"/>
      <c r="C119" s="17"/>
      <c r="D119" s="17"/>
      <c r="E119" s="17"/>
      <c r="F119" s="17"/>
    </row>
    <row r="120" spans="1:6" x14ac:dyDescent="0.3">
      <c r="A120" s="17"/>
      <c r="B120" s="17"/>
      <c r="C120" s="17"/>
      <c r="D120" s="17"/>
      <c r="E120" s="17"/>
      <c r="F120" s="17"/>
    </row>
    <row r="121" spans="1:6" x14ac:dyDescent="0.3">
      <c r="A121" s="17"/>
      <c r="B121" s="17"/>
      <c r="C121" s="17"/>
      <c r="D121" s="17"/>
      <c r="E121" s="17"/>
      <c r="F121" s="17"/>
    </row>
    <row r="122" spans="1:6" x14ac:dyDescent="0.3">
      <c r="A122" s="17"/>
      <c r="B122" s="17"/>
      <c r="C122" s="17"/>
      <c r="D122" s="17"/>
      <c r="E122" s="17"/>
      <c r="F122" s="17"/>
    </row>
    <row r="123" spans="1:6" x14ac:dyDescent="0.3">
      <c r="A123" s="17"/>
      <c r="B123" s="17"/>
      <c r="C123" s="17"/>
      <c r="D123" s="17"/>
      <c r="E123" s="17"/>
      <c r="F123" s="17"/>
    </row>
    <row r="124" spans="1:6" x14ac:dyDescent="0.3">
      <c r="A124" s="17"/>
      <c r="B124" s="17"/>
      <c r="C124" s="17"/>
      <c r="D124" s="17"/>
      <c r="E124" s="17"/>
      <c r="F124" s="17"/>
    </row>
    <row r="125" spans="1:6" x14ac:dyDescent="0.3">
      <c r="A125" s="17"/>
      <c r="B125" s="17"/>
      <c r="C125" s="17"/>
      <c r="D125" s="17"/>
      <c r="E125" s="17"/>
      <c r="F125" s="17"/>
    </row>
    <row r="126" spans="1:6" x14ac:dyDescent="0.3">
      <c r="A126" s="17"/>
      <c r="B126" s="17"/>
      <c r="C126" s="17"/>
      <c r="D126" s="17"/>
      <c r="E126" s="17"/>
      <c r="F126" s="17"/>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tn학교검색">
              <controlPr defaultSize="0" print="0" autoFill="0" autoPict="0" macro="학교검색_실행">
                <anchor moveWithCells="1" sizeWithCells="1">
                  <from>
                    <xdr:col>4</xdr:col>
                    <xdr:colOff>2143125</xdr:colOff>
                    <xdr:row>1</xdr:row>
                    <xdr:rowOff>190500</xdr:rowOff>
                  </from>
                  <to>
                    <xdr:col>5</xdr:col>
                    <xdr:colOff>219075</xdr:colOff>
                    <xdr:row>3</xdr:row>
                    <xdr:rowOff>76200</xdr:rowOff>
                  </to>
                </anchor>
              </controlPr>
            </control>
          </mc:Choice>
        </mc:AlternateContent>
        <mc:AlternateContent xmlns:mc="http://schemas.openxmlformats.org/markup-compatibility/2006">
          <mc:Choice Requires="x14">
            <control shapeId="6146" r:id="rId4" name="btn선택학교반영">
              <controlPr defaultSize="0" print="0" autoFill="0" autoPict="0" macro="선택학교_기초자료반영">
                <anchor moveWithCells="1" sizeWithCells="1">
                  <from>
                    <xdr:col>5</xdr:col>
                    <xdr:colOff>342900</xdr:colOff>
                    <xdr:row>1</xdr:row>
                    <xdr:rowOff>190500</xdr:rowOff>
                  </from>
                  <to>
                    <xdr:col>8</xdr:col>
                    <xdr:colOff>114300</xdr:colOff>
                    <xdr:row>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26CB1-D572-436E-B7B1-99CF42AFB37E}">
  <sheetPr codeName="Sheet7"/>
  <dimension ref="A1:G123"/>
  <sheetViews>
    <sheetView workbookViewId="0"/>
  </sheetViews>
  <sheetFormatPr defaultRowHeight="16.5" x14ac:dyDescent="0.3"/>
  <cols>
    <col min="1" max="1" width="8.625" customWidth="1"/>
    <col min="2" max="2" width="10.625" customWidth="1"/>
    <col min="3" max="4" width="8.625" customWidth="1"/>
    <col min="5" max="5" width="24.625" customWidth="1"/>
    <col min="6" max="6" width="34.625" customWidth="1"/>
    <col min="7" max="7" width="14.625" customWidth="1"/>
  </cols>
  <sheetData>
    <row r="1" spans="1:7" s="3" customFormat="1" x14ac:dyDescent="0.3">
      <c r="A1" s="3" t="s">
        <v>902</v>
      </c>
      <c r="B1" s="3" t="s">
        <v>961</v>
      </c>
      <c r="C1" s="3" t="s">
        <v>962</v>
      </c>
      <c r="D1" s="3" t="s">
        <v>963</v>
      </c>
      <c r="E1" s="3" t="s">
        <v>93</v>
      </c>
      <c r="F1" s="3" t="s">
        <v>312</v>
      </c>
      <c r="G1" s="3" t="s">
        <v>387</v>
      </c>
    </row>
    <row r="2" spans="1:7" x14ac:dyDescent="0.3">
      <c r="A2">
        <v>808</v>
      </c>
      <c r="B2" t="s">
        <v>964</v>
      </c>
      <c r="C2" t="s">
        <v>965</v>
      </c>
      <c r="D2" t="s">
        <v>966</v>
      </c>
      <c r="E2" t="s">
        <v>967</v>
      </c>
      <c r="F2" t="s">
        <v>968</v>
      </c>
      <c r="G2" t="s">
        <v>969</v>
      </c>
    </row>
    <row r="3" spans="1:7" x14ac:dyDescent="0.3">
      <c r="A3">
        <v>807</v>
      </c>
      <c r="B3" t="s">
        <v>964</v>
      </c>
      <c r="C3" t="s">
        <v>970</v>
      </c>
      <c r="D3" t="s">
        <v>971</v>
      </c>
      <c r="E3" t="s">
        <v>972</v>
      </c>
      <c r="F3" t="s">
        <v>973</v>
      </c>
      <c r="G3" t="s">
        <v>974</v>
      </c>
    </row>
    <row r="4" spans="1:7" x14ac:dyDescent="0.3">
      <c r="A4">
        <v>806</v>
      </c>
      <c r="B4" t="s">
        <v>964</v>
      </c>
      <c r="C4" t="s">
        <v>965</v>
      </c>
      <c r="D4" t="s">
        <v>971</v>
      </c>
      <c r="E4" t="s">
        <v>975</v>
      </c>
      <c r="F4" t="s">
        <v>976</v>
      </c>
      <c r="G4" t="s">
        <v>977</v>
      </c>
    </row>
    <row r="5" spans="1:7" x14ac:dyDescent="0.3">
      <c r="A5">
        <v>805</v>
      </c>
      <c r="B5" t="s">
        <v>964</v>
      </c>
      <c r="C5" t="s">
        <v>965</v>
      </c>
      <c r="D5" t="s">
        <v>966</v>
      </c>
      <c r="E5" t="s">
        <v>978</v>
      </c>
      <c r="F5" t="s">
        <v>979</v>
      </c>
      <c r="G5" t="s">
        <v>980</v>
      </c>
    </row>
    <row r="6" spans="1:7" x14ac:dyDescent="0.3">
      <c r="A6">
        <v>804</v>
      </c>
      <c r="B6" t="s">
        <v>964</v>
      </c>
      <c r="C6" t="s">
        <v>965</v>
      </c>
      <c r="D6" t="s">
        <v>966</v>
      </c>
      <c r="E6" t="s">
        <v>981</v>
      </c>
      <c r="F6" t="s">
        <v>982</v>
      </c>
      <c r="G6" t="s">
        <v>983</v>
      </c>
    </row>
    <row r="7" spans="1:7" x14ac:dyDescent="0.3">
      <c r="A7">
        <v>803</v>
      </c>
      <c r="B7" t="s">
        <v>964</v>
      </c>
      <c r="C7" t="s">
        <v>970</v>
      </c>
      <c r="D7" t="s">
        <v>966</v>
      </c>
      <c r="E7" t="s">
        <v>984</v>
      </c>
      <c r="F7" t="s">
        <v>982</v>
      </c>
      <c r="G7" t="s">
        <v>985</v>
      </c>
    </row>
    <row r="8" spans="1:7" x14ac:dyDescent="0.3">
      <c r="A8">
        <v>802</v>
      </c>
      <c r="B8" t="s">
        <v>964</v>
      </c>
      <c r="C8" t="s">
        <v>965</v>
      </c>
      <c r="D8" t="s">
        <v>966</v>
      </c>
      <c r="E8" t="s">
        <v>986</v>
      </c>
      <c r="F8" t="s">
        <v>987</v>
      </c>
      <c r="G8" t="s">
        <v>988</v>
      </c>
    </row>
    <row r="9" spans="1:7" x14ac:dyDescent="0.3">
      <c r="A9">
        <v>801</v>
      </c>
      <c r="B9" t="s">
        <v>964</v>
      </c>
      <c r="C9" t="s">
        <v>965</v>
      </c>
      <c r="D9" t="s">
        <v>966</v>
      </c>
      <c r="E9" t="s">
        <v>989</v>
      </c>
      <c r="F9" t="s">
        <v>990</v>
      </c>
      <c r="G9" t="s">
        <v>991</v>
      </c>
    </row>
    <row r="10" spans="1:7" x14ac:dyDescent="0.3">
      <c r="A10">
        <v>800</v>
      </c>
      <c r="B10" t="s">
        <v>964</v>
      </c>
      <c r="C10" t="s">
        <v>965</v>
      </c>
      <c r="D10" t="s">
        <v>971</v>
      </c>
      <c r="E10" t="s">
        <v>992</v>
      </c>
      <c r="F10" t="s">
        <v>993</v>
      </c>
      <c r="G10" t="s">
        <v>994</v>
      </c>
    </row>
    <row r="11" spans="1:7" x14ac:dyDescent="0.3">
      <c r="A11">
        <v>799</v>
      </c>
      <c r="B11" t="s">
        <v>964</v>
      </c>
      <c r="C11" t="s">
        <v>970</v>
      </c>
      <c r="D11" t="s">
        <v>971</v>
      </c>
      <c r="E11" t="s">
        <v>995</v>
      </c>
      <c r="F11" t="s">
        <v>996</v>
      </c>
      <c r="G11" t="s">
        <v>997</v>
      </c>
    </row>
    <row r="12" spans="1:7" x14ac:dyDescent="0.3">
      <c r="A12">
        <v>798</v>
      </c>
      <c r="B12" t="s">
        <v>964</v>
      </c>
      <c r="C12" t="s">
        <v>965</v>
      </c>
      <c r="D12" t="s">
        <v>998</v>
      </c>
      <c r="E12" t="s">
        <v>999</v>
      </c>
      <c r="F12" t="s">
        <v>1000</v>
      </c>
      <c r="G12" t="s">
        <v>1001</v>
      </c>
    </row>
    <row r="13" spans="1:7" x14ac:dyDescent="0.3">
      <c r="A13">
        <v>797</v>
      </c>
      <c r="B13" t="s">
        <v>964</v>
      </c>
      <c r="C13" t="s">
        <v>965</v>
      </c>
      <c r="D13" t="s">
        <v>966</v>
      </c>
      <c r="E13" t="s">
        <v>1002</v>
      </c>
      <c r="F13" t="s">
        <v>1003</v>
      </c>
      <c r="G13" t="s">
        <v>1004</v>
      </c>
    </row>
    <row r="14" spans="1:7" x14ac:dyDescent="0.3">
      <c r="A14">
        <v>796</v>
      </c>
      <c r="B14" t="s">
        <v>964</v>
      </c>
      <c r="C14" t="s">
        <v>970</v>
      </c>
      <c r="D14" t="s">
        <v>966</v>
      </c>
      <c r="E14" t="s">
        <v>1005</v>
      </c>
      <c r="F14" t="s">
        <v>987</v>
      </c>
      <c r="G14" t="s">
        <v>1006</v>
      </c>
    </row>
    <row r="15" spans="1:7" x14ac:dyDescent="0.3">
      <c r="A15">
        <v>795</v>
      </c>
      <c r="B15" t="s">
        <v>964</v>
      </c>
      <c r="C15" t="s">
        <v>965</v>
      </c>
      <c r="D15" t="s">
        <v>966</v>
      </c>
      <c r="E15" t="s">
        <v>1007</v>
      </c>
      <c r="F15" t="s">
        <v>1008</v>
      </c>
      <c r="G15" t="s">
        <v>1009</v>
      </c>
    </row>
    <row r="16" spans="1:7" x14ac:dyDescent="0.3">
      <c r="A16">
        <v>794</v>
      </c>
      <c r="B16" t="s">
        <v>964</v>
      </c>
      <c r="C16" t="s">
        <v>970</v>
      </c>
      <c r="D16" t="s">
        <v>971</v>
      </c>
      <c r="E16" t="s">
        <v>1010</v>
      </c>
      <c r="F16" t="s">
        <v>1011</v>
      </c>
      <c r="G16" t="s">
        <v>1012</v>
      </c>
    </row>
    <row r="17" spans="1:7" x14ac:dyDescent="0.3">
      <c r="A17">
        <v>793</v>
      </c>
      <c r="B17" t="s">
        <v>964</v>
      </c>
      <c r="C17" t="s">
        <v>965</v>
      </c>
      <c r="D17" t="s">
        <v>971</v>
      </c>
      <c r="E17" t="s">
        <v>1013</v>
      </c>
      <c r="F17" t="s">
        <v>1014</v>
      </c>
      <c r="G17" t="s">
        <v>1015</v>
      </c>
    </row>
    <row r="18" spans="1:7" x14ac:dyDescent="0.3">
      <c r="A18">
        <v>792</v>
      </c>
      <c r="B18" t="s">
        <v>964</v>
      </c>
      <c r="C18" t="s">
        <v>970</v>
      </c>
      <c r="D18" t="s">
        <v>971</v>
      </c>
      <c r="E18" t="s">
        <v>1016</v>
      </c>
      <c r="F18" t="s">
        <v>1017</v>
      </c>
      <c r="G18" t="s">
        <v>1018</v>
      </c>
    </row>
    <row r="19" spans="1:7" x14ac:dyDescent="0.3">
      <c r="A19">
        <v>791</v>
      </c>
      <c r="B19" t="s">
        <v>964</v>
      </c>
      <c r="C19" t="s">
        <v>965</v>
      </c>
      <c r="D19" t="s">
        <v>971</v>
      </c>
      <c r="E19" t="s">
        <v>1019</v>
      </c>
      <c r="F19" t="s">
        <v>1020</v>
      </c>
      <c r="G19" t="s">
        <v>1021</v>
      </c>
    </row>
    <row r="20" spans="1:7" x14ac:dyDescent="0.3">
      <c r="A20">
        <v>790</v>
      </c>
      <c r="B20" t="s">
        <v>964</v>
      </c>
      <c r="C20" t="s">
        <v>1022</v>
      </c>
      <c r="D20" t="s">
        <v>998</v>
      </c>
      <c r="E20" t="s">
        <v>1023</v>
      </c>
      <c r="F20" t="s">
        <v>1024</v>
      </c>
      <c r="G20" t="s">
        <v>1025</v>
      </c>
    </row>
    <row r="21" spans="1:7" x14ac:dyDescent="0.3">
      <c r="A21">
        <v>789</v>
      </c>
      <c r="B21" t="s">
        <v>964</v>
      </c>
      <c r="C21" t="s">
        <v>965</v>
      </c>
      <c r="D21" t="s">
        <v>966</v>
      </c>
      <c r="E21" t="s">
        <v>1026</v>
      </c>
      <c r="F21" t="s">
        <v>1027</v>
      </c>
      <c r="G21" t="s">
        <v>1028</v>
      </c>
    </row>
    <row r="22" spans="1:7" x14ac:dyDescent="0.3">
      <c r="A22">
        <v>788</v>
      </c>
      <c r="B22" t="s">
        <v>964</v>
      </c>
      <c r="C22" t="s">
        <v>970</v>
      </c>
      <c r="D22" t="s">
        <v>966</v>
      </c>
      <c r="E22" t="s">
        <v>1029</v>
      </c>
      <c r="F22" t="s">
        <v>1027</v>
      </c>
      <c r="G22" t="s">
        <v>1030</v>
      </c>
    </row>
    <row r="23" spans="1:7" x14ac:dyDescent="0.3">
      <c r="A23">
        <v>787</v>
      </c>
      <c r="B23" t="s">
        <v>964</v>
      </c>
      <c r="C23" t="s">
        <v>1022</v>
      </c>
      <c r="D23" t="s">
        <v>971</v>
      </c>
      <c r="E23" t="s">
        <v>1031</v>
      </c>
      <c r="F23" t="s">
        <v>1032</v>
      </c>
      <c r="G23" t="s">
        <v>1033</v>
      </c>
    </row>
    <row r="24" spans="1:7" x14ac:dyDescent="0.3">
      <c r="A24">
        <v>786</v>
      </c>
      <c r="B24" t="s">
        <v>964</v>
      </c>
      <c r="C24" t="s">
        <v>1022</v>
      </c>
      <c r="D24" t="s">
        <v>971</v>
      </c>
      <c r="E24" t="s">
        <v>1034</v>
      </c>
      <c r="F24" t="s">
        <v>1035</v>
      </c>
      <c r="G24" t="s">
        <v>1036</v>
      </c>
    </row>
    <row r="25" spans="1:7" x14ac:dyDescent="0.3">
      <c r="A25">
        <v>785</v>
      </c>
      <c r="B25" t="s">
        <v>964</v>
      </c>
      <c r="C25" t="s">
        <v>970</v>
      </c>
      <c r="D25" t="s">
        <v>971</v>
      </c>
      <c r="E25" t="s">
        <v>1037</v>
      </c>
      <c r="F25" t="s">
        <v>1038</v>
      </c>
      <c r="G25" t="s">
        <v>1039</v>
      </c>
    </row>
    <row r="26" spans="1:7" x14ac:dyDescent="0.3">
      <c r="A26">
        <v>784</v>
      </c>
      <c r="B26" t="s">
        <v>964</v>
      </c>
      <c r="C26" t="s">
        <v>1022</v>
      </c>
      <c r="D26" t="s">
        <v>971</v>
      </c>
      <c r="E26" t="s">
        <v>1040</v>
      </c>
      <c r="F26" t="s">
        <v>1041</v>
      </c>
      <c r="G26" t="s">
        <v>1042</v>
      </c>
    </row>
    <row r="27" spans="1:7" x14ac:dyDescent="0.3">
      <c r="A27">
        <v>783</v>
      </c>
      <c r="B27" t="s">
        <v>964</v>
      </c>
      <c r="C27" t="s">
        <v>965</v>
      </c>
      <c r="D27" t="s">
        <v>966</v>
      </c>
      <c r="E27" t="s">
        <v>1043</v>
      </c>
      <c r="F27" t="s">
        <v>1044</v>
      </c>
      <c r="G27" t="s">
        <v>1045</v>
      </c>
    </row>
    <row r="28" spans="1:7" x14ac:dyDescent="0.3">
      <c r="A28">
        <v>782</v>
      </c>
      <c r="B28" t="s">
        <v>964</v>
      </c>
      <c r="C28" t="s">
        <v>970</v>
      </c>
      <c r="D28" t="s">
        <v>966</v>
      </c>
      <c r="E28" t="s">
        <v>1046</v>
      </c>
      <c r="F28" t="s">
        <v>1044</v>
      </c>
      <c r="G28" t="s">
        <v>1047</v>
      </c>
    </row>
    <row r="29" spans="1:7" x14ac:dyDescent="0.3">
      <c r="A29">
        <v>781</v>
      </c>
      <c r="B29" t="s">
        <v>964</v>
      </c>
      <c r="C29" t="s">
        <v>970</v>
      </c>
      <c r="D29" t="s">
        <v>971</v>
      </c>
      <c r="E29" t="s">
        <v>1048</v>
      </c>
      <c r="F29" t="s">
        <v>1049</v>
      </c>
      <c r="G29" t="s">
        <v>1050</v>
      </c>
    </row>
    <row r="30" spans="1:7" x14ac:dyDescent="0.3">
      <c r="A30">
        <v>780</v>
      </c>
      <c r="B30" t="s">
        <v>964</v>
      </c>
      <c r="C30" t="s">
        <v>1022</v>
      </c>
      <c r="D30" t="s">
        <v>971</v>
      </c>
      <c r="E30" t="s">
        <v>1051</v>
      </c>
      <c r="F30" t="s">
        <v>1052</v>
      </c>
      <c r="G30" t="s">
        <v>1053</v>
      </c>
    </row>
    <row r="31" spans="1:7" x14ac:dyDescent="0.3">
      <c r="A31">
        <v>779</v>
      </c>
      <c r="B31" t="s">
        <v>964</v>
      </c>
      <c r="C31" t="s">
        <v>1022</v>
      </c>
      <c r="D31" t="s">
        <v>971</v>
      </c>
      <c r="E31" t="s">
        <v>1054</v>
      </c>
      <c r="F31" t="s">
        <v>1055</v>
      </c>
      <c r="G31" t="s">
        <v>1056</v>
      </c>
    </row>
    <row r="32" spans="1:7" x14ac:dyDescent="0.3">
      <c r="A32">
        <v>778</v>
      </c>
      <c r="B32" t="s">
        <v>964</v>
      </c>
      <c r="C32" t="s">
        <v>1022</v>
      </c>
      <c r="D32" t="s">
        <v>971</v>
      </c>
      <c r="E32" t="s">
        <v>1057</v>
      </c>
      <c r="F32" t="s">
        <v>1058</v>
      </c>
      <c r="G32" t="s">
        <v>1059</v>
      </c>
    </row>
    <row r="33" spans="1:7" x14ac:dyDescent="0.3">
      <c r="A33">
        <v>777</v>
      </c>
      <c r="B33" t="s">
        <v>964</v>
      </c>
      <c r="C33" t="s">
        <v>965</v>
      </c>
      <c r="D33" t="s">
        <v>966</v>
      </c>
      <c r="E33" t="s">
        <v>1060</v>
      </c>
      <c r="F33" t="s">
        <v>1061</v>
      </c>
      <c r="G33" t="s">
        <v>1062</v>
      </c>
    </row>
    <row r="34" spans="1:7" x14ac:dyDescent="0.3">
      <c r="A34">
        <v>776</v>
      </c>
      <c r="B34" t="s">
        <v>964</v>
      </c>
      <c r="C34" t="s">
        <v>970</v>
      </c>
      <c r="D34" t="s">
        <v>971</v>
      </c>
      <c r="E34" t="s">
        <v>1063</v>
      </c>
      <c r="F34" t="s">
        <v>1064</v>
      </c>
      <c r="G34" t="s">
        <v>1065</v>
      </c>
    </row>
    <row r="35" spans="1:7" x14ac:dyDescent="0.3">
      <c r="A35">
        <v>775</v>
      </c>
      <c r="B35" t="s">
        <v>964</v>
      </c>
      <c r="C35" t="s">
        <v>1022</v>
      </c>
      <c r="D35" t="s">
        <v>971</v>
      </c>
      <c r="E35" t="s">
        <v>1066</v>
      </c>
      <c r="F35" t="s">
        <v>1067</v>
      </c>
      <c r="G35" t="s">
        <v>1068</v>
      </c>
    </row>
    <row r="36" spans="1:7" x14ac:dyDescent="0.3">
      <c r="A36">
        <v>774</v>
      </c>
      <c r="B36" t="s">
        <v>964</v>
      </c>
      <c r="C36" t="s">
        <v>970</v>
      </c>
      <c r="D36" t="s">
        <v>966</v>
      </c>
      <c r="E36" t="s">
        <v>1069</v>
      </c>
      <c r="F36" t="s">
        <v>1070</v>
      </c>
      <c r="G36" t="s">
        <v>1071</v>
      </c>
    </row>
    <row r="37" spans="1:7" x14ac:dyDescent="0.3">
      <c r="A37">
        <v>773</v>
      </c>
      <c r="B37" t="s">
        <v>964</v>
      </c>
      <c r="C37" t="s">
        <v>1022</v>
      </c>
      <c r="D37" t="s">
        <v>971</v>
      </c>
      <c r="E37" t="s">
        <v>1072</v>
      </c>
      <c r="F37" t="s">
        <v>1073</v>
      </c>
      <c r="G37" t="s">
        <v>1074</v>
      </c>
    </row>
    <row r="38" spans="1:7" x14ac:dyDescent="0.3">
      <c r="A38">
        <v>772</v>
      </c>
      <c r="B38" t="s">
        <v>964</v>
      </c>
      <c r="C38" t="s">
        <v>1022</v>
      </c>
      <c r="D38" t="s">
        <v>971</v>
      </c>
      <c r="E38" t="s">
        <v>1075</v>
      </c>
      <c r="F38" t="s">
        <v>1076</v>
      </c>
      <c r="G38" t="s">
        <v>1077</v>
      </c>
    </row>
    <row r="39" spans="1:7" x14ac:dyDescent="0.3">
      <c r="A39">
        <v>771</v>
      </c>
      <c r="B39" t="s">
        <v>964</v>
      </c>
      <c r="C39" t="s">
        <v>1022</v>
      </c>
      <c r="D39" t="s">
        <v>971</v>
      </c>
      <c r="E39" t="s">
        <v>1078</v>
      </c>
      <c r="F39" t="s">
        <v>1079</v>
      </c>
      <c r="G39" t="s">
        <v>1080</v>
      </c>
    </row>
    <row r="40" spans="1:7" x14ac:dyDescent="0.3">
      <c r="A40">
        <v>770</v>
      </c>
      <c r="B40" t="s">
        <v>964</v>
      </c>
      <c r="C40" t="s">
        <v>970</v>
      </c>
      <c r="D40" t="s">
        <v>971</v>
      </c>
      <c r="E40" t="s">
        <v>1081</v>
      </c>
      <c r="F40" t="s">
        <v>1082</v>
      </c>
      <c r="G40" t="s">
        <v>1083</v>
      </c>
    </row>
    <row r="41" spans="1:7" x14ac:dyDescent="0.3">
      <c r="A41">
        <v>769</v>
      </c>
      <c r="B41" t="s">
        <v>964</v>
      </c>
      <c r="C41" t="s">
        <v>1022</v>
      </c>
      <c r="D41" t="s">
        <v>971</v>
      </c>
      <c r="E41" t="s">
        <v>1084</v>
      </c>
      <c r="F41" t="s">
        <v>1085</v>
      </c>
      <c r="G41" t="s">
        <v>1086</v>
      </c>
    </row>
    <row r="42" spans="1:7" x14ac:dyDescent="0.3">
      <c r="A42">
        <v>768</v>
      </c>
      <c r="B42" t="s">
        <v>964</v>
      </c>
      <c r="C42" t="s">
        <v>970</v>
      </c>
      <c r="D42" t="s">
        <v>971</v>
      </c>
      <c r="E42" t="s">
        <v>1087</v>
      </c>
      <c r="F42" t="s">
        <v>1088</v>
      </c>
      <c r="G42" t="s">
        <v>1089</v>
      </c>
    </row>
    <row r="43" spans="1:7" x14ac:dyDescent="0.3">
      <c r="A43">
        <v>767</v>
      </c>
      <c r="B43" t="s">
        <v>964</v>
      </c>
      <c r="C43" t="s">
        <v>1022</v>
      </c>
      <c r="D43" t="s">
        <v>971</v>
      </c>
      <c r="E43" t="s">
        <v>1090</v>
      </c>
      <c r="F43" t="s">
        <v>1091</v>
      </c>
      <c r="G43" t="s">
        <v>1092</v>
      </c>
    </row>
    <row r="44" spans="1:7" x14ac:dyDescent="0.3">
      <c r="A44">
        <v>766</v>
      </c>
      <c r="B44" t="s">
        <v>964</v>
      </c>
      <c r="C44" t="s">
        <v>1022</v>
      </c>
      <c r="D44" t="s">
        <v>971</v>
      </c>
      <c r="E44" t="s">
        <v>1093</v>
      </c>
      <c r="F44" t="s">
        <v>1094</v>
      </c>
      <c r="G44" t="s">
        <v>1095</v>
      </c>
    </row>
    <row r="45" spans="1:7" x14ac:dyDescent="0.3">
      <c r="A45">
        <v>765</v>
      </c>
      <c r="B45" t="s">
        <v>964</v>
      </c>
      <c r="C45" t="s">
        <v>1022</v>
      </c>
      <c r="D45" t="s">
        <v>971</v>
      </c>
      <c r="E45" t="s">
        <v>1096</v>
      </c>
      <c r="F45" t="s">
        <v>1097</v>
      </c>
      <c r="G45" t="s">
        <v>1098</v>
      </c>
    </row>
    <row r="46" spans="1:7" x14ac:dyDescent="0.3">
      <c r="A46">
        <v>764</v>
      </c>
      <c r="B46" t="s">
        <v>964</v>
      </c>
      <c r="C46" t="s">
        <v>1022</v>
      </c>
      <c r="D46" t="s">
        <v>971</v>
      </c>
      <c r="E46" t="s">
        <v>1099</v>
      </c>
      <c r="F46" t="s">
        <v>1100</v>
      </c>
      <c r="G46" t="s">
        <v>1101</v>
      </c>
    </row>
    <row r="47" spans="1:7" x14ac:dyDescent="0.3">
      <c r="A47">
        <v>763</v>
      </c>
      <c r="B47" t="s">
        <v>964</v>
      </c>
      <c r="C47" t="s">
        <v>1022</v>
      </c>
      <c r="D47" t="s">
        <v>971</v>
      </c>
      <c r="E47" t="s">
        <v>1102</v>
      </c>
      <c r="F47" t="s">
        <v>1103</v>
      </c>
      <c r="G47" t="s">
        <v>1104</v>
      </c>
    </row>
    <row r="48" spans="1:7" x14ac:dyDescent="0.3">
      <c r="A48">
        <v>762</v>
      </c>
      <c r="B48" t="s">
        <v>964</v>
      </c>
      <c r="C48" t="s">
        <v>1022</v>
      </c>
      <c r="D48" t="s">
        <v>971</v>
      </c>
      <c r="E48" t="s">
        <v>1105</v>
      </c>
      <c r="F48" t="s">
        <v>1106</v>
      </c>
      <c r="G48" t="s">
        <v>1107</v>
      </c>
    </row>
    <row r="49" spans="1:7" x14ac:dyDescent="0.3">
      <c r="A49">
        <v>761</v>
      </c>
      <c r="B49" t="s">
        <v>964</v>
      </c>
      <c r="C49" t="s">
        <v>1022</v>
      </c>
      <c r="D49" t="s">
        <v>971</v>
      </c>
      <c r="E49" t="s">
        <v>1108</v>
      </c>
      <c r="F49" t="s">
        <v>1109</v>
      </c>
      <c r="G49" t="s">
        <v>1110</v>
      </c>
    </row>
    <row r="50" spans="1:7" x14ac:dyDescent="0.3">
      <c r="A50">
        <v>760</v>
      </c>
      <c r="B50" t="s">
        <v>964</v>
      </c>
      <c r="C50" t="s">
        <v>1022</v>
      </c>
      <c r="D50" t="s">
        <v>971</v>
      </c>
      <c r="E50" t="s">
        <v>1111</v>
      </c>
      <c r="F50" t="s">
        <v>1112</v>
      </c>
      <c r="G50" t="s">
        <v>1113</v>
      </c>
    </row>
    <row r="51" spans="1:7" x14ac:dyDescent="0.3">
      <c r="A51">
        <v>759</v>
      </c>
      <c r="B51" t="s">
        <v>964</v>
      </c>
      <c r="C51" t="s">
        <v>1022</v>
      </c>
      <c r="D51" t="s">
        <v>971</v>
      </c>
      <c r="E51" t="s">
        <v>1114</v>
      </c>
      <c r="F51" t="s">
        <v>1115</v>
      </c>
      <c r="G51" t="s">
        <v>1116</v>
      </c>
    </row>
    <row r="52" spans="1:7" x14ac:dyDescent="0.3">
      <c r="A52">
        <v>758</v>
      </c>
      <c r="B52" t="s">
        <v>964</v>
      </c>
      <c r="C52" t="s">
        <v>1022</v>
      </c>
      <c r="D52" t="s">
        <v>971</v>
      </c>
      <c r="E52" t="s">
        <v>1117</v>
      </c>
      <c r="F52" t="s">
        <v>1118</v>
      </c>
      <c r="G52" t="s">
        <v>1119</v>
      </c>
    </row>
    <row r="53" spans="1:7" x14ac:dyDescent="0.3">
      <c r="A53">
        <v>757</v>
      </c>
      <c r="B53" t="s">
        <v>964</v>
      </c>
      <c r="C53" t="s">
        <v>965</v>
      </c>
      <c r="D53" t="s">
        <v>971</v>
      </c>
      <c r="E53" t="s">
        <v>1120</v>
      </c>
      <c r="F53" t="s">
        <v>1121</v>
      </c>
      <c r="G53" t="s">
        <v>1122</v>
      </c>
    </row>
    <row r="54" spans="1:7" x14ac:dyDescent="0.3">
      <c r="A54">
        <v>756</v>
      </c>
      <c r="B54" t="s">
        <v>964</v>
      </c>
      <c r="C54" t="s">
        <v>1123</v>
      </c>
      <c r="D54" t="s">
        <v>971</v>
      </c>
      <c r="E54" t="s">
        <v>1124</v>
      </c>
      <c r="F54" t="s">
        <v>1125</v>
      </c>
      <c r="G54" t="s">
        <v>1126</v>
      </c>
    </row>
    <row r="55" spans="1:7" x14ac:dyDescent="0.3">
      <c r="A55">
        <v>755</v>
      </c>
      <c r="B55" t="s">
        <v>964</v>
      </c>
      <c r="C55" t="s">
        <v>1123</v>
      </c>
      <c r="D55" t="s">
        <v>971</v>
      </c>
      <c r="E55" t="s">
        <v>1127</v>
      </c>
      <c r="F55" t="s">
        <v>1128</v>
      </c>
      <c r="G55" t="s">
        <v>1129</v>
      </c>
    </row>
    <row r="56" spans="1:7" x14ac:dyDescent="0.3">
      <c r="A56">
        <v>754</v>
      </c>
      <c r="B56" t="s">
        <v>964</v>
      </c>
      <c r="C56" t="s">
        <v>1022</v>
      </c>
      <c r="D56" t="s">
        <v>971</v>
      </c>
      <c r="E56" t="s">
        <v>1130</v>
      </c>
      <c r="F56" t="s">
        <v>1131</v>
      </c>
      <c r="G56" t="s">
        <v>1132</v>
      </c>
    </row>
    <row r="57" spans="1:7" x14ac:dyDescent="0.3">
      <c r="A57">
        <v>753</v>
      </c>
      <c r="B57" t="s">
        <v>964</v>
      </c>
      <c r="C57" t="s">
        <v>965</v>
      </c>
      <c r="D57" t="s">
        <v>971</v>
      </c>
      <c r="E57" t="s">
        <v>1133</v>
      </c>
      <c r="F57" t="s">
        <v>1134</v>
      </c>
      <c r="G57" t="s">
        <v>1135</v>
      </c>
    </row>
    <row r="58" spans="1:7" x14ac:dyDescent="0.3">
      <c r="A58">
        <v>752</v>
      </c>
      <c r="B58" t="s">
        <v>964</v>
      </c>
      <c r="C58" t="s">
        <v>970</v>
      </c>
      <c r="D58" t="s">
        <v>971</v>
      </c>
      <c r="E58" t="s">
        <v>1136</v>
      </c>
      <c r="F58" t="s">
        <v>1137</v>
      </c>
      <c r="G58" t="s">
        <v>1138</v>
      </c>
    </row>
    <row r="59" spans="1:7" x14ac:dyDescent="0.3">
      <c r="A59">
        <v>751</v>
      </c>
      <c r="B59" t="s">
        <v>964</v>
      </c>
      <c r="C59" t="s">
        <v>1022</v>
      </c>
      <c r="D59" t="s">
        <v>971</v>
      </c>
      <c r="E59" t="s">
        <v>1139</v>
      </c>
      <c r="F59" t="s">
        <v>1140</v>
      </c>
      <c r="G59" t="s">
        <v>1141</v>
      </c>
    </row>
    <row r="60" spans="1:7" x14ac:dyDescent="0.3">
      <c r="A60">
        <v>750</v>
      </c>
      <c r="B60" t="s">
        <v>964</v>
      </c>
      <c r="C60" t="s">
        <v>1022</v>
      </c>
      <c r="D60" t="s">
        <v>971</v>
      </c>
      <c r="E60" t="s">
        <v>1142</v>
      </c>
      <c r="F60" t="s">
        <v>1143</v>
      </c>
      <c r="G60" t="s">
        <v>1144</v>
      </c>
    </row>
    <row r="61" spans="1:7" x14ac:dyDescent="0.3">
      <c r="A61">
        <v>749</v>
      </c>
      <c r="B61" t="s">
        <v>964</v>
      </c>
      <c r="C61" t="s">
        <v>970</v>
      </c>
      <c r="D61" t="s">
        <v>971</v>
      </c>
      <c r="E61" t="s">
        <v>1145</v>
      </c>
      <c r="F61" t="s">
        <v>1146</v>
      </c>
      <c r="G61" t="s">
        <v>1147</v>
      </c>
    </row>
    <row r="62" spans="1:7" x14ac:dyDescent="0.3">
      <c r="A62">
        <v>748</v>
      </c>
      <c r="B62" t="s">
        <v>964</v>
      </c>
      <c r="C62" t="s">
        <v>1022</v>
      </c>
      <c r="D62" t="s">
        <v>971</v>
      </c>
      <c r="E62" t="s">
        <v>1148</v>
      </c>
      <c r="F62" t="s">
        <v>1149</v>
      </c>
      <c r="G62" t="s">
        <v>1150</v>
      </c>
    </row>
    <row r="63" spans="1:7" x14ac:dyDescent="0.3">
      <c r="A63">
        <v>747</v>
      </c>
      <c r="B63" t="s">
        <v>964</v>
      </c>
      <c r="C63" t="s">
        <v>1022</v>
      </c>
      <c r="D63" t="s">
        <v>971</v>
      </c>
      <c r="E63" t="s">
        <v>1151</v>
      </c>
      <c r="F63" t="s">
        <v>1152</v>
      </c>
      <c r="G63" t="s">
        <v>1153</v>
      </c>
    </row>
    <row r="64" spans="1:7" x14ac:dyDescent="0.3">
      <c r="A64">
        <v>746</v>
      </c>
      <c r="B64" t="s">
        <v>964</v>
      </c>
      <c r="C64" t="s">
        <v>1022</v>
      </c>
      <c r="D64" t="s">
        <v>971</v>
      </c>
      <c r="E64" t="s">
        <v>1154</v>
      </c>
      <c r="F64" t="s">
        <v>1155</v>
      </c>
      <c r="G64" t="s">
        <v>1156</v>
      </c>
    </row>
    <row r="65" spans="1:7" x14ac:dyDescent="0.3">
      <c r="A65">
        <v>745</v>
      </c>
      <c r="B65" t="s">
        <v>964</v>
      </c>
      <c r="C65" t="s">
        <v>970</v>
      </c>
      <c r="D65" t="s">
        <v>971</v>
      </c>
      <c r="E65" t="s">
        <v>1157</v>
      </c>
      <c r="F65" t="s">
        <v>1158</v>
      </c>
      <c r="G65" t="s">
        <v>1159</v>
      </c>
    </row>
    <row r="66" spans="1:7" x14ac:dyDescent="0.3">
      <c r="A66">
        <v>744</v>
      </c>
      <c r="B66" t="s">
        <v>964</v>
      </c>
      <c r="C66" t="s">
        <v>1022</v>
      </c>
      <c r="D66" t="s">
        <v>971</v>
      </c>
      <c r="E66" t="s">
        <v>1160</v>
      </c>
      <c r="F66" t="s">
        <v>1161</v>
      </c>
      <c r="G66" t="s">
        <v>1162</v>
      </c>
    </row>
    <row r="67" spans="1:7" x14ac:dyDescent="0.3">
      <c r="A67">
        <v>743</v>
      </c>
      <c r="B67" t="s">
        <v>964</v>
      </c>
      <c r="C67" t="s">
        <v>1163</v>
      </c>
      <c r="D67" t="s">
        <v>971</v>
      </c>
      <c r="E67" t="s">
        <v>1164</v>
      </c>
      <c r="F67" t="s">
        <v>1165</v>
      </c>
      <c r="G67" t="s">
        <v>1166</v>
      </c>
    </row>
    <row r="68" spans="1:7" x14ac:dyDescent="0.3">
      <c r="A68">
        <v>742</v>
      </c>
      <c r="B68" t="s">
        <v>964</v>
      </c>
      <c r="C68" t="s">
        <v>965</v>
      </c>
      <c r="D68" t="s">
        <v>966</v>
      </c>
      <c r="E68" t="s">
        <v>1167</v>
      </c>
      <c r="F68" t="s">
        <v>1168</v>
      </c>
      <c r="G68" t="s">
        <v>1169</v>
      </c>
    </row>
    <row r="69" spans="1:7" x14ac:dyDescent="0.3">
      <c r="A69">
        <v>741</v>
      </c>
      <c r="B69" t="s">
        <v>964</v>
      </c>
      <c r="C69" t="s">
        <v>970</v>
      </c>
      <c r="D69" t="s">
        <v>966</v>
      </c>
      <c r="E69" t="s">
        <v>1170</v>
      </c>
      <c r="F69" t="s">
        <v>1168</v>
      </c>
      <c r="G69" t="s">
        <v>1171</v>
      </c>
    </row>
    <row r="70" spans="1:7" x14ac:dyDescent="0.3">
      <c r="A70">
        <v>740</v>
      </c>
      <c r="B70" t="s">
        <v>964</v>
      </c>
      <c r="C70" t="s">
        <v>1123</v>
      </c>
      <c r="D70" t="s">
        <v>971</v>
      </c>
      <c r="E70" t="s">
        <v>1172</v>
      </c>
      <c r="F70" t="s">
        <v>1173</v>
      </c>
      <c r="G70" t="s">
        <v>1174</v>
      </c>
    </row>
    <row r="71" spans="1:7" x14ac:dyDescent="0.3">
      <c r="A71">
        <v>739</v>
      </c>
      <c r="B71" t="s">
        <v>964</v>
      </c>
      <c r="C71" t="s">
        <v>965</v>
      </c>
      <c r="D71" t="s">
        <v>971</v>
      </c>
      <c r="E71" t="s">
        <v>1175</v>
      </c>
      <c r="F71" t="s">
        <v>1176</v>
      </c>
      <c r="G71" t="s">
        <v>1177</v>
      </c>
    </row>
    <row r="72" spans="1:7" x14ac:dyDescent="0.3">
      <c r="A72">
        <v>738</v>
      </c>
      <c r="B72" t="s">
        <v>964</v>
      </c>
      <c r="C72" t="s">
        <v>970</v>
      </c>
      <c r="D72" t="s">
        <v>971</v>
      </c>
      <c r="E72" t="s">
        <v>1178</v>
      </c>
      <c r="F72" t="s">
        <v>1179</v>
      </c>
      <c r="G72" t="s">
        <v>1180</v>
      </c>
    </row>
    <row r="73" spans="1:7" x14ac:dyDescent="0.3">
      <c r="A73">
        <v>737</v>
      </c>
      <c r="B73" t="s">
        <v>964</v>
      </c>
      <c r="C73" t="s">
        <v>1022</v>
      </c>
      <c r="D73" t="s">
        <v>971</v>
      </c>
      <c r="E73" t="s">
        <v>1181</v>
      </c>
      <c r="F73" t="s">
        <v>1182</v>
      </c>
      <c r="G73" t="s">
        <v>1183</v>
      </c>
    </row>
    <row r="74" spans="1:7" x14ac:dyDescent="0.3">
      <c r="A74">
        <v>736</v>
      </c>
      <c r="B74" t="s">
        <v>964</v>
      </c>
      <c r="C74" t="s">
        <v>1022</v>
      </c>
      <c r="D74" t="s">
        <v>971</v>
      </c>
      <c r="E74" t="s">
        <v>1184</v>
      </c>
      <c r="F74" t="s">
        <v>1185</v>
      </c>
      <c r="G74" t="s">
        <v>1186</v>
      </c>
    </row>
    <row r="75" spans="1:7" x14ac:dyDescent="0.3">
      <c r="A75">
        <v>735</v>
      </c>
      <c r="B75" t="s">
        <v>964</v>
      </c>
      <c r="C75" t="s">
        <v>1022</v>
      </c>
      <c r="D75" t="s">
        <v>971</v>
      </c>
      <c r="E75" t="s">
        <v>1187</v>
      </c>
      <c r="F75" t="s">
        <v>1188</v>
      </c>
      <c r="G75" t="s">
        <v>1189</v>
      </c>
    </row>
    <row r="76" spans="1:7" x14ac:dyDescent="0.3">
      <c r="A76">
        <v>734</v>
      </c>
      <c r="B76" t="s">
        <v>964</v>
      </c>
      <c r="C76" t="s">
        <v>1022</v>
      </c>
      <c r="D76" t="s">
        <v>971</v>
      </c>
      <c r="E76" t="s">
        <v>1190</v>
      </c>
      <c r="F76" t="s">
        <v>1191</v>
      </c>
      <c r="G76" t="s">
        <v>1192</v>
      </c>
    </row>
    <row r="77" spans="1:7" x14ac:dyDescent="0.3">
      <c r="A77">
        <v>733</v>
      </c>
      <c r="B77" t="s">
        <v>964</v>
      </c>
      <c r="C77" t="s">
        <v>1022</v>
      </c>
      <c r="D77" t="s">
        <v>971</v>
      </c>
      <c r="E77" t="s">
        <v>1193</v>
      </c>
      <c r="F77" t="s">
        <v>1194</v>
      </c>
      <c r="G77" t="s">
        <v>1195</v>
      </c>
    </row>
    <row r="78" spans="1:7" x14ac:dyDescent="0.3">
      <c r="A78">
        <v>732</v>
      </c>
      <c r="B78" t="s">
        <v>964</v>
      </c>
      <c r="C78" t="s">
        <v>970</v>
      </c>
      <c r="D78" t="s">
        <v>971</v>
      </c>
      <c r="E78" t="s">
        <v>1196</v>
      </c>
      <c r="F78" t="s">
        <v>1197</v>
      </c>
      <c r="G78" t="s">
        <v>1198</v>
      </c>
    </row>
    <row r="79" spans="1:7" x14ac:dyDescent="0.3">
      <c r="A79">
        <v>731</v>
      </c>
      <c r="B79" t="s">
        <v>964</v>
      </c>
      <c r="C79" t="s">
        <v>965</v>
      </c>
      <c r="D79" t="s">
        <v>966</v>
      </c>
      <c r="E79" t="s">
        <v>1199</v>
      </c>
      <c r="F79" t="s">
        <v>1200</v>
      </c>
      <c r="G79" t="s">
        <v>1201</v>
      </c>
    </row>
    <row r="80" spans="1:7" x14ac:dyDescent="0.3">
      <c r="A80">
        <v>730</v>
      </c>
      <c r="B80" t="s">
        <v>964</v>
      </c>
      <c r="C80" t="s">
        <v>970</v>
      </c>
      <c r="D80" t="s">
        <v>966</v>
      </c>
      <c r="E80" t="s">
        <v>1202</v>
      </c>
      <c r="F80" t="s">
        <v>1200</v>
      </c>
      <c r="G80" t="s">
        <v>1203</v>
      </c>
    </row>
    <row r="81" spans="1:7" x14ac:dyDescent="0.3">
      <c r="A81">
        <v>729</v>
      </c>
      <c r="B81" t="s">
        <v>964</v>
      </c>
      <c r="C81" t="s">
        <v>1123</v>
      </c>
      <c r="D81" t="s">
        <v>971</v>
      </c>
      <c r="E81" t="s">
        <v>1204</v>
      </c>
      <c r="F81" t="s">
        <v>1205</v>
      </c>
      <c r="G81" t="s">
        <v>1206</v>
      </c>
    </row>
    <row r="82" spans="1:7" x14ac:dyDescent="0.3">
      <c r="A82">
        <v>728</v>
      </c>
      <c r="B82" t="s">
        <v>964</v>
      </c>
      <c r="C82" t="s">
        <v>970</v>
      </c>
      <c r="D82" t="s">
        <v>971</v>
      </c>
      <c r="E82" t="s">
        <v>1207</v>
      </c>
      <c r="F82" t="s">
        <v>1208</v>
      </c>
      <c r="G82" t="s">
        <v>1209</v>
      </c>
    </row>
    <row r="83" spans="1:7" x14ac:dyDescent="0.3">
      <c r="A83">
        <v>727</v>
      </c>
      <c r="B83" t="s">
        <v>964</v>
      </c>
      <c r="C83" t="s">
        <v>1022</v>
      </c>
      <c r="D83" t="s">
        <v>971</v>
      </c>
      <c r="E83" t="s">
        <v>1210</v>
      </c>
      <c r="F83" t="s">
        <v>1211</v>
      </c>
      <c r="G83" t="s">
        <v>1212</v>
      </c>
    </row>
    <row r="84" spans="1:7" x14ac:dyDescent="0.3">
      <c r="A84">
        <v>726</v>
      </c>
      <c r="B84" t="s">
        <v>964</v>
      </c>
      <c r="C84" t="s">
        <v>970</v>
      </c>
      <c r="D84" t="s">
        <v>971</v>
      </c>
      <c r="E84" t="s">
        <v>1213</v>
      </c>
      <c r="F84" t="s">
        <v>1214</v>
      </c>
      <c r="G84" t="s">
        <v>1215</v>
      </c>
    </row>
    <row r="85" spans="1:7" x14ac:dyDescent="0.3">
      <c r="A85">
        <v>725</v>
      </c>
      <c r="B85" t="s">
        <v>964</v>
      </c>
      <c r="C85" t="s">
        <v>1022</v>
      </c>
      <c r="D85" t="s">
        <v>971</v>
      </c>
      <c r="E85" t="s">
        <v>1216</v>
      </c>
      <c r="F85" t="s">
        <v>1217</v>
      </c>
      <c r="G85" t="s">
        <v>1218</v>
      </c>
    </row>
    <row r="86" spans="1:7" x14ac:dyDescent="0.3">
      <c r="A86">
        <v>724</v>
      </c>
      <c r="B86" t="s">
        <v>964</v>
      </c>
      <c r="C86" t="s">
        <v>970</v>
      </c>
      <c r="D86" t="s">
        <v>971</v>
      </c>
      <c r="E86" t="s">
        <v>1219</v>
      </c>
      <c r="F86" t="s">
        <v>1220</v>
      </c>
      <c r="G86" t="s">
        <v>1221</v>
      </c>
    </row>
    <row r="87" spans="1:7" x14ac:dyDescent="0.3">
      <c r="A87">
        <v>723</v>
      </c>
      <c r="B87" t="s">
        <v>964</v>
      </c>
      <c r="C87" t="s">
        <v>1022</v>
      </c>
      <c r="D87" t="s">
        <v>971</v>
      </c>
      <c r="E87" t="s">
        <v>1222</v>
      </c>
      <c r="F87" t="s">
        <v>1223</v>
      </c>
      <c r="G87" t="s">
        <v>1224</v>
      </c>
    </row>
    <row r="88" spans="1:7" x14ac:dyDescent="0.3">
      <c r="A88">
        <v>722</v>
      </c>
      <c r="B88" t="s">
        <v>964</v>
      </c>
      <c r="C88" t="s">
        <v>1022</v>
      </c>
      <c r="D88" t="s">
        <v>971</v>
      </c>
      <c r="E88" t="s">
        <v>1225</v>
      </c>
      <c r="F88" t="s">
        <v>1226</v>
      </c>
      <c r="G88" t="s">
        <v>1227</v>
      </c>
    </row>
    <row r="89" spans="1:7" x14ac:dyDescent="0.3">
      <c r="A89">
        <v>721</v>
      </c>
      <c r="B89" t="s">
        <v>964</v>
      </c>
      <c r="C89" t="s">
        <v>965</v>
      </c>
      <c r="D89" t="s">
        <v>971</v>
      </c>
      <c r="E89" t="s">
        <v>1228</v>
      </c>
      <c r="F89" t="s">
        <v>1229</v>
      </c>
      <c r="G89" t="s">
        <v>1230</v>
      </c>
    </row>
    <row r="90" spans="1:7" x14ac:dyDescent="0.3">
      <c r="A90">
        <v>720</v>
      </c>
      <c r="B90" t="s">
        <v>964</v>
      </c>
      <c r="C90" t="s">
        <v>965</v>
      </c>
      <c r="D90" t="s">
        <v>966</v>
      </c>
      <c r="E90" t="s">
        <v>1231</v>
      </c>
      <c r="F90" t="s">
        <v>1232</v>
      </c>
      <c r="G90" t="s">
        <v>1233</v>
      </c>
    </row>
    <row r="91" spans="1:7" x14ac:dyDescent="0.3">
      <c r="A91">
        <v>719</v>
      </c>
      <c r="B91" t="s">
        <v>964</v>
      </c>
      <c r="C91" t="s">
        <v>970</v>
      </c>
      <c r="D91" t="s">
        <v>971</v>
      </c>
      <c r="E91" t="s">
        <v>1234</v>
      </c>
      <c r="F91" t="s">
        <v>1235</v>
      </c>
      <c r="G91" t="s">
        <v>1236</v>
      </c>
    </row>
    <row r="92" spans="1:7" x14ac:dyDescent="0.3">
      <c r="A92">
        <v>718</v>
      </c>
      <c r="B92" t="s">
        <v>964</v>
      </c>
      <c r="C92" t="s">
        <v>1022</v>
      </c>
      <c r="D92" t="s">
        <v>971</v>
      </c>
      <c r="E92" t="s">
        <v>1237</v>
      </c>
      <c r="F92" t="s">
        <v>1238</v>
      </c>
      <c r="G92" t="s">
        <v>1239</v>
      </c>
    </row>
    <row r="93" spans="1:7" x14ac:dyDescent="0.3">
      <c r="A93">
        <v>717</v>
      </c>
      <c r="B93" t="s">
        <v>964</v>
      </c>
      <c r="C93" t="s">
        <v>970</v>
      </c>
      <c r="D93" t="s">
        <v>971</v>
      </c>
      <c r="E93" t="s">
        <v>1240</v>
      </c>
      <c r="F93" t="s">
        <v>1241</v>
      </c>
      <c r="G93" t="s">
        <v>1242</v>
      </c>
    </row>
    <row r="94" spans="1:7" x14ac:dyDescent="0.3">
      <c r="A94">
        <v>716</v>
      </c>
      <c r="B94" t="s">
        <v>964</v>
      </c>
      <c r="C94" t="s">
        <v>970</v>
      </c>
      <c r="D94" t="s">
        <v>971</v>
      </c>
      <c r="E94" t="s">
        <v>1243</v>
      </c>
      <c r="F94" t="s">
        <v>1244</v>
      </c>
      <c r="G94" t="s">
        <v>1245</v>
      </c>
    </row>
    <row r="95" spans="1:7" x14ac:dyDescent="0.3">
      <c r="A95">
        <v>715</v>
      </c>
      <c r="B95" t="s">
        <v>964</v>
      </c>
      <c r="C95" t="s">
        <v>1022</v>
      </c>
      <c r="D95" t="s">
        <v>971</v>
      </c>
      <c r="E95" t="s">
        <v>1246</v>
      </c>
      <c r="F95" t="s">
        <v>1247</v>
      </c>
      <c r="G95" t="s">
        <v>1248</v>
      </c>
    </row>
    <row r="96" spans="1:7" x14ac:dyDescent="0.3">
      <c r="A96">
        <v>714</v>
      </c>
      <c r="B96" t="s">
        <v>964</v>
      </c>
      <c r="C96" t="s">
        <v>1123</v>
      </c>
      <c r="D96" t="s">
        <v>971</v>
      </c>
      <c r="E96" t="s">
        <v>1249</v>
      </c>
      <c r="F96" t="s">
        <v>1250</v>
      </c>
      <c r="G96" t="s">
        <v>1251</v>
      </c>
    </row>
    <row r="97" spans="1:7" x14ac:dyDescent="0.3">
      <c r="A97">
        <v>713</v>
      </c>
      <c r="B97" t="s">
        <v>964</v>
      </c>
      <c r="C97" t="s">
        <v>1022</v>
      </c>
      <c r="D97" t="s">
        <v>971</v>
      </c>
      <c r="E97" t="s">
        <v>1252</v>
      </c>
      <c r="F97" t="s">
        <v>1253</v>
      </c>
      <c r="G97" t="s">
        <v>1254</v>
      </c>
    </row>
    <row r="98" spans="1:7" x14ac:dyDescent="0.3">
      <c r="A98">
        <v>712</v>
      </c>
      <c r="B98" t="s">
        <v>964</v>
      </c>
      <c r="C98" t="s">
        <v>1022</v>
      </c>
      <c r="D98" t="s">
        <v>971</v>
      </c>
      <c r="E98" t="s">
        <v>1255</v>
      </c>
      <c r="F98" t="s">
        <v>1017</v>
      </c>
      <c r="G98" t="s">
        <v>1256</v>
      </c>
    </row>
    <row r="99" spans="1:7" x14ac:dyDescent="0.3">
      <c r="A99">
        <v>711</v>
      </c>
      <c r="B99" t="s">
        <v>964</v>
      </c>
      <c r="C99" t="s">
        <v>1022</v>
      </c>
      <c r="D99" t="s">
        <v>971</v>
      </c>
      <c r="E99" t="s">
        <v>1257</v>
      </c>
      <c r="F99" t="s">
        <v>1258</v>
      </c>
      <c r="G99" t="s">
        <v>1259</v>
      </c>
    </row>
    <row r="100" spans="1:7" x14ac:dyDescent="0.3">
      <c r="A100">
        <v>710</v>
      </c>
      <c r="B100" t="s">
        <v>964</v>
      </c>
      <c r="C100" t="s">
        <v>970</v>
      </c>
      <c r="D100" t="s">
        <v>971</v>
      </c>
      <c r="E100" t="s">
        <v>1260</v>
      </c>
      <c r="F100" t="s">
        <v>1261</v>
      </c>
      <c r="G100" t="s">
        <v>1262</v>
      </c>
    </row>
    <row r="101" spans="1:7" x14ac:dyDescent="0.3">
      <c r="A101">
        <v>709</v>
      </c>
      <c r="B101" t="s">
        <v>964</v>
      </c>
      <c r="C101" t="s">
        <v>1022</v>
      </c>
      <c r="D101" t="s">
        <v>971</v>
      </c>
      <c r="E101" t="s">
        <v>1263</v>
      </c>
      <c r="F101" t="s">
        <v>1264</v>
      </c>
      <c r="G101" t="s">
        <v>1265</v>
      </c>
    </row>
    <row r="102" spans="1:7" x14ac:dyDescent="0.3">
      <c r="A102">
        <v>708</v>
      </c>
      <c r="B102" t="s">
        <v>964</v>
      </c>
      <c r="C102" t="s">
        <v>1022</v>
      </c>
      <c r="D102" t="s">
        <v>971</v>
      </c>
      <c r="E102" t="s">
        <v>1266</v>
      </c>
      <c r="F102" t="s">
        <v>1267</v>
      </c>
      <c r="G102" t="s">
        <v>1268</v>
      </c>
    </row>
    <row r="103" spans="1:7" x14ac:dyDescent="0.3">
      <c r="A103">
        <v>707</v>
      </c>
      <c r="B103" t="s">
        <v>964</v>
      </c>
      <c r="C103" t="s">
        <v>970</v>
      </c>
      <c r="D103" t="s">
        <v>971</v>
      </c>
      <c r="E103" t="s">
        <v>1269</v>
      </c>
      <c r="F103" t="s">
        <v>1270</v>
      </c>
      <c r="G103" t="s">
        <v>1271</v>
      </c>
    </row>
    <row r="104" spans="1:7" x14ac:dyDescent="0.3">
      <c r="A104">
        <v>706</v>
      </c>
      <c r="B104" t="s">
        <v>964</v>
      </c>
      <c r="C104" t="s">
        <v>1022</v>
      </c>
      <c r="D104" t="s">
        <v>971</v>
      </c>
      <c r="E104" t="s">
        <v>1272</v>
      </c>
      <c r="F104" t="s">
        <v>1273</v>
      </c>
      <c r="G104" t="s">
        <v>1274</v>
      </c>
    </row>
    <row r="105" spans="1:7" x14ac:dyDescent="0.3">
      <c r="A105">
        <v>705</v>
      </c>
      <c r="B105" t="s">
        <v>964</v>
      </c>
      <c r="C105" t="s">
        <v>970</v>
      </c>
      <c r="D105" t="s">
        <v>971</v>
      </c>
      <c r="E105" t="s">
        <v>1275</v>
      </c>
      <c r="F105" t="s">
        <v>1276</v>
      </c>
      <c r="G105" t="s">
        <v>1277</v>
      </c>
    </row>
    <row r="106" spans="1:7" x14ac:dyDescent="0.3">
      <c r="A106">
        <v>704</v>
      </c>
      <c r="B106" t="s">
        <v>964</v>
      </c>
      <c r="C106" t="s">
        <v>1022</v>
      </c>
      <c r="D106" t="s">
        <v>971</v>
      </c>
      <c r="E106" t="s">
        <v>1278</v>
      </c>
      <c r="F106" t="s">
        <v>1279</v>
      </c>
      <c r="G106" t="s">
        <v>1280</v>
      </c>
    </row>
    <row r="107" spans="1:7" x14ac:dyDescent="0.3">
      <c r="A107">
        <v>703</v>
      </c>
      <c r="B107" t="s">
        <v>964</v>
      </c>
      <c r="C107" t="s">
        <v>970</v>
      </c>
      <c r="D107" t="s">
        <v>971</v>
      </c>
      <c r="E107" t="s">
        <v>1281</v>
      </c>
      <c r="F107" t="s">
        <v>1282</v>
      </c>
      <c r="G107" t="s">
        <v>1283</v>
      </c>
    </row>
    <row r="108" spans="1:7" x14ac:dyDescent="0.3">
      <c r="A108">
        <v>702</v>
      </c>
      <c r="B108" t="s">
        <v>964</v>
      </c>
      <c r="C108" t="s">
        <v>970</v>
      </c>
      <c r="D108" t="s">
        <v>971</v>
      </c>
      <c r="E108" t="s">
        <v>1284</v>
      </c>
      <c r="F108" t="s">
        <v>1285</v>
      </c>
      <c r="G108" t="s">
        <v>1286</v>
      </c>
    </row>
    <row r="109" spans="1:7" x14ac:dyDescent="0.3">
      <c r="A109">
        <v>701</v>
      </c>
      <c r="B109" t="s">
        <v>964</v>
      </c>
      <c r="C109" t="s">
        <v>1022</v>
      </c>
      <c r="D109" t="s">
        <v>971</v>
      </c>
      <c r="E109" t="s">
        <v>1287</v>
      </c>
      <c r="F109" t="s">
        <v>1288</v>
      </c>
      <c r="G109" t="s">
        <v>1289</v>
      </c>
    </row>
    <row r="110" spans="1:7" x14ac:dyDescent="0.3">
      <c r="A110">
        <v>700</v>
      </c>
      <c r="B110" t="s">
        <v>964</v>
      </c>
      <c r="C110" t="s">
        <v>1022</v>
      </c>
      <c r="D110" t="s">
        <v>971</v>
      </c>
      <c r="E110" t="s">
        <v>1290</v>
      </c>
      <c r="F110" t="s">
        <v>1291</v>
      </c>
      <c r="G110" t="s">
        <v>1292</v>
      </c>
    </row>
    <row r="111" spans="1:7" x14ac:dyDescent="0.3">
      <c r="A111">
        <v>699</v>
      </c>
      <c r="B111" t="s">
        <v>964</v>
      </c>
      <c r="C111" t="s">
        <v>1123</v>
      </c>
      <c r="D111" t="s">
        <v>971</v>
      </c>
      <c r="E111" t="s">
        <v>1293</v>
      </c>
      <c r="F111" t="s">
        <v>1294</v>
      </c>
      <c r="G111" t="s">
        <v>1295</v>
      </c>
    </row>
    <row r="112" spans="1:7" x14ac:dyDescent="0.3">
      <c r="A112">
        <v>698</v>
      </c>
      <c r="B112" t="s">
        <v>964</v>
      </c>
      <c r="C112" t="s">
        <v>1163</v>
      </c>
      <c r="D112" t="s">
        <v>971</v>
      </c>
      <c r="E112" t="s">
        <v>1296</v>
      </c>
      <c r="F112" t="s">
        <v>1297</v>
      </c>
      <c r="G112" t="s">
        <v>1298</v>
      </c>
    </row>
    <row r="113" spans="1:7" x14ac:dyDescent="0.3">
      <c r="A113">
        <v>697</v>
      </c>
      <c r="B113" t="s">
        <v>964</v>
      </c>
      <c r="C113" t="s">
        <v>1163</v>
      </c>
      <c r="D113" t="s">
        <v>971</v>
      </c>
      <c r="E113" t="s">
        <v>1299</v>
      </c>
      <c r="F113" t="s">
        <v>1300</v>
      </c>
      <c r="G113" t="s">
        <v>1301</v>
      </c>
    </row>
    <row r="114" spans="1:7" x14ac:dyDescent="0.3">
      <c r="A114">
        <v>696</v>
      </c>
      <c r="B114" t="s">
        <v>964</v>
      </c>
      <c r="C114" t="s">
        <v>1022</v>
      </c>
      <c r="D114" t="s">
        <v>971</v>
      </c>
      <c r="E114" t="s">
        <v>1302</v>
      </c>
      <c r="F114" t="s">
        <v>1303</v>
      </c>
      <c r="G114" t="s">
        <v>1304</v>
      </c>
    </row>
    <row r="115" spans="1:7" x14ac:dyDescent="0.3">
      <c r="A115">
        <v>695</v>
      </c>
      <c r="B115" t="s">
        <v>964</v>
      </c>
      <c r="C115" t="s">
        <v>1022</v>
      </c>
      <c r="D115" t="s">
        <v>971</v>
      </c>
      <c r="E115" t="s">
        <v>1305</v>
      </c>
      <c r="F115" t="s">
        <v>1306</v>
      </c>
      <c r="G115" t="s">
        <v>1307</v>
      </c>
    </row>
    <row r="116" spans="1:7" x14ac:dyDescent="0.3">
      <c r="A116">
        <v>694</v>
      </c>
      <c r="B116" t="s">
        <v>964</v>
      </c>
      <c r="C116" t="s">
        <v>1022</v>
      </c>
      <c r="D116" t="s">
        <v>971</v>
      </c>
      <c r="E116" t="s">
        <v>1308</v>
      </c>
      <c r="F116" t="s">
        <v>1309</v>
      </c>
      <c r="G116" t="s">
        <v>1310</v>
      </c>
    </row>
    <row r="117" spans="1:7" x14ac:dyDescent="0.3">
      <c r="A117">
        <v>693</v>
      </c>
      <c r="B117" t="s">
        <v>964</v>
      </c>
      <c r="C117" t="s">
        <v>1022</v>
      </c>
      <c r="D117" t="s">
        <v>971</v>
      </c>
      <c r="E117" t="s">
        <v>1311</v>
      </c>
      <c r="F117" t="s">
        <v>1312</v>
      </c>
      <c r="G117" t="s">
        <v>1313</v>
      </c>
    </row>
    <row r="118" spans="1:7" x14ac:dyDescent="0.3">
      <c r="A118">
        <v>692</v>
      </c>
      <c r="B118" t="s">
        <v>964</v>
      </c>
      <c r="C118" t="s">
        <v>1022</v>
      </c>
      <c r="D118" t="s">
        <v>971</v>
      </c>
      <c r="E118" t="s">
        <v>1314</v>
      </c>
      <c r="F118" t="s">
        <v>1315</v>
      </c>
      <c r="G118" t="s">
        <v>1316</v>
      </c>
    </row>
    <row r="119" spans="1:7" x14ac:dyDescent="0.3">
      <c r="A119">
        <v>691</v>
      </c>
      <c r="B119" t="s">
        <v>964</v>
      </c>
      <c r="C119" t="s">
        <v>1022</v>
      </c>
      <c r="D119" t="s">
        <v>971</v>
      </c>
      <c r="E119" t="s">
        <v>1317</v>
      </c>
      <c r="F119" t="s">
        <v>1318</v>
      </c>
      <c r="G119" t="s">
        <v>1319</v>
      </c>
    </row>
    <row r="120" spans="1:7" x14ac:dyDescent="0.3">
      <c r="A120">
        <v>690</v>
      </c>
      <c r="B120" t="s">
        <v>964</v>
      </c>
      <c r="C120" t="s">
        <v>965</v>
      </c>
      <c r="D120" t="s">
        <v>971</v>
      </c>
      <c r="E120" t="s">
        <v>1320</v>
      </c>
      <c r="F120" t="s">
        <v>1321</v>
      </c>
      <c r="G120" t="s">
        <v>1322</v>
      </c>
    </row>
    <row r="121" spans="1:7" x14ac:dyDescent="0.3">
      <c r="A121">
        <v>689</v>
      </c>
      <c r="B121" t="s">
        <v>964</v>
      </c>
      <c r="C121" t="s">
        <v>1022</v>
      </c>
      <c r="D121" t="s">
        <v>971</v>
      </c>
      <c r="E121" t="s">
        <v>1323</v>
      </c>
      <c r="F121" t="s">
        <v>1324</v>
      </c>
      <c r="G121" t="s">
        <v>1325</v>
      </c>
    </row>
    <row r="123" spans="1:7" x14ac:dyDescent="0.3">
      <c r="A123" s="4" t="s">
        <v>1326</v>
      </c>
      <c r="B123" s="39">
        <v>120</v>
      </c>
    </row>
  </sheetData>
  <phoneticPr fontId="6"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12DCE-348C-4869-A888-C10A29490631}">
  <sheetPr codeName="Sheet8"/>
  <dimension ref="A1:H43"/>
  <sheetViews>
    <sheetView topLeftCell="A10" workbookViewId="0"/>
  </sheetViews>
  <sheetFormatPr defaultRowHeight="16.5" x14ac:dyDescent="0.3"/>
  <cols>
    <col min="1" max="1" width="3.125" customWidth="1"/>
    <col min="2" max="3" width="8.625" customWidth="1"/>
    <col min="4" max="4" width="12.625" customWidth="1"/>
    <col min="5" max="5" width="10.625" customWidth="1"/>
    <col min="6" max="8" width="8.625" customWidth="1"/>
  </cols>
  <sheetData>
    <row r="1" spans="1:8" x14ac:dyDescent="0.3">
      <c r="A1" s="20" t="s">
        <v>512</v>
      </c>
    </row>
    <row r="3" spans="1:8" ht="24" customHeight="1" x14ac:dyDescent="0.3">
      <c r="B3" s="83" t="s">
        <v>513</v>
      </c>
      <c r="C3" s="84"/>
      <c r="D3" s="84"/>
      <c r="E3" s="84"/>
      <c r="F3" s="84"/>
      <c r="G3" s="84"/>
      <c r="H3" s="84"/>
    </row>
    <row r="5" spans="1:8" ht="14.45" customHeight="1" x14ac:dyDescent="0.3">
      <c r="B5" s="54" t="s">
        <v>26</v>
      </c>
      <c r="C5" s="37" t="str">
        <f>IF(기초자료입력!C9&lt;&gt;"",기초자료입력!C9,"")</f>
        <v/>
      </c>
      <c r="D5" s="37"/>
      <c r="E5" s="54" t="s">
        <v>293</v>
      </c>
      <c r="F5" s="37" t="str">
        <f>IF(기초자료입력!C8&lt;&gt;"",TEXT(기초자료입력!C8,"yyyy-mm-dd"),"")</f>
        <v/>
      </c>
      <c r="G5" s="37"/>
      <c r="H5" s="37"/>
    </row>
    <row r="6" spans="1:8" ht="14.45" customHeight="1" x14ac:dyDescent="0.3">
      <c r="B6" s="37"/>
      <c r="C6" s="37"/>
      <c r="D6" s="37"/>
      <c r="E6" s="37"/>
      <c r="F6" s="37"/>
      <c r="G6" s="37"/>
      <c r="H6" s="37"/>
    </row>
    <row r="7" spans="1:8" ht="14.45" customHeight="1" x14ac:dyDescent="0.3">
      <c r="B7" s="54" t="s">
        <v>294</v>
      </c>
      <c r="C7" s="82" t="s">
        <v>514</v>
      </c>
      <c r="D7" s="82"/>
      <c r="E7" s="82"/>
      <c r="F7" s="82"/>
      <c r="G7" s="82"/>
      <c r="H7" s="82"/>
    </row>
    <row r="8" spans="1:8" ht="14.45" customHeight="1" x14ac:dyDescent="0.3">
      <c r="B8" s="54" t="s">
        <v>301</v>
      </c>
      <c r="C8" s="82"/>
      <c r="D8" s="82"/>
      <c r="E8" s="82"/>
      <c r="F8" s="82"/>
      <c r="G8" s="82"/>
      <c r="H8" s="82"/>
    </row>
    <row r="9" spans="1:8" ht="14.45" customHeight="1" x14ac:dyDescent="0.3">
      <c r="B9" s="54" t="s">
        <v>295</v>
      </c>
      <c r="C9" s="85" t="str">
        <f>IF(기초자료입력!C5&lt;&gt;"",기초자료입력!C5&amp;"학년도 교복선정위원회 구성(안)","교복선정위원회 구성(안)")</f>
        <v>교복선정위원회 구성(안)</v>
      </c>
      <c r="D9" s="82"/>
      <c r="E9" s="82"/>
      <c r="F9" s="82"/>
      <c r="G9" s="82"/>
      <c r="H9" s="82"/>
    </row>
    <row r="10" spans="1:8" ht="14.45" customHeight="1" x14ac:dyDescent="0.3">
      <c r="B10" s="37"/>
      <c r="C10" s="37"/>
      <c r="D10" s="37"/>
      <c r="E10" s="37"/>
      <c r="F10" s="37"/>
      <c r="G10" s="37"/>
      <c r="H10" s="37"/>
    </row>
    <row r="11" spans="1:8" ht="14.45" customHeight="1" x14ac:dyDescent="0.3">
      <c r="B11" s="54" t="s">
        <v>302</v>
      </c>
      <c r="C11" s="82" t="str">
        <f>IF(기초자료입력!C23&lt;&gt;"",기초자료입력!C23,"")</f>
        <v/>
      </c>
      <c r="D11" s="82"/>
      <c r="E11" s="82"/>
      <c r="F11" s="82"/>
      <c r="G11" s="82"/>
      <c r="H11" s="82"/>
    </row>
    <row r="12" spans="1:8" ht="14.45" customHeight="1" x14ac:dyDescent="0.3">
      <c r="B12" s="37"/>
      <c r="C12" s="37"/>
      <c r="D12" s="37"/>
      <c r="E12" s="37"/>
      <c r="F12" s="37"/>
      <c r="G12" s="37"/>
      <c r="H12" s="37"/>
    </row>
    <row r="13" spans="1:8" ht="26.1" customHeight="1" x14ac:dyDescent="0.3">
      <c r="B13" s="86" t="str">
        <f>"2. "&amp;IF(기초자료입력!C4&lt;&gt;"",기초자료입력!C4,"○○학교")&amp;" "&amp;IF(기초자료입력!C5&lt;&gt;"",기초자료입력!C5,"○○")&amp;"학년도 교복선정을 위한 교복선정위원회를 아래와 같이 구성하고자 합니다."</f>
        <v>2. ○○학교 ○○학년도 교복선정을 위한 교복선정위원회를 아래와 같이 구성하고자 합니다.</v>
      </c>
      <c r="C13" s="86"/>
      <c r="D13" s="86"/>
      <c r="E13" s="86"/>
      <c r="F13" s="86"/>
      <c r="G13" s="86"/>
      <c r="H13" s="86"/>
    </row>
    <row r="14" spans="1:8" ht="14.45" customHeight="1" x14ac:dyDescent="0.3">
      <c r="B14" s="37"/>
      <c r="C14" s="37"/>
      <c r="D14" s="37"/>
      <c r="E14" s="37"/>
      <c r="F14" s="37"/>
      <c r="G14" s="37"/>
      <c r="H14" s="37"/>
    </row>
    <row r="15" spans="1:8" ht="14.45" customHeight="1" x14ac:dyDescent="0.3">
      <c r="B15" s="85" t="s">
        <v>515</v>
      </c>
      <c r="C15" s="82"/>
      <c r="D15" s="82"/>
      <c r="E15" s="82"/>
      <c r="F15" s="82"/>
      <c r="G15" s="82"/>
      <c r="H15" s="82"/>
    </row>
    <row r="16" spans="1:8" ht="20.100000000000001" customHeight="1" x14ac:dyDescent="0.3">
      <c r="B16" s="87" t="s">
        <v>516</v>
      </c>
      <c r="C16" s="86"/>
      <c r="D16" s="86"/>
      <c r="E16" s="86"/>
      <c r="F16" s="86"/>
      <c r="G16" s="86"/>
      <c r="H16" s="86"/>
    </row>
    <row r="17" spans="2:8" ht="12" customHeight="1" x14ac:dyDescent="0.3">
      <c r="B17" s="86" t="s">
        <v>517</v>
      </c>
      <c r="C17" s="86"/>
      <c r="D17" s="86"/>
      <c r="E17" s="86"/>
      <c r="F17" s="86"/>
      <c r="G17" s="86"/>
      <c r="H17" s="86"/>
    </row>
    <row r="18" spans="2:8" ht="14.45" customHeight="1" x14ac:dyDescent="0.3">
      <c r="B18" s="85" t="s">
        <v>518</v>
      </c>
      <c r="C18" s="82"/>
      <c r="D18" s="82"/>
      <c r="E18" s="82"/>
      <c r="F18" s="82"/>
      <c r="G18" s="82"/>
      <c r="H18" s="82"/>
    </row>
    <row r="19" spans="2:8" ht="14.45" customHeight="1" x14ac:dyDescent="0.3">
      <c r="B19" s="82" t="s">
        <v>519</v>
      </c>
      <c r="C19" s="82"/>
      <c r="D19" s="82"/>
      <c r="E19" s="82"/>
      <c r="F19" s="82"/>
      <c r="G19" s="82"/>
      <c r="H19" s="82"/>
    </row>
    <row r="20" spans="2:8" ht="14.45" customHeight="1" x14ac:dyDescent="0.3">
      <c r="B20" s="82" t="s">
        <v>520</v>
      </c>
      <c r="C20" s="82"/>
      <c r="D20" s="82"/>
      <c r="E20" s="82"/>
      <c r="F20" s="82"/>
      <c r="G20" s="82"/>
      <c r="H20" s="82"/>
    </row>
    <row r="21" spans="2:8" ht="14.45" customHeight="1" x14ac:dyDescent="0.3">
      <c r="B21" s="82" t="s">
        <v>521</v>
      </c>
      <c r="C21" s="82"/>
      <c r="D21" s="82"/>
      <c r="E21" s="82"/>
      <c r="F21" s="82"/>
      <c r="G21" s="82"/>
      <c r="H21" s="82"/>
    </row>
    <row r="22" spans="2:8" ht="14.45" customHeight="1" x14ac:dyDescent="0.3">
      <c r="B22" s="82" t="s">
        <v>522</v>
      </c>
      <c r="C22" s="82"/>
      <c r="D22" s="82"/>
      <c r="E22" s="82"/>
      <c r="F22" s="82"/>
      <c r="G22" s="82"/>
      <c r="H22" s="82"/>
    </row>
    <row r="23" spans="2:8" ht="14.45" customHeight="1" x14ac:dyDescent="0.3">
      <c r="B23" s="37"/>
      <c r="C23" s="37"/>
      <c r="D23" s="37"/>
      <c r="E23" s="37"/>
      <c r="F23" s="37"/>
      <c r="G23" s="37"/>
      <c r="H23" s="37"/>
    </row>
    <row r="24" spans="2:8" ht="14.45" customHeight="1" x14ac:dyDescent="0.3">
      <c r="B24" s="85" t="s">
        <v>523</v>
      </c>
      <c r="C24" s="82"/>
      <c r="D24" s="82"/>
      <c r="E24" s="82"/>
      <c r="F24" s="82"/>
      <c r="G24" s="82"/>
      <c r="H24" s="82"/>
    </row>
    <row r="25" spans="2:8" ht="14.45" customHeight="1" x14ac:dyDescent="0.3">
      <c r="B25" s="32" t="s">
        <v>524</v>
      </c>
      <c r="C25" s="32" t="s">
        <v>331</v>
      </c>
      <c r="D25" s="32" t="s">
        <v>525</v>
      </c>
      <c r="E25" s="32" t="s">
        <v>526</v>
      </c>
      <c r="F25" s="88" t="s">
        <v>320</v>
      </c>
      <c r="G25" s="82"/>
      <c r="H25" s="82"/>
    </row>
    <row r="26" spans="2:8" ht="14.45" customHeight="1" x14ac:dyDescent="0.3">
      <c r="B26" s="37" t="str">
        <f>IF(기초자료입력!B58&lt;&gt;"",1,"")</f>
        <v/>
      </c>
      <c r="C26" s="37" t="str">
        <f>IF(기초자료입력!B58&lt;&gt;"","위원장","")</f>
        <v/>
      </c>
      <c r="D26" s="37" t="str">
        <f>IF(기초자료입력!B58&lt;&gt;"",기초자료입력!B58,"")</f>
        <v/>
      </c>
      <c r="E26" s="37" t="str">
        <f>IF(기초자료입력!C58&lt;&gt;"",기초자료입력!C58,"")</f>
        <v/>
      </c>
      <c r="F26" s="82"/>
      <c r="G26" s="82"/>
      <c r="H26" s="82"/>
    </row>
    <row r="27" spans="2:8" ht="14.45" customHeight="1" x14ac:dyDescent="0.3">
      <c r="B27" s="37" t="str">
        <f>IF(기초자료입력!B59&lt;&gt;"",2,"")</f>
        <v/>
      </c>
      <c r="C27" s="37" t="str">
        <f>IF(기초자료입력!B59&lt;&gt;"","위원","")</f>
        <v/>
      </c>
      <c r="D27" s="37" t="str">
        <f>IF(기초자료입력!B59&lt;&gt;"",기초자료입력!B59,"")</f>
        <v/>
      </c>
      <c r="E27" s="37" t="str">
        <f>IF(기초자료입력!C59&lt;&gt;"",기초자료입력!C59,"")</f>
        <v/>
      </c>
      <c r="F27" s="82"/>
      <c r="G27" s="82"/>
      <c r="H27" s="82"/>
    </row>
    <row r="28" spans="2:8" ht="14.45" customHeight="1" x14ac:dyDescent="0.3">
      <c r="B28" s="37" t="str">
        <f>IF(기초자료입력!B60&lt;&gt;"",3,"")</f>
        <v/>
      </c>
      <c r="C28" s="37" t="str">
        <f>IF(기초자료입력!B60&lt;&gt;"","위원","")</f>
        <v/>
      </c>
      <c r="D28" s="37" t="str">
        <f>IF(기초자료입력!B60&lt;&gt;"",기초자료입력!B60,"")</f>
        <v/>
      </c>
      <c r="E28" s="37" t="str">
        <f>IF(기초자료입력!C60&lt;&gt;"",기초자료입력!C60,"")</f>
        <v/>
      </c>
      <c r="F28" s="82"/>
      <c r="G28" s="82"/>
      <c r="H28" s="82"/>
    </row>
    <row r="29" spans="2:8" ht="14.45" customHeight="1" x14ac:dyDescent="0.3">
      <c r="B29" s="37" t="str">
        <f>IF(기초자료입력!B61&lt;&gt;"",4,"")</f>
        <v/>
      </c>
      <c r="C29" s="37" t="str">
        <f>IF(기초자료입력!B61&lt;&gt;"","위원","")</f>
        <v/>
      </c>
      <c r="D29" s="37" t="str">
        <f>IF(기초자료입력!B61&lt;&gt;"",기초자료입력!B61,"")</f>
        <v/>
      </c>
      <c r="E29" s="37" t="str">
        <f>IF(기초자료입력!C61&lt;&gt;"",기초자료입력!C61,"")</f>
        <v/>
      </c>
      <c r="F29" s="82"/>
      <c r="G29" s="82"/>
      <c r="H29" s="82"/>
    </row>
    <row r="30" spans="2:8" ht="14.45" customHeight="1" x14ac:dyDescent="0.3">
      <c r="B30" s="37" t="str">
        <f>IF(기초자료입력!B62&lt;&gt;"",5,"")</f>
        <v/>
      </c>
      <c r="C30" s="37" t="str">
        <f>IF(기초자료입력!B62&lt;&gt;"","위원","")</f>
        <v/>
      </c>
      <c r="D30" s="37" t="str">
        <f>IF(기초자료입력!B62&lt;&gt;"",기초자료입력!B62,"")</f>
        <v/>
      </c>
      <c r="E30" s="37" t="str">
        <f>IF(기초자료입력!C62&lt;&gt;"",기초자료입력!C62,"")</f>
        <v/>
      </c>
      <c r="F30" s="82"/>
      <c r="G30" s="82"/>
      <c r="H30" s="82"/>
    </row>
    <row r="31" spans="2:8" ht="14.45" customHeight="1" x14ac:dyDescent="0.3">
      <c r="B31" s="37" t="str">
        <f>IF(기초자료입력!B63&lt;&gt;"",6,"")</f>
        <v/>
      </c>
      <c r="C31" s="37" t="str">
        <f>IF(기초자료입력!B63&lt;&gt;"","위원","")</f>
        <v/>
      </c>
      <c r="D31" s="37" t="str">
        <f>IF(기초자료입력!B63&lt;&gt;"",기초자료입력!B63,"")</f>
        <v/>
      </c>
      <c r="E31" s="37" t="str">
        <f>IF(기초자료입력!C63&lt;&gt;"",기초자료입력!C63,"")</f>
        <v/>
      </c>
      <c r="F31" s="82"/>
      <c r="G31" s="82"/>
      <c r="H31" s="82"/>
    </row>
    <row r="32" spans="2:8" ht="14.45" customHeight="1" x14ac:dyDescent="0.3">
      <c r="B32" s="37" t="str">
        <f>IF(기초자료입력!B64&lt;&gt;"",7,"")</f>
        <v/>
      </c>
      <c r="C32" s="37" t="str">
        <f>IF(기초자료입력!B64&lt;&gt;"","위원","")</f>
        <v/>
      </c>
      <c r="D32" s="37" t="str">
        <f>IF(기초자료입력!B64&lt;&gt;"",기초자료입력!B64,"")</f>
        <v/>
      </c>
      <c r="E32" s="37" t="str">
        <f>IF(기초자료입력!C64&lt;&gt;"",기초자료입력!C64,"")</f>
        <v/>
      </c>
      <c r="F32" s="82"/>
      <c r="G32" s="82"/>
      <c r="H32" s="82"/>
    </row>
    <row r="33" spans="2:8" ht="14.45" customHeight="1" x14ac:dyDescent="0.3">
      <c r="B33" s="37" t="str">
        <f>IF(기초자료입력!B65&lt;&gt;"",8,"")</f>
        <v/>
      </c>
      <c r="C33" s="37" t="str">
        <f>IF(기초자료입력!B65&lt;&gt;"","위원","")</f>
        <v/>
      </c>
      <c r="D33" s="37" t="str">
        <f>IF(기초자료입력!B65&lt;&gt;"",기초자료입력!B65,"")</f>
        <v/>
      </c>
      <c r="E33" s="37" t="str">
        <f>IF(기초자료입력!C65&lt;&gt;"",기초자료입력!C65,"")</f>
        <v/>
      </c>
      <c r="F33" s="82"/>
      <c r="G33" s="82"/>
      <c r="H33" s="82"/>
    </row>
    <row r="34" spans="2:8" ht="14.45" customHeight="1" x14ac:dyDescent="0.3">
      <c r="B34" s="37" t="str">
        <f>IF(기초자료입력!B66&lt;&gt;"",9,"")</f>
        <v/>
      </c>
      <c r="C34" s="37" t="str">
        <f>IF(기초자료입력!B66&lt;&gt;"","위원","")</f>
        <v/>
      </c>
      <c r="D34" s="37" t="str">
        <f>IF(기초자료입력!B66&lt;&gt;"",기초자료입력!B66,"")</f>
        <v/>
      </c>
      <c r="E34" s="37" t="str">
        <f>IF(기초자료입력!C66&lt;&gt;"",기초자료입력!C66,"")</f>
        <v/>
      </c>
      <c r="F34" s="82"/>
      <c r="G34" s="82"/>
      <c r="H34" s="82"/>
    </row>
    <row r="35" spans="2:8" ht="14.45" customHeight="1" x14ac:dyDescent="0.3">
      <c r="B35" s="37" t="str">
        <f>IF(기초자료입력!B67&lt;&gt;"",10,"")</f>
        <v/>
      </c>
      <c r="C35" s="37" t="str">
        <f>IF(기초자료입력!B67&lt;&gt;"","위원","")</f>
        <v/>
      </c>
      <c r="D35" s="37" t="str">
        <f>IF(기초자료입력!B67&lt;&gt;"",기초자료입력!B67,"")</f>
        <v/>
      </c>
      <c r="E35" s="37" t="str">
        <f>IF(기초자료입력!C67&lt;&gt;"",기초자료입력!C67,"")</f>
        <v/>
      </c>
      <c r="F35" s="82"/>
      <c r="G35" s="82"/>
      <c r="H35" s="82"/>
    </row>
    <row r="36" spans="2:8" ht="14.45" customHeight="1" x14ac:dyDescent="0.3">
      <c r="B36" s="38"/>
      <c r="C36" s="38"/>
      <c r="D36" s="38"/>
      <c r="E36" s="38"/>
      <c r="F36" s="38"/>
      <c r="G36" s="38"/>
      <c r="H36" s="38"/>
    </row>
    <row r="37" spans="2:8" ht="14.45" customHeight="1" x14ac:dyDescent="0.3">
      <c r="B37" s="90" t="s">
        <v>527</v>
      </c>
      <c r="C37" s="89"/>
      <c r="D37" s="89"/>
      <c r="E37" s="89"/>
      <c r="F37" s="89"/>
      <c r="G37" s="89"/>
      <c r="H37" s="89"/>
    </row>
    <row r="38" spans="2:8" ht="14.45" customHeight="1" x14ac:dyDescent="0.3">
      <c r="B38" s="89" t="s">
        <v>528</v>
      </c>
      <c r="C38" s="89"/>
      <c r="D38" s="89"/>
      <c r="E38" s="89"/>
      <c r="F38" s="89"/>
      <c r="G38" s="89"/>
      <c r="H38" s="89"/>
    </row>
    <row r="39" spans="2:8" ht="14.45" customHeight="1" x14ac:dyDescent="0.3">
      <c r="B39" s="38"/>
      <c r="C39" s="38"/>
      <c r="D39" s="38"/>
      <c r="E39" s="38"/>
      <c r="F39" s="38"/>
      <c r="G39" s="38"/>
      <c r="H39" s="38"/>
    </row>
    <row r="40" spans="2:8" ht="14.45" customHeight="1" x14ac:dyDescent="0.3">
      <c r="B40" s="38"/>
      <c r="C40" s="38"/>
      <c r="D40" s="38"/>
      <c r="E40" s="38"/>
      <c r="F40" s="54" t="s">
        <v>297</v>
      </c>
      <c r="G40" s="54" t="s">
        <v>308</v>
      </c>
      <c r="H40" s="54" t="s">
        <v>298</v>
      </c>
    </row>
    <row r="41" spans="2:8" ht="14.45" customHeight="1" x14ac:dyDescent="0.3">
      <c r="B41" s="53" t="s">
        <v>309</v>
      </c>
      <c r="C41" s="89" t="str">
        <f>IF(기초자료입력!C9&lt;&gt;"",기초자료입력!C9,"")</f>
        <v/>
      </c>
      <c r="D41" s="89"/>
      <c r="E41" s="89"/>
      <c r="F41" s="54" t="s">
        <v>310</v>
      </c>
      <c r="G41" s="82"/>
      <c r="H41" s="82"/>
    </row>
    <row r="42" spans="2:8" ht="14.45" customHeight="1" x14ac:dyDescent="0.3">
      <c r="B42" s="53" t="s">
        <v>311</v>
      </c>
      <c r="C42" s="38"/>
      <c r="D42" s="53" t="s">
        <v>312</v>
      </c>
      <c r="E42" s="89"/>
      <c r="F42" s="82"/>
      <c r="G42" s="82"/>
      <c r="H42" s="82"/>
    </row>
    <row r="43" spans="2:8" ht="14.45" customHeight="1" x14ac:dyDescent="0.3">
      <c r="B43" s="53" t="s">
        <v>313</v>
      </c>
      <c r="C43" s="38"/>
      <c r="D43" s="53" t="s">
        <v>314</v>
      </c>
      <c r="E43" s="38"/>
      <c r="F43" s="54" t="s">
        <v>315</v>
      </c>
      <c r="G43" s="82"/>
      <c r="H43" s="82"/>
    </row>
  </sheetData>
  <mergeCells count="32">
    <mergeCell ref="E42:H42"/>
    <mergeCell ref="G43:H43"/>
    <mergeCell ref="F34:H34"/>
    <mergeCell ref="F35:H35"/>
    <mergeCell ref="B37:H37"/>
    <mergeCell ref="B38:H38"/>
    <mergeCell ref="C41:E41"/>
    <mergeCell ref="G41:H41"/>
    <mergeCell ref="F33:H33"/>
    <mergeCell ref="B21:H21"/>
    <mergeCell ref="B22:H22"/>
    <mergeCell ref="B24:H24"/>
    <mergeCell ref="F25:H25"/>
    <mergeCell ref="F26:H26"/>
    <mergeCell ref="F27:H27"/>
    <mergeCell ref="F28:H28"/>
    <mergeCell ref="F29:H29"/>
    <mergeCell ref="F30:H30"/>
    <mergeCell ref="F31:H31"/>
    <mergeCell ref="F32:H32"/>
    <mergeCell ref="B20:H20"/>
    <mergeCell ref="B3:H3"/>
    <mergeCell ref="C7:H7"/>
    <mergeCell ref="C8:H8"/>
    <mergeCell ref="C9:H9"/>
    <mergeCell ref="C11:H11"/>
    <mergeCell ref="B13:H13"/>
    <mergeCell ref="B15:H15"/>
    <mergeCell ref="B16:H16"/>
    <mergeCell ref="B17:H17"/>
    <mergeCell ref="B18:H18"/>
    <mergeCell ref="B19:H19"/>
  </mergeCells>
  <phoneticPr fontId="6" type="noConversion"/>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8194"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F08E7-6C37-412B-BC95-5B792CDF7E81}">
  <sheetPr codeName="Sheet9"/>
  <dimension ref="A1:E21"/>
  <sheetViews>
    <sheetView zoomScaleNormal="100" workbookViewId="0"/>
  </sheetViews>
  <sheetFormatPr defaultRowHeight="16.5" x14ac:dyDescent="0.3"/>
  <cols>
    <col min="1" max="1" width="3.125" customWidth="1"/>
    <col min="2" max="5" width="20.625" customWidth="1"/>
  </cols>
  <sheetData>
    <row r="1" spans="1:5" ht="12" customHeight="1" x14ac:dyDescent="0.3">
      <c r="A1" s="20" t="s">
        <v>529</v>
      </c>
    </row>
    <row r="3" spans="1:5" ht="26.1" customHeight="1" x14ac:dyDescent="0.3">
      <c r="B3" s="93" t="s">
        <v>530</v>
      </c>
      <c r="C3" s="92"/>
      <c r="D3" s="92"/>
      <c r="E3" s="92"/>
    </row>
    <row r="4" spans="1:5" ht="26.1" customHeight="1" x14ac:dyDescent="0.3">
      <c r="B4" s="92"/>
      <c r="C4" s="92"/>
      <c r="D4" s="92"/>
      <c r="E4" s="92"/>
    </row>
    <row r="5" spans="1:5" ht="9.9499999999999993" customHeight="1" x14ac:dyDescent="0.3">
      <c r="B5" s="55"/>
      <c r="C5" s="55"/>
      <c r="D5" s="55"/>
      <c r="E5" s="55"/>
    </row>
    <row r="6" spans="1:5" ht="27.95" customHeight="1" x14ac:dyDescent="0.3">
      <c r="B6" s="94" t="str">
        <f>"본인은 "&amp;IF(기초자료입력!C4&lt;&gt;"",기초자료입력!C4,"○○학교")&amp;" 교복선정위원회 활동을 공정하게 수행할 것이며, 교복가격 안정화에 적극 노력하겠습니다."</f>
        <v>본인은 ○○학교 교복선정위원회 활동을 공정하게 수행할 것이며, 교복가격 안정화에 적극 노력하겠습니다.</v>
      </c>
      <c r="C6" s="94"/>
      <c r="D6" s="94"/>
      <c r="E6" s="94"/>
    </row>
    <row r="7" spans="1:5" ht="27.95" customHeight="1" x14ac:dyDescent="0.3">
      <c r="B7" s="94" t="str">
        <f>"아울러 본인은 "&amp;IF(기초자료입력!C4&lt;&gt;"",기초자료입력!C4,"○○학교")&amp;" 교복 입찰에 참가한(또는 앞으로 참가할) 업체와 전혀 관련이 없음을 확인합니다."</f>
        <v>아울러 본인은 ○○학교 교복 입찰에 참가한(또는 앞으로 참가할) 업체와 전혀 관련이 없음을 확인합니다.</v>
      </c>
      <c r="C7" s="94"/>
      <c r="D7" s="94"/>
      <c r="E7" s="94"/>
    </row>
    <row r="8" spans="1:5" ht="27.95" customHeight="1" x14ac:dyDescent="0.3">
      <c r="B8" s="94" t="s">
        <v>531</v>
      </c>
      <c r="C8" s="94"/>
      <c r="D8" s="94"/>
      <c r="E8" s="94"/>
    </row>
    <row r="9" spans="1:5" ht="14.1" customHeight="1" x14ac:dyDescent="0.3">
      <c r="B9" s="55"/>
      <c r="C9" s="55"/>
      <c r="D9" s="55"/>
      <c r="E9" s="55"/>
    </row>
    <row r="10" spans="1:5" ht="14.1" customHeight="1" x14ac:dyDescent="0.3">
      <c r="B10" s="55"/>
      <c r="C10" s="55"/>
      <c r="D10" s="55"/>
      <c r="E10" s="55"/>
    </row>
    <row r="11" spans="1:5" ht="9.9499999999999993" customHeight="1" x14ac:dyDescent="0.3">
      <c r="B11" s="55"/>
      <c r="C11" s="55"/>
      <c r="D11" s="55"/>
      <c r="E11" s="55"/>
    </row>
    <row r="12" spans="1:5" ht="20.100000000000001" customHeight="1" x14ac:dyDescent="0.3">
      <c r="B12" s="92" t="str">
        <f>IF(기초자료입력!$C$5="","20○○.  ○○  .  ○○  .","20"&amp;RIGHT(기초자료입력!$C$5,2)&amp;".  ○○  .  ○○  .")</f>
        <v>20○○.  ○○  .  ○○  .</v>
      </c>
      <c r="C12" s="92"/>
      <c r="D12" s="92"/>
      <c r="E12" s="92"/>
    </row>
    <row r="13" spans="1:5" ht="14.1" customHeight="1" x14ac:dyDescent="0.3">
      <c r="B13" s="55"/>
      <c r="C13" s="55"/>
      <c r="D13" s="55"/>
      <c r="E13" s="55"/>
    </row>
    <row r="14" spans="1:5" ht="21.95" customHeight="1" x14ac:dyDescent="0.3">
      <c r="B14" s="91" t="s">
        <v>532</v>
      </c>
      <c r="C14" s="91"/>
      <c r="D14" s="91"/>
      <c r="E14" s="91"/>
    </row>
    <row r="15" spans="1:5" ht="14.1" customHeight="1" x14ac:dyDescent="0.3">
      <c r="B15" s="56"/>
      <c r="C15" s="56"/>
      <c r="D15" s="56"/>
      <c r="E15" s="56"/>
    </row>
    <row r="16" spans="1:5" ht="21.95" customHeight="1" x14ac:dyDescent="0.3">
      <c r="B16" s="91" t="s">
        <v>533</v>
      </c>
      <c r="C16" s="91"/>
      <c r="D16" s="91"/>
      <c r="E16" s="91"/>
    </row>
    <row r="17" spans="2:5" ht="14.1" customHeight="1" x14ac:dyDescent="0.3">
      <c r="B17" s="56"/>
      <c r="C17" s="56"/>
      <c r="D17" s="56"/>
      <c r="E17" s="56"/>
    </row>
    <row r="18" spans="2:5" ht="21.95" customHeight="1" x14ac:dyDescent="0.3">
      <c r="B18" s="91" t="s">
        <v>534</v>
      </c>
      <c r="C18" s="91"/>
      <c r="D18" s="91"/>
      <c r="E18" s="91"/>
    </row>
    <row r="19" spans="2:5" ht="14.1" customHeight="1" x14ac:dyDescent="0.3">
      <c r="B19" s="55"/>
      <c r="C19" s="55"/>
      <c r="D19" s="55"/>
      <c r="E19" s="55"/>
    </row>
    <row r="20" spans="2:5" ht="9.9499999999999993" customHeight="1" x14ac:dyDescent="0.3">
      <c r="B20" s="55"/>
      <c r="C20" s="55"/>
      <c r="D20" s="55"/>
      <c r="E20" s="55"/>
    </row>
    <row r="21" spans="2:5" ht="20.100000000000001" customHeight="1" x14ac:dyDescent="0.3">
      <c r="B21" s="92" t="str">
        <f>IF(기초자료입력!$C$4="","○○학교장 귀하",기초자료입력!$C$4&amp;"장 귀하")</f>
        <v>○○학교장 귀하</v>
      </c>
      <c r="C21" s="92"/>
      <c r="D21" s="92"/>
      <c r="E21" s="92"/>
    </row>
  </sheetData>
  <mergeCells count="9">
    <mergeCell ref="B16:E16"/>
    <mergeCell ref="B18:E18"/>
    <mergeCell ref="B21:E21"/>
    <mergeCell ref="B3:E4"/>
    <mergeCell ref="B6:E6"/>
    <mergeCell ref="B7:E7"/>
    <mergeCell ref="B8:E8"/>
    <mergeCell ref="B12:E12"/>
    <mergeCell ref="B14:E14"/>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76200</xdr:rowOff>
                  </to>
                </anchor>
              </controlPr>
            </control>
          </mc:Choice>
        </mc:AlternateContent>
        <mc:AlternateContent xmlns:mc="http://schemas.openxmlformats.org/markup-compatibility/2006">
          <mc:Choice Requires="x14">
            <control shapeId="9218"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522AE-5743-4D2C-B868-29B92395B7D2}">
  <sheetPr codeName="Sheet10"/>
  <dimension ref="A1:E20"/>
  <sheetViews>
    <sheetView workbookViewId="0"/>
  </sheetViews>
  <sheetFormatPr defaultRowHeight="16.5" x14ac:dyDescent="0.3"/>
  <cols>
    <col min="1" max="1" width="3.125" customWidth="1"/>
    <col min="2" max="5" width="20.625" customWidth="1"/>
  </cols>
  <sheetData>
    <row r="1" spans="1:5" ht="12" customHeight="1" x14ac:dyDescent="0.3">
      <c r="A1" s="20" t="s">
        <v>535</v>
      </c>
    </row>
    <row r="3" spans="1:5" ht="26.1" customHeight="1" x14ac:dyDescent="0.3">
      <c r="B3" s="93" t="s">
        <v>536</v>
      </c>
      <c r="C3" s="92"/>
      <c r="D3" s="92"/>
      <c r="E3" s="92"/>
    </row>
    <row r="4" spans="1:5" ht="26.1" customHeight="1" x14ac:dyDescent="0.3">
      <c r="B4" s="92"/>
      <c r="C4" s="92"/>
      <c r="D4" s="92"/>
      <c r="E4" s="92"/>
    </row>
    <row r="5" spans="1:5" ht="9.9499999999999993" customHeight="1" x14ac:dyDescent="0.3">
      <c r="B5" s="55"/>
      <c r="C5" s="55"/>
      <c r="D5" s="55"/>
      <c r="E5" s="55"/>
    </row>
    <row r="6" spans="1:5" ht="27.95" customHeight="1" x14ac:dyDescent="0.3">
      <c r="B6" s="94" t="str">
        <f>"본인은      년      월      일 "&amp;IF(기초자료입력!C4&lt;&gt;"",기초자료입력!C4,"○○학교")&amp;"에서 실시하는 교복 학교주관구매업체 선정을 위한 평가함에 있어 「부패 없는 투명한 사회」 구현 등을 위하여 다음 사항을 준수할 것을 서약합니다."</f>
        <v>본인은      년      월      일 ○○학교에서 실시하는 교복 학교주관구매업체 선정을 위한 평가함에 있어 「부패 없는 투명한 사회」 구현 등을 위하여 다음 사항을 준수할 것을 서약합니다.</v>
      </c>
      <c r="C6" s="94"/>
      <c r="D6" s="94"/>
      <c r="E6" s="94"/>
    </row>
    <row r="7" spans="1:5" ht="9.9499999999999993" customHeight="1" x14ac:dyDescent="0.3">
      <c r="B7" s="55"/>
      <c r="C7" s="55"/>
      <c r="D7" s="55"/>
      <c r="E7" s="55"/>
    </row>
    <row r="8" spans="1:5" ht="26.1" customHeight="1" x14ac:dyDescent="0.3">
      <c r="B8" s="94" t="str">
        <f>"1. 20○○학년도 "&amp;IF(기초자료입력!C4&lt;&gt;"",기초자료입력!C4,"○○학교")&amp;" 교복 학교주관구매업체 선정을 위해 제시된 항목에 따라 객관적이고 공정하게 심사할 것을 약속합니다."</f>
        <v>1. 20○○학년도 ○○학교 교복 학교주관구매업체 선정을 위해 제시된 항목에 따라 객관적이고 공정하게 심사할 것을 약속합니다.</v>
      </c>
      <c r="C8" s="94"/>
      <c r="D8" s="94"/>
      <c r="E8" s="94"/>
    </row>
    <row r="9" spans="1:5" ht="26.1" customHeight="1" x14ac:dyDescent="0.3">
      <c r="B9" s="94" t="str">
        <f>"2.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f>
        <v>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v>
      </c>
      <c r="C9" s="94"/>
      <c r="D9" s="94"/>
      <c r="E9" s="94"/>
    </row>
    <row r="10" spans="1:5" ht="26.1" customHeight="1" x14ac:dyDescent="0.3">
      <c r="B10" s="94" t="str">
        <f>"3. 업무상 취득한 비밀을 준수하고 보안관계 규정 및 지침을 성실히 수행하겠습니다."</f>
        <v>3. 업무상 취득한 비밀을 준수하고 보안관계 규정 및 지침을 성실히 수행하겠습니다.</v>
      </c>
      <c r="C10" s="94"/>
      <c r="D10" s="94"/>
      <c r="E10" s="94"/>
    </row>
    <row r="11" spans="1:5" ht="26.1" customHeight="1" x14ac:dyDescent="0.3">
      <c r="B11" s="94" t="str">
        <f>"4. 평가와 관련하여 알게 된 업무상 비밀을 타인에게 누설하지 않겠으며, 업무상 취득한 비밀을 누설할 때에는 관계법규에 따라 처벌을 받는 것에 이의를 제기하지 않겠습니다."</f>
        <v>4. 평가와 관련하여 알게 된 업무상 비밀을 타인에게 누설하지 않겠으며, 업무상 취득한 비밀을 누설할 때에는 관계법규에 따라 처벌을 받는 것에 이의를 제기하지 않겠습니다.</v>
      </c>
      <c r="C11" s="94"/>
      <c r="D11" s="94"/>
      <c r="E11" s="94"/>
    </row>
    <row r="12" spans="1:5" ht="9.9499999999999993" customHeight="1" x14ac:dyDescent="0.3">
      <c r="B12" s="55"/>
      <c r="C12" s="55"/>
      <c r="D12" s="55"/>
      <c r="E12" s="55"/>
    </row>
    <row r="13" spans="1:5" ht="14.1" customHeight="1" x14ac:dyDescent="0.3">
      <c r="B13" s="55"/>
      <c r="C13" s="55"/>
      <c r="D13" s="55"/>
      <c r="E13" s="55"/>
    </row>
    <row r="14" spans="1:5" ht="20.100000000000001" customHeight="1" x14ac:dyDescent="0.3">
      <c r="B14" s="92" t="str">
        <f>"20      년      월      일"</f>
        <v>20      년      월      일</v>
      </c>
      <c r="C14" s="92"/>
      <c r="D14" s="92"/>
      <c r="E14" s="92"/>
    </row>
    <row r="15" spans="1:5" ht="14.1" customHeight="1" x14ac:dyDescent="0.3">
      <c r="B15" s="55"/>
      <c r="C15" s="55"/>
      <c r="D15" s="55"/>
      <c r="E15" s="55"/>
    </row>
    <row r="16" spans="1:5" ht="14.1" customHeight="1" x14ac:dyDescent="0.3">
      <c r="B16" s="55"/>
      <c r="C16" s="55"/>
      <c r="D16" s="55"/>
      <c r="E16" s="55"/>
    </row>
    <row r="17" spans="2:5" ht="21.95" customHeight="1" x14ac:dyDescent="0.3">
      <c r="B17" s="91" t="str">
        <f>"서 약 자 성 명 :                              (인)"</f>
        <v>서 약 자 성 명 :                              (인)</v>
      </c>
      <c r="C17" s="91"/>
      <c r="D17" s="91"/>
      <c r="E17" s="91"/>
    </row>
    <row r="18" spans="2:5" ht="14.1" customHeight="1" x14ac:dyDescent="0.3">
      <c r="B18" s="55"/>
      <c r="C18" s="55"/>
      <c r="D18" s="55"/>
      <c r="E18" s="55"/>
    </row>
    <row r="19" spans="2:5" ht="9.9499999999999993" customHeight="1" x14ac:dyDescent="0.3">
      <c r="B19" s="55"/>
      <c r="C19" s="55"/>
      <c r="D19" s="55"/>
      <c r="E19" s="55"/>
    </row>
    <row r="20" spans="2:5" ht="20.100000000000001" customHeight="1" x14ac:dyDescent="0.3">
      <c r="B20" s="92" t="str">
        <f>IF(기초자료입력!$C$4="","○○○학교장 귀하",기초자료입력!$C$4&amp;"장 귀하")</f>
        <v>○○○학교장 귀하</v>
      </c>
      <c r="C20" s="92"/>
      <c r="D20" s="92"/>
      <c r="E20" s="92"/>
    </row>
  </sheetData>
  <mergeCells count="9">
    <mergeCell ref="B14:E14"/>
    <mergeCell ref="B17:E17"/>
    <mergeCell ref="B20:E20"/>
    <mergeCell ref="B3:E4"/>
    <mergeCell ref="B6:E6"/>
    <mergeCell ref="B8:E8"/>
    <mergeCell ref="B9:E9"/>
    <mergeCell ref="B10:E10"/>
    <mergeCell ref="B11:E11"/>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76200</xdr:rowOff>
                  </to>
                </anchor>
              </controlPr>
            </control>
          </mc:Choice>
        </mc:AlternateContent>
        <mc:AlternateContent xmlns:mc="http://schemas.openxmlformats.org/markup-compatibility/2006">
          <mc:Choice Requires="x14">
            <control shapeId="10242"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FB5C8-115C-4852-A1CB-7C65FD766E7E}">
  <sheetPr codeName="Sheet11"/>
  <dimension ref="A1:H20"/>
  <sheetViews>
    <sheetView workbookViewId="0"/>
  </sheetViews>
  <sheetFormatPr defaultRowHeight="16.5" x14ac:dyDescent="0.3"/>
  <cols>
    <col min="1" max="1" width="3.125" customWidth="1"/>
    <col min="2" max="2" width="11.625" customWidth="1"/>
    <col min="3" max="8" width="9.625" customWidth="1"/>
  </cols>
  <sheetData>
    <row r="1" spans="1:8" x14ac:dyDescent="0.3">
      <c r="A1" s="20" t="s">
        <v>537</v>
      </c>
    </row>
    <row r="3" spans="1:8" ht="24" x14ac:dyDescent="0.3">
      <c r="B3" s="83" t="s">
        <v>538</v>
      </c>
      <c r="C3" s="84"/>
      <c r="D3" s="84"/>
      <c r="E3" s="84"/>
      <c r="F3" s="84"/>
      <c r="G3" s="84"/>
      <c r="H3" s="84"/>
    </row>
    <row r="5" spans="1:8" x14ac:dyDescent="0.3">
      <c r="B5" s="25" t="s">
        <v>26</v>
      </c>
      <c r="C5" s="22" t="str">
        <f>IF(기초자료입력!C9&lt;&gt;"",기초자료입력!C9,"")</f>
        <v/>
      </c>
      <c r="D5" s="22"/>
      <c r="E5" s="25" t="s">
        <v>293</v>
      </c>
      <c r="F5" s="22" t="str">
        <f>IF(기초자료입력!C8&lt;&gt;"",TEXT(기초자료입력!C8,"yyyy-mm-dd"),"")</f>
        <v/>
      </c>
      <c r="G5" s="22"/>
      <c r="H5" s="22"/>
    </row>
    <row r="6" spans="1:8" x14ac:dyDescent="0.3">
      <c r="B6" s="22"/>
      <c r="C6" s="22"/>
      <c r="D6" s="22"/>
      <c r="E6" s="22"/>
      <c r="F6" s="22"/>
      <c r="G6" s="22"/>
      <c r="H6" s="22"/>
    </row>
    <row r="7" spans="1:8" x14ac:dyDescent="0.3">
      <c r="B7" s="25" t="s">
        <v>294</v>
      </c>
      <c r="C7" s="96" t="s">
        <v>514</v>
      </c>
      <c r="D7" s="96"/>
      <c r="E7" s="96"/>
      <c r="F7" s="96"/>
      <c r="G7" s="96"/>
      <c r="H7" s="96"/>
    </row>
    <row r="8" spans="1:8" x14ac:dyDescent="0.3">
      <c r="B8" s="25" t="s">
        <v>301</v>
      </c>
      <c r="C8" s="96"/>
      <c r="D8" s="96"/>
      <c r="E8" s="96"/>
      <c r="F8" s="96"/>
      <c r="G8" s="96"/>
      <c r="H8" s="96"/>
    </row>
    <row r="9" spans="1:8" x14ac:dyDescent="0.3">
      <c r="B9" s="25" t="s">
        <v>295</v>
      </c>
      <c r="C9" s="97" t="str">
        <f>IF(기초자료입력!C5&lt;&gt;"",기초자료입력!C5&amp;"학년도 교복 학교주관구매 추진 계획(안)","교복 학교주관구매 추진 계획(안)")</f>
        <v>교복 학교주관구매 추진 계획(안)</v>
      </c>
      <c r="D9" s="96"/>
      <c r="E9" s="96"/>
      <c r="F9" s="96"/>
      <c r="G9" s="96"/>
      <c r="H9" s="96"/>
    </row>
    <row r="10" spans="1:8" x14ac:dyDescent="0.3">
      <c r="B10" s="21"/>
      <c r="C10" s="21"/>
      <c r="D10" s="21"/>
      <c r="E10" s="21"/>
      <c r="F10" s="21"/>
      <c r="G10" s="21"/>
      <c r="H10" s="21"/>
    </row>
    <row r="11" spans="1:8" x14ac:dyDescent="0.3">
      <c r="B11" s="23" t="s">
        <v>302</v>
      </c>
      <c r="C11" s="98" t="str">
        <f>IF(기초자료입력!C23&lt;&gt;"",기초자료입력!C23,"")</f>
        <v/>
      </c>
      <c r="D11" s="98"/>
      <c r="E11" s="98"/>
      <c r="F11" s="98"/>
      <c r="G11" s="98"/>
      <c r="H11" s="98"/>
    </row>
    <row r="12" spans="1:8" x14ac:dyDescent="0.3">
      <c r="B12" s="21"/>
      <c r="C12" s="21"/>
      <c r="D12" s="21"/>
      <c r="E12" s="21"/>
      <c r="F12" s="21"/>
      <c r="G12" s="21"/>
      <c r="H12" s="21"/>
    </row>
    <row r="13" spans="1:8" ht="27.95" customHeight="1" x14ac:dyDescent="0.3">
      <c r="B13" s="95" t="str">
        <f>"2. 공정하고 투명한 교복 선정 및 합리적인 교복 구매를 위해 "&amp;IF(기초자료입력!C4&lt;&gt;"",기초자료입력!C4,"○○학교")&amp;" "&amp;IF(기초자료입력!C5&lt;&gt;"",기초자료입력!C5,"○○")&amp;"학년도 교복 학교주관구매 계획을 붙임과 같이 수립하여 업무 추진에 만전을 기하고자 합니다."</f>
        <v>2. 공정하고 투명한 교복 선정 및 합리적인 교복 구매를 위해 ○○학교 ○○학년도 교복 학교주관구매 계획을 붙임과 같이 수립하여 업무 추진에 만전을 기하고자 합니다.</v>
      </c>
      <c r="C13" s="95"/>
      <c r="D13" s="95"/>
      <c r="E13" s="95"/>
      <c r="F13" s="95"/>
      <c r="G13" s="95"/>
      <c r="H13" s="95"/>
    </row>
    <row r="14" spans="1:8" x14ac:dyDescent="0.3">
      <c r="B14" s="21"/>
      <c r="C14" s="21"/>
      <c r="D14" s="21"/>
      <c r="E14" s="21"/>
      <c r="F14" s="21"/>
      <c r="G14" s="21"/>
      <c r="H14" s="21"/>
    </row>
    <row r="15" spans="1:8" x14ac:dyDescent="0.3">
      <c r="B15" s="99" t="str">
        <f>"붙임  "&amp;IF(기초자료입력!C5&lt;&gt;"",기초자료입력!C5,"○○")&amp;"학년도 교복 학교주관구매 추진 계획(안) 1부.  끝."</f>
        <v>붙임  ○○학년도 교복 학교주관구매 추진 계획(안) 1부.  끝.</v>
      </c>
      <c r="C15" s="98"/>
      <c r="D15" s="98"/>
      <c r="E15" s="98"/>
      <c r="F15" s="98"/>
      <c r="G15" s="98"/>
      <c r="H15" s="98"/>
    </row>
    <row r="16" spans="1:8" x14ac:dyDescent="0.3">
      <c r="B16" s="21"/>
      <c r="C16" s="21"/>
      <c r="D16" s="21"/>
      <c r="E16" s="21"/>
      <c r="F16" s="21"/>
      <c r="G16" s="21"/>
      <c r="H16" s="21"/>
    </row>
    <row r="17" spans="2:8" x14ac:dyDescent="0.3">
      <c r="B17" s="22"/>
      <c r="C17" s="22"/>
      <c r="D17" s="22"/>
      <c r="E17" s="22"/>
      <c r="F17" s="22" t="s">
        <v>297</v>
      </c>
      <c r="G17" s="22" t="s">
        <v>308</v>
      </c>
      <c r="H17" s="22" t="s">
        <v>298</v>
      </c>
    </row>
    <row r="18" spans="2:8" x14ac:dyDescent="0.3">
      <c r="B18" s="25" t="s">
        <v>309</v>
      </c>
      <c r="C18" s="96" t="str">
        <f>IF(기초자료입력!C9&lt;&gt;"",기초자료입력!C9,"")</f>
        <v/>
      </c>
      <c r="D18" s="96"/>
      <c r="E18" s="96"/>
      <c r="F18" s="25" t="s">
        <v>310</v>
      </c>
      <c r="G18" s="96"/>
      <c r="H18" s="96"/>
    </row>
    <row r="19" spans="2:8" x14ac:dyDescent="0.3">
      <c r="B19" s="25" t="s">
        <v>311</v>
      </c>
      <c r="C19" s="22"/>
      <c r="D19" s="25" t="s">
        <v>312</v>
      </c>
      <c r="E19" s="96"/>
      <c r="F19" s="96"/>
      <c r="G19" s="96"/>
      <c r="H19" s="96"/>
    </row>
    <row r="20" spans="2:8" x14ac:dyDescent="0.3">
      <c r="B20" s="25" t="s">
        <v>313</v>
      </c>
      <c r="C20" s="22"/>
      <c r="D20" s="25" t="s">
        <v>314</v>
      </c>
      <c r="E20" s="22"/>
      <c r="F20" s="25" t="s">
        <v>315</v>
      </c>
      <c r="G20" s="96"/>
      <c r="H20" s="96"/>
    </row>
  </sheetData>
  <mergeCells count="11">
    <mergeCell ref="B15:H15"/>
    <mergeCell ref="C18:E18"/>
    <mergeCell ref="G18:H18"/>
    <mergeCell ref="E19:H19"/>
    <mergeCell ref="G20:H20"/>
    <mergeCell ref="B13:H13"/>
    <mergeCell ref="B3:H3"/>
    <mergeCell ref="C7:H7"/>
    <mergeCell ref="C8:H8"/>
    <mergeCell ref="C9:H9"/>
    <mergeCell ref="C11:H11"/>
  </mergeCells>
  <phoneticPr fontId="6" type="noConversion"/>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11266"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0883D-30ED-4B32-AC77-C633E8895AB4}">
  <sheetPr codeName="Sheet12"/>
  <dimension ref="A1:G90"/>
  <sheetViews>
    <sheetView workbookViewId="0"/>
  </sheetViews>
  <sheetFormatPr defaultRowHeight="16.5" x14ac:dyDescent="0.3"/>
  <cols>
    <col min="1" max="1" width="3.125" customWidth="1"/>
    <col min="2" max="2" width="13.625" customWidth="1"/>
    <col min="3" max="3" width="11.625" customWidth="1"/>
    <col min="4" max="4" width="13.625" customWidth="1"/>
    <col min="5" max="6" width="11.625" customWidth="1"/>
    <col min="7" max="7" width="13.625" customWidth="1"/>
  </cols>
  <sheetData>
    <row r="1" spans="1:7" ht="24" x14ac:dyDescent="0.3">
      <c r="A1" s="20" t="s">
        <v>539</v>
      </c>
      <c r="B1" s="83" t="str">
        <f>"2026학년도 교복 학교주관구매 추진 계획(안)"</f>
        <v>2026학년도 교복 학교주관구매 추진 계획(안)</v>
      </c>
      <c r="C1" s="84"/>
      <c r="D1" s="84"/>
      <c r="E1" s="84"/>
      <c r="F1" s="84"/>
      <c r="G1" s="84"/>
    </row>
    <row r="2" spans="1:7" ht="17.100000000000001" customHeight="1" x14ac:dyDescent="0.3">
      <c r="B2" s="81" t="str">
        <f>IF(기초자료입력!C4&lt;&gt;"",기초자료입력!C4&amp;"장",  "○○○학교장")</f>
        <v>○○○학교장</v>
      </c>
      <c r="C2" s="81"/>
      <c r="D2" s="81"/>
      <c r="E2" s="81"/>
      <c r="F2" s="81"/>
      <c r="G2" s="81"/>
    </row>
    <row r="3" spans="1:7" ht="6" customHeight="1" x14ac:dyDescent="0.3">
      <c r="B3" s="47"/>
      <c r="C3" s="38"/>
      <c r="D3" s="38"/>
      <c r="E3" s="38"/>
      <c r="F3" s="38"/>
      <c r="G3" s="38"/>
    </row>
    <row r="4" spans="1:7" x14ac:dyDescent="0.3">
      <c r="B4" s="38"/>
      <c r="C4" s="38"/>
      <c r="D4" s="38"/>
      <c r="E4" s="38"/>
      <c r="F4" s="38"/>
      <c r="G4" s="38"/>
    </row>
    <row r="5" spans="1:7" x14ac:dyDescent="0.3">
      <c r="B5" s="101" t="str">
        <f>"1  개요"</f>
        <v>1  개요</v>
      </c>
      <c r="C5" s="89"/>
      <c r="D5" s="89"/>
      <c r="E5" s="89"/>
      <c r="F5" s="89"/>
      <c r="G5" s="89"/>
    </row>
    <row r="6" spans="1:7" ht="17.100000000000001" customHeight="1" x14ac:dyDescent="0.3">
      <c r="B6" s="100" t="str">
        <f>"❍ 사업명："&amp;IF(기초자료입력!C5&lt;&gt;"",기초자료입력!C5,"20○○")&amp;"학년도 교복 학교주관구매"</f>
        <v>❍ 사업명：20○○학년도 교복 학교주관구매</v>
      </c>
      <c r="C6" s="100"/>
      <c r="D6" s="100"/>
      <c r="E6" s="100"/>
      <c r="F6" s="100"/>
      <c r="G6" s="100"/>
    </row>
    <row r="7" spans="1:7" ht="30" customHeight="1" x14ac:dyDescent="0.3">
      <c r="B7" s="100" t="s">
        <v>540</v>
      </c>
      <c r="C7" s="100"/>
      <c r="D7" s="100"/>
      <c r="E7" s="100"/>
      <c r="F7" s="100"/>
      <c r="G7" s="100"/>
    </row>
    <row r="8" spans="1:7" ht="30" customHeight="1" x14ac:dyDescent="0.3">
      <c r="B8" s="100" t="s">
        <v>541</v>
      </c>
      <c r="C8" s="100"/>
      <c r="D8" s="100"/>
      <c r="E8" s="100"/>
      <c r="F8" s="100"/>
      <c r="G8" s="100"/>
    </row>
    <row r="9" spans="1:7" ht="17.100000000000001" customHeight="1" x14ac:dyDescent="0.3">
      <c r="B9" s="100" t="s">
        <v>542</v>
      </c>
      <c r="C9" s="100"/>
      <c r="D9" s="100"/>
      <c r="E9" s="100"/>
      <c r="F9" s="100"/>
      <c r="G9" s="100"/>
    </row>
    <row r="10" spans="1:7" ht="17.100000000000001" customHeight="1" x14ac:dyDescent="0.3">
      <c r="B10" s="100" t="s">
        <v>543</v>
      </c>
      <c r="C10" s="100"/>
      <c r="D10" s="100"/>
      <c r="E10" s="100"/>
      <c r="F10" s="100"/>
      <c r="G10" s="100"/>
    </row>
    <row r="11" spans="1:7" ht="6" customHeight="1" x14ac:dyDescent="0.3">
      <c r="B11" s="38"/>
      <c r="C11" s="38"/>
      <c r="D11" s="38"/>
      <c r="E11" s="38"/>
      <c r="F11" s="38"/>
      <c r="G11" s="38"/>
    </row>
    <row r="12" spans="1:7" x14ac:dyDescent="0.3">
      <c r="B12" s="38"/>
      <c r="C12" s="38"/>
      <c r="D12" s="38"/>
      <c r="E12" s="38"/>
      <c r="F12" s="38"/>
      <c r="G12" s="38"/>
    </row>
    <row r="13" spans="1:7" x14ac:dyDescent="0.3">
      <c r="B13" s="101" t="str">
        <f>"2  기본방향"</f>
        <v>2  기본방향</v>
      </c>
      <c r="C13" s="89"/>
      <c r="D13" s="89"/>
      <c r="E13" s="89"/>
      <c r="F13" s="89"/>
      <c r="G13" s="89"/>
    </row>
    <row r="14" spans="1:7" ht="30" customHeight="1" x14ac:dyDescent="0.3">
      <c r="B14" s="100" t="s">
        <v>544</v>
      </c>
      <c r="C14" s="100"/>
      <c r="D14" s="100"/>
      <c r="E14" s="100"/>
      <c r="F14" s="100"/>
      <c r="G14" s="100"/>
    </row>
    <row r="15" spans="1:7" ht="30" customHeight="1" x14ac:dyDescent="0.3">
      <c r="B15" s="100" t="s">
        <v>545</v>
      </c>
      <c r="C15" s="100"/>
      <c r="D15" s="100"/>
      <c r="E15" s="100"/>
      <c r="F15" s="100"/>
      <c r="G15" s="100"/>
    </row>
    <row r="16" spans="1:7" ht="30" customHeight="1" x14ac:dyDescent="0.3">
      <c r="B16" s="100" t="s">
        <v>546</v>
      </c>
      <c r="C16" s="100"/>
      <c r="D16" s="100"/>
      <c r="E16" s="100"/>
      <c r="F16" s="100"/>
      <c r="G16" s="100"/>
    </row>
    <row r="17" spans="2:7" ht="6" customHeight="1" x14ac:dyDescent="0.3">
      <c r="B17" s="38"/>
      <c r="C17" s="38"/>
      <c r="D17" s="38"/>
      <c r="E17" s="38"/>
      <c r="F17" s="38"/>
      <c r="G17" s="38"/>
    </row>
    <row r="18" spans="2:7" x14ac:dyDescent="0.3">
      <c r="B18" s="38"/>
      <c r="C18" s="38"/>
      <c r="D18" s="38"/>
      <c r="E18" s="38"/>
      <c r="F18" s="38"/>
      <c r="G18" s="38"/>
    </row>
    <row r="19" spans="2:7" x14ac:dyDescent="0.3">
      <c r="B19" s="101" t="str">
        <f>"3  추진 절차 개요"</f>
        <v>3  추진 절차 개요</v>
      </c>
      <c r="C19" s="89"/>
      <c r="D19" s="89"/>
      <c r="E19" s="89"/>
      <c r="F19" s="89"/>
      <c r="G19" s="89"/>
    </row>
    <row r="20" spans="2:7" x14ac:dyDescent="0.3">
      <c r="B20" s="88" t="s">
        <v>547</v>
      </c>
      <c r="C20" s="82"/>
      <c r="D20" s="88" t="s">
        <v>548</v>
      </c>
      <c r="E20" s="82"/>
      <c r="F20" s="82"/>
      <c r="G20" s="32" t="s">
        <v>297</v>
      </c>
    </row>
    <row r="21" spans="2:7" ht="42.95" customHeight="1" x14ac:dyDescent="0.3">
      <c r="B21" s="86" t="s">
        <v>549</v>
      </c>
      <c r="C21" s="86"/>
      <c r="D21" s="86" t="s">
        <v>550</v>
      </c>
      <c r="E21" s="86"/>
      <c r="F21" s="86"/>
      <c r="G21" s="37" t="s">
        <v>551</v>
      </c>
    </row>
    <row r="22" spans="2:7" ht="30" customHeight="1" x14ac:dyDescent="0.3">
      <c r="B22" s="86" t="s">
        <v>552</v>
      </c>
      <c r="C22" s="86"/>
      <c r="D22" s="86" t="s">
        <v>553</v>
      </c>
      <c r="E22" s="86"/>
      <c r="F22" s="86"/>
      <c r="G22" s="37" t="s">
        <v>551</v>
      </c>
    </row>
    <row r="23" spans="2:7" ht="42.95" customHeight="1" x14ac:dyDescent="0.3">
      <c r="B23" s="86" t="s">
        <v>554</v>
      </c>
      <c r="C23" s="86"/>
      <c r="D23" s="86" t="s">
        <v>555</v>
      </c>
      <c r="E23" s="86"/>
      <c r="F23" s="86"/>
      <c r="G23" s="37" t="s">
        <v>556</v>
      </c>
    </row>
    <row r="24" spans="2:7" ht="30" customHeight="1" x14ac:dyDescent="0.3">
      <c r="B24" s="86" t="s">
        <v>557</v>
      </c>
      <c r="C24" s="86"/>
      <c r="D24" s="86" t="s">
        <v>558</v>
      </c>
      <c r="E24" s="86"/>
      <c r="F24" s="86"/>
      <c r="G24" s="37" t="s">
        <v>559</v>
      </c>
    </row>
    <row r="25" spans="2:7" ht="17.100000000000001" customHeight="1" x14ac:dyDescent="0.3">
      <c r="B25" s="86" t="s">
        <v>560</v>
      </c>
      <c r="C25" s="86"/>
      <c r="D25" s="86" t="s">
        <v>561</v>
      </c>
      <c r="E25" s="86"/>
      <c r="F25" s="86"/>
      <c r="G25" s="37" t="s">
        <v>556</v>
      </c>
    </row>
    <row r="26" spans="2:7" ht="30" customHeight="1" x14ac:dyDescent="0.3">
      <c r="B26" s="86" t="s">
        <v>562</v>
      </c>
      <c r="C26" s="86"/>
      <c r="D26" s="86" t="s">
        <v>563</v>
      </c>
      <c r="E26" s="86"/>
      <c r="F26" s="86"/>
      <c r="G26" s="37" t="s">
        <v>559</v>
      </c>
    </row>
    <row r="27" spans="2:7" ht="30" customHeight="1" x14ac:dyDescent="0.3">
      <c r="B27" s="86" t="s">
        <v>564</v>
      </c>
      <c r="C27" s="86"/>
      <c r="D27" s="86" t="s">
        <v>565</v>
      </c>
      <c r="E27" s="86"/>
      <c r="F27" s="86"/>
      <c r="G27" s="37" t="s">
        <v>551</v>
      </c>
    </row>
    <row r="28" spans="2:7" ht="42.95" customHeight="1" x14ac:dyDescent="0.3">
      <c r="B28" s="86" t="s">
        <v>566</v>
      </c>
      <c r="C28" s="86"/>
      <c r="D28" s="86" t="s">
        <v>567</v>
      </c>
      <c r="E28" s="86"/>
      <c r="F28" s="86"/>
      <c r="G28" s="37" t="s">
        <v>551</v>
      </c>
    </row>
    <row r="29" spans="2:7" ht="30" customHeight="1" x14ac:dyDescent="0.3">
      <c r="B29" s="86" t="s">
        <v>568</v>
      </c>
      <c r="C29" s="86"/>
      <c r="D29" s="86" t="s">
        <v>569</v>
      </c>
      <c r="E29" s="86"/>
      <c r="F29" s="86"/>
      <c r="G29" s="37" t="s">
        <v>559</v>
      </c>
    </row>
    <row r="30" spans="2:7" ht="30" customHeight="1" x14ac:dyDescent="0.3">
      <c r="B30" s="86" t="s">
        <v>570</v>
      </c>
      <c r="C30" s="86"/>
      <c r="D30" s="86" t="s">
        <v>571</v>
      </c>
      <c r="E30" s="86"/>
      <c r="F30" s="86"/>
      <c r="G30" s="37" t="s">
        <v>556</v>
      </c>
    </row>
    <row r="31" spans="2:7" ht="42.95" customHeight="1" x14ac:dyDescent="0.3">
      <c r="B31" s="86" t="s">
        <v>572</v>
      </c>
      <c r="C31" s="86"/>
      <c r="D31" s="86" t="s">
        <v>573</v>
      </c>
      <c r="E31" s="86"/>
      <c r="F31" s="86"/>
      <c r="G31" s="37" t="s">
        <v>559</v>
      </c>
    </row>
    <row r="32" spans="2:7" ht="6" customHeight="1" x14ac:dyDescent="0.3">
      <c r="B32" s="38"/>
      <c r="C32" s="38"/>
      <c r="D32" s="38"/>
      <c r="E32" s="38"/>
      <c r="F32" s="38"/>
      <c r="G32" s="38"/>
    </row>
    <row r="33" spans="2:7" x14ac:dyDescent="0.3">
      <c r="B33" s="38"/>
      <c r="C33" s="38"/>
      <c r="D33" s="38"/>
      <c r="E33" s="38"/>
      <c r="F33" s="38"/>
      <c r="G33" s="38"/>
    </row>
    <row r="34" spans="2:7" x14ac:dyDescent="0.3">
      <c r="B34" s="101" t="str">
        <f>"4  세부 추진 절차"</f>
        <v>4  세부 추진 절차</v>
      </c>
      <c r="C34" s="89"/>
      <c r="D34" s="89"/>
      <c r="E34" s="89"/>
      <c r="F34" s="89"/>
      <c r="G34" s="89"/>
    </row>
    <row r="35" spans="2:7" x14ac:dyDescent="0.3">
      <c r="B35" s="90" t="s">
        <v>574</v>
      </c>
      <c r="C35" s="89"/>
      <c r="D35" s="89"/>
      <c r="E35" s="89"/>
      <c r="F35" s="89"/>
      <c r="G35" s="89"/>
    </row>
    <row r="36" spans="2:7" ht="17.100000000000001" customHeight="1" x14ac:dyDescent="0.3">
      <c r="B36" s="100" t="s">
        <v>575</v>
      </c>
      <c r="C36" s="100"/>
      <c r="D36" s="100"/>
      <c r="E36" s="100"/>
      <c r="F36" s="100"/>
      <c r="G36" s="100"/>
    </row>
    <row r="37" spans="2:7" ht="42.95" customHeight="1" x14ac:dyDescent="0.3">
      <c r="B37" s="100" t="s">
        <v>576</v>
      </c>
      <c r="C37" s="100"/>
      <c r="D37" s="100"/>
      <c r="E37" s="100"/>
      <c r="F37" s="100"/>
      <c r="G37" s="100"/>
    </row>
    <row r="38" spans="2:7" ht="26.1" customHeight="1" x14ac:dyDescent="0.3">
      <c r="B38" s="100" t="s">
        <v>577</v>
      </c>
      <c r="C38" s="100"/>
      <c r="D38" s="100"/>
      <c r="E38" s="100"/>
      <c r="F38" s="100"/>
      <c r="G38" s="100"/>
    </row>
    <row r="39" spans="2:7" ht="6" customHeight="1" x14ac:dyDescent="0.3">
      <c r="B39" s="38"/>
      <c r="C39" s="38"/>
      <c r="D39" s="38"/>
      <c r="E39" s="38"/>
      <c r="F39" s="38"/>
      <c r="G39" s="38"/>
    </row>
    <row r="40" spans="2:7" x14ac:dyDescent="0.3">
      <c r="B40" s="90" t="s">
        <v>578</v>
      </c>
      <c r="C40" s="89"/>
      <c r="D40" s="89"/>
      <c r="E40" s="89"/>
      <c r="F40" s="89"/>
      <c r="G40" s="89"/>
    </row>
    <row r="41" spans="2:7" ht="30" customHeight="1" x14ac:dyDescent="0.3">
      <c r="B41" s="100" t="s">
        <v>579</v>
      </c>
      <c r="C41" s="100"/>
      <c r="D41" s="100"/>
      <c r="E41" s="100"/>
      <c r="F41" s="100"/>
      <c r="G41" s="100"/>
    </row>
    <row r="42" spans="2:7" x14ac:dyDescent="0.3">
      <c r="B42" s="32" t="s">
        <v>524</v>
      </c>
      <c r="C42" s="32" t="s">
        <v>331</v>
      </c>
      <c r="D42" s="32" t="s">
        <v>525</v>
      </c>
      <c r="E42" s="32" t="s">
        <v>526</v>
      </c>
      <c r="F42" s="88" t="s">
        <v>320</v>
      </c>
      <c r="G42" s="88"/>
    </row>
    <row r="43" spans="2:7" x14ac:dyDescent="0.3">
      <c r="B43" s="57" t="str">
        <f>IF(기초자료입력!B58&lt;&gt;"",1,"")</f>
        <v/>
      </c>
      <c r="C43" s="57" t="str">
        <f>IF(기초자료입력!B58&lt;&gt;"","위원장","")</f>
        <v/>
      </c>
      <c r="D43" s="57" t="str">
        <f>IF(기초자료입력!B58&lt;&gt;"",기초자료입력!B58,"")</f>
        <v/>
      </c>
      <c r="E43" s="57" t="str">
        <f>IF(기초자료입력!C58&lt;&gt;"",기초자료입력!C58,"")</f>
        <v/>
      </c>
      <c r="F43" s="102"/>
      <c r="G43" s="102"/>
    </row>
    <row r="44" spans="2:7" x14ac:dyDescent="0.3">
      <c r="B44" s="57" t="str">
        <f>IF(기초자료입력!B59&lt;&gt;"",2,"")</f>
        <v/>
      </c>
      <c r="C44" s="57" t="str">
        <f>IF(기초자료입력!B59&lt;&gt;"","위원","")</f>
        <v/>
      </c>
      <c r="D44" s="57" t="str">
        <f>IF(기초자료입력!B59&lt;&gt;"",기초자료입력!B59,"")</f>
        <v/>
      </c>
      <c r="E44" s="57" t="str">
        <f>IF(기초자료입력!C59&lt;&gt;"",기초자료입력!C59,"")</f>
        <v/>
      </c>
      <c r="F44" s="102"/>
      <c r="G44" s="102"/>
    </row>
    <row r="45" spans="2:7" x14ac:dyDescent="0.3">
      <c r="B45" s="57" t="str">
        <f>IF(기초자료입력!B60&lt;&gt;"",3,"")</f>
        <v/>
      </c>
      <c r="C45" s="57" t="str">
        <f>IF(기초자료입력!B60&lt;&gt;"","위원","")</f>
        <v/>
      </c>
      <c r="D45" s="57" t="str">
        <f>IF(기초자료입력!B60&lt;&gt;"",기초자료입력!B60,"")</f>
        <v/>
      </c>
      <c r="E45" s="57" t="str">
        <f>IF(기초자료입력!C60&lt;&gt;"",기초자료입력!C60,"")</f>
        <v/>
      </c>
      <c r="F45" s="102"/>
      <c r="G45" s="102"/>
    </row>
    <row r="46" spans="2:7" x14ac:dyDescent="0.3">
      <c r="B46" s="57" t="str">
        <f>IF(기초자료입력!B61&lt;&gt;"",4,"")</f>
        <v/>
      </c>
      <c r="C46" s="57" t="str">
        <f>IF(기초자료입력!B61&lt;&gt;"","위원","")</f>
        <v/>
      </c>
      <c r="D46" s="57" t="str">
        <f>IF(기초자료입력!B61&lt;&gt;"",기초자료입력!B61,"")</f>
        <v/>
      </c>
      <c r="E46" s="57" t="str">
        <f>IF(기초자료입력!C61&lt;&gt;"",기초자료입력!C61,"")</f>
        <v/>
      </c>
      <c r="F46" s="102"/>
      <c r="G46" s="102"/>
    </row>
    <row r="47" spans="2:7" x14ac:dyDescent="0.3">
      <c r="B47" s="57" t="str">
        <f>IF(기초자료입력!B62&lt;&gt;"",5,"")</f>
        <v/>
      </c>
      <c r="C47" s="57" t="str">
        <f>IF(기초자료입력!B62&lt;&gt;"","위원","")</f>
        <v/>
      </c>
      <c r="D47" s="57" t="str">
        <f>IF(기초자료입력!B62&lt;&gt;"",기초자료입력!B62,"")</f>
        <v/>
      </c>
      <c r="E47" s="57" t="str">
        <f>IF(기초자료입력!C62&lt;&gt;"",기초자료입력!C62,"")</f>
        <v/>
      </c>
      <c r="F47" s="102"/>
      <c r="G47" s="102"/>
    </row>
    <row r="48" spans="2:7" x14ac:dyDescent="0.3">
      <c r="B48" s="57" t="str">
        <f>IF(기초자료입력!B63&lt;&gt;"",6,"")</f>
        <v/>
      </c>
      <c r="C48" s="57" t="str">
        <f>IF(기초자료입력!B63&lt;&gt;"","위원","")</f>
        <v/>
      </c>
      <c r="D48" s="57" t="str">
        <f>IF(기초자료입력!B63&lt;&gt;"",기초자료입력!B63,"")</f>
        <v/>
      </c>
      <c r="E48" s="57" t="str">
        <f>IF(기초자료입력!C63&lt;&gt;"",기초자료입력!C63,"")</f>
        <v/>
      </c>
      <c r="F48" s="102"/>
      <c r="G48" s="102"/>
    </row>
    <row r="49" spans="2:7" x14ac:dyDescent="0.3">
      <c r="B49" s="57" t="str">
        <f>IF(기초자료입력!B64&lt;&gt;"",7,"")</f>
        <v/>
      </c>
      <c r="C49" s="57" t="str">
        <f>IF(기초자료입력!B64&lt;&gt;"","위원","")</f>
        <v/>
      </c>
      <c r="D49" s="57" t="str">
        <f>IF(기초자료입력!B64&lt;&gt;"",기초자료입력!B64,"")</f>
        <v/>
      </c>
      <c r="E49" s="57" t="str">
        <f>IF(기초자료입력!C64&lt;&gt;"",기초자료입력!C64,"")</f>
        <v/>
      </c>
      <c r="F49" s="102"/>
      <c r="G49" s="102"/>
    </row>
    <row r="50" spans="2:7" x14ac:dyDescent="0.3">
      <c r="B50" s="57" t="str">
        <f>IF(기초자료입력!B65&lt;&gt;"",8,"")</f>
        <v/>
      </c>
      <c r="C50" s="57" t="str">
        <f>IF(기초자료입력!B65&lt;&gt;"","위원","")</f>
        <v/>
      </c>
      <c r="D50" s="57" t="str">
        <f>IF(기초자료입력!B65&lt;&gt;"",기초자료입력!B65,"")</f>
        <v/>
      </c>
      <c r="E50" s="57" t="str">
        <f>IF(기초자료입력!C65&lt;&gt;"",기초자료입력!C65,"")</f>
        <v/>
      </c>
      <c r="F50" s="102"/>
      <c r="G50" s="102"/>
    </row>
    <row r="51" spans="2:7" x14ac:dyDescent="0.3">
      <c r="B51" s="57" t="str">
        <f>IF(기초자료입력!B66&lt;&gt;"",9,"")</f>
        <v/>
      </c>
      <c r="C51" s="57" t="str">
        <f>IF(기초자료입력!B66&lt;&gt;"","위원","")</f>
        <v/>
      </c>
      <c r="D51" s="57" t="str">
        <f>IF(기초자료입력!B66&lt;&gt;"",기초자료입력!B66,"")</f>
        <v/>
      </c>
      <c r="E51" s="57" t="str">
        <f>IF(기초자료입력!C66&lt;&gt;"",기초자료입력!C66,"")</f>
        <v/>
      </c>
      <c r="F51" s="102"/>
      <c r="G51" s="102"/>
    </row>
    <row r="52" spans="2:7" x14ac:dyDescent="0.3">
      <c r="B52" s="57" t="str">
        <f>IF(기초자료입력!B67&lt;&gt;"",10,"")</f>
        <v/>
      </c>
      <c r="C52" s="57" t="str">
        <f>IF(기초자료입력!B67&lt;&gt;"","위원","")</f>
        <v/>
      </c>
      <c r="D52" s="57" t="str">
        <f>IF(기초자료입력!B67&lt;&gt;"",기초자료입력!B67,"")</f>
        <v/>
      </c>
      <c r="E52" s="57" t="str">
        <f>IF(기초자료입력!C67&lt;&gt;"",기초자료입력!C67,"")</f>
        <v/>
      </c>
      <c r="F52" s="102"/>
      <c r="G52" s="102"/>
    </row>
    <row r="53" spans="2:7" ht="95.1" customHeight="1" x14ac:dyDescent="0.3">
      <c r="B53" s="103" t="s">
        <v>580</v>
      </c>
      <c r="C53" s="103"/>
      <c r="D53" s="103"/>
      <c r="E53" s="103"/>
      <c r="F53" s="103"/>
      <c r="G53" s="103"/>
    </row>
    <row r="54" spans="2:7" ht="26.1" customHeight="1" x14ac:dyDescent="0.3">
      <c r="B54" s="100" t="s">
        <v>581</v>
      </c>
      <c r="C54" s="100"/>
      <c r="D54" s="100"/>
      <c r="E54" s="100"/>
      <c r="F54" s="100"/>
      <c r="G54" s="100"/>
    </row>
    <row r="55" spans="2:7" ht="6" customHeight="1" x14ac:dyDescent="0.3">
      <c r="B55" s="38"/>
      <c r="C55" s="38"/>
      <c r="D55" s="38"/>
      <c r="E55" s="38"/>
      <c r="F55" s="38"/>
      <c r="G55" s="38"/>
    </row>
    <row r="56" spans="2:7" x14ac:dyDescent="0.3">
      <c r="B56" s="90" t="s">
        <v>582</v>
      </c>
      <c r="C56" s="89"/>
      <c r="D56" s="89"/>
      <c r="E56" s="89"/>
      <c r="F56" s="89"/>
      <c r="G56" s="89"/>
    </row>
    <row r="57" spans="2:7" ht="42.95" customHeight="1" x14ac:dyDescent="0.3">
      <c r="B57" s="100" t="s">
        <v>583</v>
      </c>
      <c r="C57" s="100"/>
      <c r="D57" s="100"/>
      <c r="E57" s="100"/>
      <c r="F57" s="100"/>
      <c r="G57" s="100"/>
    </row>
    <row r="58" spans="2:7" ht="42.95" customHeight="1" x14ac:dyDescent="0.3">
      <c r="B58" s="100" t="str">
        <f>"※ 상한가격(참고용 자동 계산)：동복(4pcs 기준)："&amp;IF(SUM(기초자료입력!$D$29:$D$32)=0,"○○○,○○○",TEXT(SUM(기초자료입력!$D$29:$D$32),"#,##0"))&amp;"원 / 하복(2pcs 기준)："&amp;IF(SUM(기초자료입력!$D$33:$D$34)=0,"○○,○○○",TEXT(SUM(기초자료입력!$D$33:$D$34),"#,##0"))&amp;"원 (계약일 기준 적용기간은 교육청 고시에 따름)"</f>
        <v>※ 상한가격(참고용 자동 계산)：동복(4pcs 기준)：○○○,○○○원 / 하복(2pcs 기준)：○○,○○○원 (계약일 기준 적용기간은 교육청 고시에 따름)</v>
      </c>
      <c r="C58" s="100"/>
      <c r="D58" s="100"/>
      <c r="E58" s="100"/>
      <c r="F58" s="100"/>
      <c r="G58" s="100"/>
    </row>
    <row r="59" spans="2:7" ht="30" customHeight="1" x14ac:dyDescent="0.3">
      <c r="B59" s="100" t="s">
        <v>584</v>
      </c>
      <c r="C59" s="100"/>
      <c r="D59" s="100"/>
      <c r="E59" s="100"/>
      <c r="F59" s="100"/>
      <c r="G59" s="100"/>
    </row>
    <row r="60" spans="2:7" ht="6" customHeight="1" x14ac:dyDescent="0.3">
      <c r="B60" s="38"/>
      <c r="C60" s="38"/>
      <c r="D60" s="38"/>
      <c r="E60" s="38"/>
      <c r="F60" s="38"/>
      <c r="G60" s="38"/>
    </row>
    <row r="61" spans="2:7" x14ac:dyDescent="0.3">
      <c r="B61" s="90" t="s">
        <v>585</v>
      </c>
      <c r="C61" s="89"/>
      <c r="D61" s="89"/>
      <c r="E61" s="89"/>
      <c r="F61" s="89"/>
      <c r="G61" s="89"/>
    </row>
    <row r="62" spans="2:7" ht="42.95" customHeight="1" x14ac:dyDescent="0.3">
      <c r="B62" s="100" t="s">
        <v>586</v>
      </c>
      <c r="C62" s="100"/>
      <c r="D62" s="100"/>
      <c r="E62" s="100"/>
      <c r="F62" s="100"/>
      <c r="G62" s="100"/>
    </row>
    <row r="63" spans="2:7" ht="56.1" customHeight="1" x14ac:dyDescent="0.3">
      <c r="B63" s="100" t="s">
        <v>587</v>
      </c>
      <c r="C63" s="100"/>
      <c r="D63" s="100"/>
      <c r="E63" s="100"/>
      <c r="F63" s="100"/>
      <c r="G63" s="100"/>
    </row>
    <row r="64" spans="2:7" ht="30" customHeight="1" x14ac:dyDescent="0.3">
      <c r="B64" s="100" t="s">
        <v>588</v>
      </c>
      <c r="C64" s="100"/>
      <c r="D64" s="100"/>
      <c r="E64" s="100"/>
      <c r="F64" s="100"/>
      <c r="G64" s="100"/>
    </row>
    <row r="65" spans="2:7" ht="17.100000000000001" customHeight="1" x14ac:dyDescent="0.3">
      <c r="B65" s="100" t="s">
        <v>589</v>
      </c>
      <c r="C65" s="100"/>
      <c r="D65" s="100"/>
      <c r="E65" s="100"/>
      <c r="F65" s="100"/>
      <c r="G65" s="100"/>
    </row>
    <row r="66" spans="2:7" ht="42.95" customHeight="1" x14ac:dyDescent="0.3">
      <c r="B66" s="100" t="s">
        <v>590</v>
      </c>
      <c r="C66" s="100"/>
      <c r="D66" s="100"/>
      <c r="E66" s="100"/>
      <c r="F66" s="100"/>
      <c r="G66" s="100"/>
    </row>
    <row r="67" spans="2:7" ht="30" customHeight="1" x14ac:dyDescent="0.3">
      <c r="B67" s="100" t="s">
        <v>591</v>
      </c>
      <c r="C67" s="100"/>
      <c r="D67" s="100"/>
      <c r="E67" s="100"/>
      <c r="F67" s="100"/>
      <c r="G67" s="100"/>
    </row>
    <row r="68" spans="2:7" ht="6" customHeight="1" x14ac:dyDescent="0.3">
      <c r="B68" s="38"/>
      <c r="C68" s="38"/>
      <c r="D68" s="38"/>
      <c r="E68" s="38"/>
      <c r="F68" s="38"/>
      <c r="G68" s="38"/>
    </row>
    <row r="69" spans="2:7" x14ac:dyDescent="0.3">
      <c r="B69" s="90" t="s">
        <v>592</v>
      </c>
      <c r="C69" s="89"/>
      <c r="D69" s="89"/>
      <c r="E69" s="89"/>
      <c r="F69" s="89"/>
      <c r="G69" s="89"/>
    </row>
    <row r="70" spans="2:7" ht="30" customHeight="1" x14ac:dyDescent="0.3">
      <c r="B70" s="100" t="s">
        <v>593</v>
      </c>
      <c r="C70" s="100"/>
      <c r="D70" s="100"/>
      <c r="E70" s="100"/>
      <c r="F70" s="100"/>
      <c r="G70" s="100"/>
    </row>
    <row r="71" spans="2:7" ht="42.95" customHeight="1" x14ac:dyDescent="0.3">
      <c r="B71" s="100" t="s">
        <v>594</v>
      </c>
      <c r="C71" s="100"/>
      <c r="D71" s="100"/>
      <c r="E71" s="100"/>
      <c r="F71" s="100"/>
      <c r="G71" s="100"/>
    </row>
    <row r="72" spans="2:7" ht="42.95" customHeight="1" x14ac:dyDescent="0.3">
      <c r="B72" s="100" t="s">
        <v>595</v>
      </c>
      <c r="C72" s="100"/>
      <c r="D72" s="100"/>
      <c r="E72" s="100"/>
      <c r="F72" s="100"/>
      <c r="G72" s="100"/>
    </row>
    <row r="73" spans="2:7" ht="42.95" customHeight="1" x14ac:dyDescent="0.3">
      <c r="B73" s="100" t="s">
        <v>596</v>
      </c>
      <c r="C73" s="100"/>
      <c r="D73" s="100"/>
      <c r="E73" s="100"/>
      <c r="F73" s="100"/>
      <c r="G73" s="100"/>
    </row>
    <row r="74" spans="2:7" ht="36.950000000000003" customHeight="1" x14ac:dyDescent="0.3">
      <c r="B74" s="100" t="s">
        <v>597</v>
      </c>
      <c r="C74" s="100"/>
      <c r="D74" s="100"/>
      <c r="E74" s="100"/>
      <c r="F74" s="100"/>
      <c r="G74" s="100"/>
    </row>
    <row r="75" spans="2:7" ht="6" customHeight="1" x14ac:dyDescent="0.3">
      <c r="B75" s="38"/>
      <c r="C75" s="38"/>
      <c r="D75" s="38"/>
      <c r="E75" s="38"/>
      <c r="F75" s="38"/>
      <c r="G75" s="38"/>
    </row>
    <row r="76" spans="2:7" x14ac:dyDescent="0.3">
      <c r="B76" s="90" t="s">
        <v>598</v>
      </c>
      <c r="C76" s="89"/>
      <c r="D76" s="89"/>
      <c r="E76" s="89"/>
      <c r="F76" s="89"/>
      <c r="G76" s="89"/>
    </row>
    <row r="77" spans="2:7" ht="30" customHeight="1" x14ac:dyDescent="0.3">
      <c r="B77" s="100" t="s">
        <v>599</v>
      </c>
      <c r="C77" s="100"/>
      <c r="D77" s="100"/>
      <c r="E77" s="100"/>
      <c r="F77" s="100"/>
      <c r="G77" s="100"/>
    </row>
    <row r="78" spans="2:7" ht="15" customHeight="1" x14ac:dyDescent="0.3">
      <c r="B78" s="100" t="s">
        <v>600</v>
      </c>
      <c r="C78" s="100"/>
      <c r="D78" s="100"/>
      <c r="E78" s="100"/>
      <c r="F78" s="100"/>
      <c r="G78" s="100"/>
    </row>
    <row r="79" spans="2:7" ht="6" customHeight="1" x14ac:dyDescent="0.3">
      <c r="B79" s="38"/>
      <c r="C79" s="38"/>
      <c r="D79" s="38"/>
      <c r="E79" s="38"/>
      <c r="F79" s="38"/>
      <c r="G79" s="38"/>
    </row>
    <row r="80" spans="2:7" x14ac:dyDescent="0.3">
      <c r="B80" s="90" t="s">
        <v>601</v>
      </c>
      <c r="C80" s="89"/>
      <c r="D80" s="89"/>
      <c r="E80" s="89"/>
      <c r="F80" s="89"/>
      <c r="G80" s="89"/>
    </row>
    <row r="81" spans="2:7" ht="30" customHeight="1" x14ac:dyDescent="0.3">
      <c r="B81" s="100" t="s">
        <v>602</v>
      </c>
      <c r="C81" s="100"/>
      <c r="D81" s="100"/>
      <c r="E81" s="100"/>
      <c r="F81" s="100"/>
      <c r="G81" s="100"/>
    </row>
    <row r="82" spans="2:7" ht="42.95" customHeight="1" x14ac:dyDescent="0.3">
      <c r="B82" s="100" t="s">
        <v>603</v>
      </c>
      <c r="C82" s="100"/>
      <c r="D82" s="100"/>
      <c r="E82" s="100"/>
      <c r="F82" s="100"/>
      <c r="G82" s="100"/>
    </row>
    <row r="83" spans="2:7" ht="17.100000000000001" customHeight="1" x14ac:dyDescent="0.3">
      <c r="B83" s="100" t="s">
        <v>604</v>
      </c>
      <c r="C83" s="100"/>
      <c r="D83" s="100"/>
      <c r="E83" s="100"/>
      <c r="F83" s="100"/>
      <c r="G83" s="100"/>
    </row>
    <row r="84" spans="2:7" ht="30" customHeight="1" x14ac:dyDescent="0.3">
      <c r="B84" s="100" t="s">
        <v>605</v>
      </c>
      <c r="C84" s="100"/>
      <c r="D84" s="100"/>
      <c r="E84" s="100"/>
      <c r="F84" s="100"/>
      <c r="G84" s="100"/>
    </row>
    <row r="85" spans="2:7" ht="6" customHeight="1" x14ac:dyDescent="0.3">
      <c r="B85" s="38"/>
      <c r="C85" s="38"/>
      <c r="D85" s="38"/>
      <c r="E85" s="38"/>
      <c r="F85" s="38"/>
      <c r="G85" s="38"/>
    </row>
    <row r="86" spans="2:7" x14ac:dyDescent="0.3">
      <c r="B86" s="38"/>
      <c r="C86" s="38"/>
      <c r="D86" s="38"/>
      <c r="E86" s="38"/>
      <c r="F86" s="38"/>
      <c r="G86" s="38"/>
    </row>
    <row r="87" spans="2:7" x14ac:dyDescent="0.3">
      <c r="B87" s="101" t="str">
        <f>"5  기대효과"</f>
        <v>5  기대효과</v>
      </c>
      <c r="C87" s="89"/>
      <c r="D87" s="89"/>
      <c r="E87" s="89"/>
      <c r="F87" s="89"/>
      <c r="G87" s="89"/>
    </row>
    <row r="88" spans="2:7" ht="42.95" customHeight="1" x14ac:dyDescent="0.3">
      <c r="B88" s="100" t="s">
        <v>606</v>
      </c>
      <c r="C88" s="100"/>
      <c r="D88" s="100"/>
      <c r="E88" s="100"/>
      <c r="F88" s="100"/>
      <c r="G88" s="100"/>
    </row>
    <row r="89" spans="2:7" ht="6" customHeight="1" x14ac:dyDescent="0.3">
      <c r="B89" s="38"/>
      <c r="C89" s="38"/>
      <c r="D89" s="38"/>
      <c r="E89" s="38"/>
      <c r="F89" s="38"/>
      <c r="G89" s="38"/>
    </row>
    <row r="90" spans="2:7" ht="17.100000000000001" customHeight="1" x14ac:dyDescent="0.3">
      <c r="B90" s="100" t="s">
        <v>607</v>
      </c>
      <c r="C90" s="100"/>
      <c r="D90" s="100"/>
      <c r="E90" s="100"/>
      <c r="F90" s="100"/>
      <c r="G90" s="100"/>
    </row>
  </sheetData>
  <mergeCells count="85">
    <mergeCell ref="B90:G90"/>
    <mergeCell ref="B74:G74"/>
    <mergeCell ref="B76:G76"/>
    <mergeCell ref="B77:G77"/>
    <mergeCell ref="B78:G78"/>
    <mergeCell ref="B80:G80"/>
    <mergeCell ref="B81:G81"/>
    <mergeCell ref="B82:G82"/>
    <mergeCell ref="B83:G83"/>
    <mergeCell ref="B84:G84"/>
    <mergeCell ref="B87:G87"/>
    <mergeCell ref="B88:G88"/>
    <mergeCell ref="B73:G73"/>
    <mergeCell ref="B61:G61"/>
    <mergeCell ref="B62:G62"/>
    <mergeCell ref="B63:G63"/>
    <mergeCell ref="B64:G64"/>
    <mergeCell ref="B65:G65"/>
    <mergeCell ref="B66:G66"/>
    <mergeCell ref="B67:G67"/>
    <mergeCell ref="B69:G69"/>
    <mergeCell ref="B70:G70"/>
    <mergeCell ref="B71:G71"/>
    <mergeCell ref="B72:G72"/>
    <mergeCell ref="B59:G59"/>
    <mergeCell ref="F47:G47"/>
    <mergeCell ref="F48:G48"/>
    <mergeCell ref="F49:G49"/>
    <mergeCell ref="F50:G50"/>
    <mergeCell ref="F51:G51"/>
    <mergeCell ref="F52:G52"/>
    <mergeCell ref="B53:G53"/>
    <mergeCell ref="B54:G54"/>
    <mergeCell ref="B56:G56"/>
    <mergeCell ref="B57:G57"/>
    <mergeCell ref="B58:G58"/>
    <mergeCell ref="F46:G46"/>
    <mergeCell ref="B34:G34"/>
    <mergeCell ref="B35:G35"/>
    <mergeCell ref="B36:G36"/>
    <mergeCell ref="B37:G37"/>
    <mergeCell ref="B38:G38"/>
    <mergeCell ref="B40:G40"/>
    <mergeCell ref="B41:G41"/>
    <mergeCell ref="F42:G42"/>
    <mergeCell ref="F43:G43"/>
    <mergeCell ref="F44:G44"/>
    <mergeCell ref="F45:G45"/>
    <mergeCell ref="B29:C29"/>
    <mergeCell ref="D29:F29"/>
    <mergeCell ref="B30:C30"/>
    <mergeCell ref="D30:F30"/>
    <mergeCell ref="B31:C31"/>
    <mergeCell ref="D31:F31"/>
    <mergeCell ref="B26:C26"/>
    <mergeCell ref="D26:F26"/>
    <mergeCell ref="B27:C27"/>
    <mergeCell ref="D27:F27"/>
    <mergeCell ref="B28:C28"/>
    <mergeCell ref="D28:F28"/>
    <mergeCell ref="B23:C23"/>
    <mergeCell ref="D23:F23"/>
    <mergeCell ref="B24:C24"/>
    <mergeCell ref="D24:F24"/>
    <mergeCell ref="B25:C25"/>
    <mergeCell ref="D25:F25"/>
    <mergeCell ref="B22:C22"/>
    <mergeCell ref="D22:F22"/>
    <mergeCell ref="B9:G9"/>
    <mergeCell ref="B10:G10"/>
    <mergeCell ref="B13:G13"/>
    <mergeCell ref="B14:G14"/>
    <mergeCell ref="B15:G15"/>
    <mergeCell ref="B16:G16"/>
    <mergeCell ref="B19:G19"/>
    <mergeCell ref="B20:C20"/>
    <mergeCell ref="D20:F20"/>
    <mergeCell ref="B21:C21"/>
    <mergeCell ref="D21:F21"/>
    <mergeCell ref="B8:G8"/>
    <mergeCell ref="B1:G1"/>
    <mergeCell ref="B2:G2"/>
    <mergeCell ref="B5:G5"/>
    <mergeCell ref="B6:G6"/>
    <mergeCell ref="B7:G7"/>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0</xdr:row>
                    <xdr:rowOff>228600</xdr:rowOff>
                  </to>
                </anchor>
              </controlPr>
            </control>
          </mc:Choice>
        </mc:AlternateContent>
        <mc:AlternateContent xmlns:mc="http://schemas.openxmlformats.org/markup-compatibility/2006">
          <mc:Choice Requires="x14">
            <control shapeId="12290"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0</xdr:row>
                    <xdr:rowOff>228600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DCB79-0FE4-4125-B3CE-43931E4E906C}">
  <sheetPr codeName="Sheet13"/>
  <dimension ref="A1:H40"/>
  <sheetViews>
    <sheetView workbookViewId="0">
      <selection activeCell="O12" sqref="N12:O13"/>
    </sheetView>
  </sheetViews>
  <sheetFormatPr defaultRowHeight="16.5" x14ac:dyDescent="0.3"/>
  <cols>
    <col min="1" max="1" width="3.125" customWidth="1"/>
    <col min="2" max="2" width="10.625" customWidth="1"/>
    <col min="3" max="8" width="9.625" customWidth="1"/>
  </cols>
  <sheetData>
    <row r="1" spans="1:8" x14ac:dyDescent="0.3">
      <c r="A1" s="20" t="s">
        <v>608</v>
      </c>
    </row>
    <row r="3" spans="1:8" x14ac:dyDescent="0.3">
      <c r="B3" s="104" t="str">
        <f>IF(기초자료입력!C4&lt;&gt;"",기초자료입력!C4,"○○학교")&amp;" 교복 학교주관구매 계획(안)"</f>
        <v>○○학교 교복 학교주관구매 계획(안)</v>
      </c>
      <c r="C3" s="105"/>
      <c r="D3" s="105"/>
      <c r="E3" s="105"/>
      <c r="F3" s="105"/>
      <c r="G3" s="105"/>
      <c r="H3" s="105"/>
    </row>
    <row r="4" spans="1:8" x14ac:dyDescent="0.3">
      <c r="B4" s="105"/>
      <c r="C4" s="105"/>
      <c r="D4" s="105"/>
      <c r="E4" s="105"/>
      <c r="F4" s="105"/>
      <c r="G4" s="105"/>
      <c r="H4" s="105"/>
    </row>
    <row r="5" spans="1:8" x14ac:dyDescent="0.3">
      <c r="B5" s="21"/>
      <c r="C5" s="21"/>
      <c r="D5" s="21"/>
      <c r="E5" s="21"/>
      <c r="F5" s="21"/>
      <c r="G5" s="21"/>
      <c r="H5" s="21"/>
    </row>
    <row r="6" spans="1:8" x14ac:dyDescent="0.3">
      <c r="B6" s="25" t="s">
        <v>609</v>
      </c>
      <c r="C6" s="96"/>
      <c r="D6" s="96"/>
      <c r="E6" s="96"/>
      <c r="F6" s="96"/>
      <c r="G6" s="96"/>
      <c r="H6" s="96"/>
    </row>
    <row r="7" spans="1:8" x14ac:dyDescent="0.3">
      <c r="B7" s="25" t="s">
        <v>610</v>
      </c>
      <c r="C7" s="96"/>
      <c r="D7" s="96"/>
      <c r="E7" s="96"/>
      <c r="F7" s="96"/>
      <c r="G7" s="96"/>
      <c r="H7" s="96"/>
    </row>
    <row r="8" spans="1:8" x14ac:dyDescent="0.3">
      <c r="B8" s="25" t="s">
        <v>611</v>
      </c>
      <c r="C8" s="96"/>
      <c r="D8" s="96"/>
      <c r="E8" s="96"/>
      <c r="F8" s="96"/>
      <c r="G8" s="96"/>
      <c r="H8" s="96"/>
    </row>
    <row r="9" spans="1:8" x14ac:dyDescent="0.3">
      <c r="B9" s="25" t="s">
        <v>612</v>
      </c>
      <c r="C9" s="96"/>
      <c r="D9" s="96"/>
      <c r="E9" s="96"/>
      <c r="F9" s="96"/>
      <c r="G9" s="96"/>
      <c r="H9" s="96"/>
    </row>
    <row r="10" spans="1:8" x14ac:dyDescent="0.3">
      <c r="B10" s="21"/>
      <c r="C10" s="21"/>
      <c r="D10" s="21"/>
      <c r="E10" s="21"/>
      <c r="F10" s="21"/>
      <c r="G10" s="21"/>
      <c r="H10" s="21"/>
    </row>
    <row r="11" spans="1:8" x14ac:dyDescent="0.3">
      <c r="B11" s="99" t="s">
        <v>613</v>
      </c>
      <c r="C11" s="98"/>
      <c r="D11" s="98"/>
      <c r="E11" s="98"/>
      <c r="F11" s="98"/>
      <c r="G11" s="98"/>
      <c r="H11" s="98"/>
    </row>
    <row r="12" spans="1:8" x14ac:dyDescent="0.3">
      <c r="B12" s="98" t="s">
        <v>614</v>
      </c>
      <c r="C12" s="98"/>
      <c r="D12" s="98"/>
      <c r="E12" s="98"/>
      <c r="F12" s="98"/>
      <c r="G12" s="98"/>
      <c r="H12" s="98"/>
    </row>
    <row r="13" spans="1:8" ht="27.95" customHeight="1" x14ac:dyDescent="0.3">
      <c r="B13" s="95" t="str">
        <f>"❍ 교복 가격의 안정화 및 교복 구매의 효율성 제고를 위한 "&amp;IF(기초자료입력!C4&lt;&gt;"",기초자료입력!C4,"○○학교")&amp;" "&amp;IF(기초자료입력!C5&lt;&gt;"",기초자료입력!C5,"○○")&amp;"학년도 교복 학교주관구매 계획(안)을 심의하고자 함."</f>
        <v>❍ 교복 가격의 안정화 및 교복 구매의 효율성 제고를 위한 ○○학교 ○○학년도 교복 학교주관구매 계획(안)을 심의하고자 함.</v>
      </c>
      <c r="C13" s="95"/>
      <c r="D13" s="95"/>
      <c r="E13" s="95"/>
      <c r="F13" s="95"/>
      <c r="G13" s="95"/>
      <c r="H13" s="95"/>
    </row>
    <row r="14" spans="1:8" x14ac:dyDescent="0.3">
      <c r="B14" s="21"/>
      <c r="C14" s="21"/>
      <c r="D14" s="21"/>
      <c r="E14" s="21"/>
      <c r="F14" s="21"/>
      <c r="G14" s="21"/>
      <c r="H14" s="21"/>
    </row>
    <row r="15" spans="1:8" x14ac:dyDescent="0.3">
      <c r="B15" s="99" t="s">
        <v>615</v>
      </c>
      <c r="C15" s="98"/>
      <c r="D15" s="98"/>
      <c r="E15" s="98"/>
      <c r="F15" s="98"/>
      <c r="G15" s="98"/>
      <c r="H15" s="98"/>
    </row>
    <row r="16" spans="1:8" x14ac:dyDescent="0.3">
      <c r="B16" s="99" t="s">
        <v>616</v>
      </c>
      <c r="C16" s="98"/>
      <c r="D16" s="98"/>
      <c r="E16" s="98"/>
      <c r="F16" s="98"/>
      <c r="G16" s="98"/>
      <c r="H16" s="98"/>
    </row>
    <row r="17" spans="2:8" x14ac:dyDescent="0.3">
      <c r="B17" s="98" t="s">
        <v>617</v>
      </c>
      <c r="C17" s="98"/>
      <c r="D17" s="98"/>
      <c r="E17" s="98"/>
      <c r="F17" s="98"/>
      <c r="G17" s="98"/>
      <c r="H17" s="98"/>
    </row>
    <row r="18" spans="2:8" x14ac:dyDescent="0.3">
      <c r="B18" s="98" t="s">
        <v>618</v>
      </c>
      <c r="C18" s="98"/>
      <c r="D18" s="98"/>
      <c r="E18" s="98"/>
      <c r="F18" s="98"/>
      <c r="G18" s="98"/>
      <c r="H18" s="98"/>
    </row>
    <row r="19" spans="2:8" x14ac:dyDescent="0.3">
      <c r="B19" s="99" t="s">
        <v>619</v>
      </c>
      <c r="C19" s="98"/>
      <c r="D19" s="98"/>
      <c r="E19" s="98"/>
      <c r="F19" s="98"/>
      <c r="G19" s="98"/>
      <c r="H19" s="98"/>
    </row>
    <row r="20" spans="2:8" x14ac:dyDescent="0.3">
      <c r="B20" s="98" t="s">
        <v>620</v>
      </c>
      <c r="C20" s="98"/>
      <c r="D20" s="98"/>
      <c r="E20" s="98"/>
      <c r="F20" s="98"/>
      <c r="G20" s="98"/>
      <c r="H20" s="98"/>
    </row>
    <row r="21" spans="2:8" x14ac:dyDescent="0.3">
      <c r="B21" s="99" t="s">
        <v>621</v>
      </c>
      <c r="C21" s="98"/>
      <c r="D21" s="98"/>
      <c r="E21" s="98"/>
      <c r="F21" s="98"/>
      <c r="G21" s="98"/>
      <c r="H21" s="98"/>
    </row>
    <row r="22" spans="2:8" x14ac:dyDescent="0.3">
      <c r="B22" s="98" t="str">
        <f>"❍ 하복："&amp;IF(SUM(기초자료입력!$D$33:$D$34)=0,"○○,○○○",TEXT(SUM(기초자료입력!$D$33:$D$34),"#,##0"))&amp;"원, 동복："&amp;IF(SUM(기초자료입력!$D$29:$D$32)=0,"○○○,○○○",TEXT(SUM(기초자료입력!$D$29:$D$32),"#,##0"))&amp;"원("&amp;IF(기초자료입력!C5&lt;&gt;"",기초자료입력!C5,"20○○")&amp;"년 기준)"</f>
        <v>❍ 하복：○○,○○○원, 동복：○○○,○○○원(20○○년 기준)</v>
      </c>
      <c r="C22" s="98"/>
      <c r="D22" s="98"/>
      <c r="E22" s="98"/>
      <c r="F22" s="98"/>
      <c r="G22" s="98"/>
      <c r="H22" s="98"/>
    </row>
    <row r="23" spans="2:8" x14ac:dyDescent="0.3">
      <c r="B23" s="99" t="s">
        <v>622</v>
      </c>
      <c r="C23" s="98"/>
      <c r="D23" s="98"/>
      <c r="E23" s="98"/>
      <c r="F23" s="98"/>
      <c r="G23" s="98"/>
      <c r="H23" s="98"/>
    </row>
    <row r="24" spans="2:8" x14ac:dyDescent="0.3">
      <c r="B24" s="98" t="s">
        <v>623</v>
      </c>
      <c r="C24" s="98"/>
      <c r="D24" s="98"/>
      <c r="E24" s="98"/>
      <c r="F24" s="98"/>
      <c r="G24" s="98"/>
      <c r="H24" s="98"/>
    </row>
    <row r="25" spans="2:8" x14ac:dyDescent="0.3">
      <c r="B25" s="26" t="s">
        <v>524</v>
      </c>
      <c r="C25" s="26" t="s">
        <v>331</v>
      </c>
      <c r="D25" s="26" t="s">
        <v>624</v>
      </c>
      <c r="E25" s="26" t="s">
        <v>526</v>
      </c>
      <c r="F25" s="106" t="s">
        <v>320</v>
      </c>
      <c r="G25" s="97"/>
      <c r="H25" s="97"/>
    </row>
    <row r="26" spans="2:8" x14ac:dyDescent="0.3">
      <c r="B26" s="22" t="str">
        <f>IF(기초자료입력!B58&lt;&gt;"",1,"")</f>
        <v/>
      </c>
      <c r="C26" s="22" t="str">
        <f>IF(기초자료입력!B58&lt;&gt;"","위원장","")</f>
        <v/>
      </c>
      <c r="D26" s="22" t="str">
        <f>IF(기초자료입력!B58&lt;&gt;"",기초자료입력!B58,"")</f>
        <v/>
      </c>
      <c r="E26" s="22" t="str">
        <f>IF(기초자료입력!C58&lt;&gt;"",기초자료입력!C58,"")</f>
        <v/>
      </c>
      <c r="F26" s="96"/>
      <c r="G26" s="96"/>
      <c r="H26" s="96"/>
    </row>
    <row r="27" spans="2:8" x14ac:dyDescent="0.3">
      <c r="B27" s="22" t="str">
        <f>IF(기초자료입력!B59&lt;&gt;"",2,"")</f>
        <v/>
      </c>
      <c r="C27" s="22" t="str">
        <f>IF(기초자료입력!B59&lt;&gt;"","위원","")</f>
        <v/>
      </c>
      <c r="D27" s="22" t="str">
        <f>IF(기초자료입력!B59&lt;&gt;"",기초자료입력!B59,"")</f>
        <v/>
      </c>
      <c r="E27" s="22" t="str">
        <f>IF(기초자료입력!C59&lt;&gt;"",기초자료입력!C59,"")</f>
        <v/>
      </c>
      <c r="F27" s="96"/>
      <c r="G27" s="96"/>
      <c r="H27" s="96"/>
    </row>
    <row r="28" spans="2:8" x14ac:dyDescent="0.3">
      <c r="B28" s="22" t="str">
        <f>IF(기초자료입력!B60&lt;&gt;"",3,"")</f>
        <v/>
      </c>
      <c r="C28" s="22" t="str">
        <f>IF(기초자료입력!B60&lt;&gt;"","위원","")</f>
        <v/>
      </c>
      <c r="D28" s="22" t="str">
        <f>IF(기초자료입력!B60&lt;&gt;"",기초자료입력!B60,"")</f>
        <v/>
      </c>
      <c r="E28" s="22" t="str">
        <f>IF(기초자료입력!C60&lt;&gt;"",기초자료입력!C60,"")</f>
        <v/>
      </c>
      <c r="F28" s="96"/>
      <c r="G28" s="96"/>
      <c r="H28" s="96"/>
    </row>
    <row r="29" spans="2:8" x14ac:dyDescent="0.3">
      <c r="B29" s="22" t="str">
        <f>IF(기초자료입력!B61&lt;&gt;"",4,"")</f>
        <v/>
      </c>
      <c r="C29" s="22" t="str">
        <f>IF(기초자료입력!B61&lt;&gt;"","위원","")</f>
        <v/>
      </c>
      <c r="D29" s="22" t="str">
        <f>IF(기초자료입력!B61&lt;&gt;"",기초자료입력!B61,"")</f>
        <v/>
      </c>
      <c r="E29" s="22" t="str">
        <f>IF(기초자료입력!C61&lt;&gt;"",기초자료입력!C61,"")</f>
        <v/>
      </c>
      <c r="F29" s="96"/>
      <c r="G29" s="96"/>
      <c r="H29" s="96"/>
    </row>
    <row r="30" spans="2:8" x14ac:dyDescent="0.3">
      <c r="B30" s="22" t="str">
        <f>IF(기초자료입력!B62&lt;&gt;"",5,"")</f>
        <v/>
      </c>
      <c r="C30" s="22" t="str">
        <f>IF(기초자료입력!B62&lt;&gt;"","위원","")</f>
        <v/>
      </c>
      <c r="D30" s="22" t="str">
        <f>IF(기초자료입력!B62&lt;&gt;"",기초자료입력!B62,"")</f>
        <v/>
      </c>
      <c r="E30" s="22" t="str">
        <f>IF(기초자료입력!C62&lt;&gt;"",기초자료입력!C62,"")</f>
        <v/>
      </c>
      <c r="F30" s="96"/>
      <c r="G30" s="96"/>
      <c r="H30" s="96"/>
    </row>
    <row r="31" spans="2:8" x14ac:dyDescent="0.3">
      <c r="B31" s="22" t="str">
        <f>IF(기초자료입력!B63&lt;&gt;"",6,"")</f>
        <v/>
      </c>
      <c r="C31" s="22" t="str">
        <f>IF(기초자료입력!B63&lt;&gt;"","위원","")</f>
        <v/>
      </c>
      <c r="D31" s="22" t="str">
        <f>IF(기초자료입력!B63&lt;&gt;"",기초자료입력!B63,"")</f>
        <v/>
      </c>
      <c r="E31" s="22" t="str">
        <f>IF(기초자료입력!C63&lt;&gt;"",기초자료입력!C63,"")</f>
        <v/>
      </c>
      <c r="F31" s="96"/>
      <c r="G31" s="96"/>
      <c r="H31" s="96"/>
    </row>
    <row r="32" spans="2:8" x14ac:dyDescent="0.3">
      <c r="B32" s="22" t="str">
        <f>IF(기초자료입력!B64&lt;&gt;"",7,"")</f>
        <v/>
      </c>
      <c r="C32" s="22" t="str">
        <f>IF(기초자료입력!B64&lt;&gt;"","위원","")</f>
        <v/>
      </c>
      <c r="D32" s="22" t="str">
        <f>IF(기초자료입력!B64&lt;&gt;"",기초자료입력!B64,"")</f>
        <v/>
      </c>
      <c r="E32" s="22" t="str">
        <f>IF(기초자료입력!C64&lt;&gt;"",기초자료입력!C64,"")</f>
        <v/>
      </c>
      <c r="F32" s="96"/>
      <c r="G32" s="96"/>
      <c r="H32" s="96"/>
    </row>
    <row r="33" spans="2:8" x14ac:dyDescent="0.3">
      <c r="B33" s="22" t="str">
        <f>IF(기초자료입력!B65&lt;&gt;"",8,"")</f>
        <v/>
      </c>
      <c r="C33" s="22" t="str">
        <f>IF(기초자료입력!B65&lt;&gt;"","위원","")</f>
        <v/>
      </c>
      <c r="D33" s="22" t="str">
        <f>IF(기초자료입력!B65&lt;&gt;"",기초자료입력!B65,"")</f>
        <v/>
      </c>
      <c r="E33" s="22" t="str">
        <f>IF(기초자료입력!C65&lt;&gt;"",기초자료입력!C65,"")</f>
        <v/>
      </c>
      <c r="F33" s="96"/>
      <c r="G33" s="96"/>
      <c r="H33" s="96"/>
    </row>
    <row r="34" spans="2:8" x14ac:dyDescent="0.3">
      <c r="B34" s="22" t="str">
        <f>IF(기초자료입력!B66&lt;&gt;"",9,"")</f>
        <v/>
      </c>
      <c r="C34" s="22" t="str">
        <f>IF(기초자료입력!B66&lt;&gt;"","위원","")</f>
        <v/>
      </c>
      <c r="D34" s="22" t="str">
        <f>IF(기초자료입력!B66&lt;&gt;"",기초자료입력!B66,"")</f>
        <v/>
      </c>
      <c r="E34" s="22" t="str">
        <f>IF(기초자료입력!C66&lt;&gt;"",기초자료입력!C66,"")</f>
        <v/>
      </c>
      <c r="F34" s="96"/>
      <c r="G34" s="96"/>
      <c r="H34" s="96"/>
    </row>
    <row r="35" spans="2:8" x14ac:dyDescent="0.3">
      <c r="B35" s="22" t="str">
        <f>IF(기초자료입력!B67&lt;&gt;"",10,"")</f>
        <v/>
      </c>
      <c r="C35" s="22" t="str">
        <f>IF(기초자료입력!B67&lt;&gt;"","위원","")</f>
        <v/>
      </c>
      <c r="D35" s="22" t="str">
        <f>IF(기초자료입력!B67&lt;&gt;"",기초자료입력!B67,"")</f>
        <v/>
      </c>
      <c r="E35" s="22" t="str">
        <f>IF(기초자료입력!C67&lt;&gt;"",기초자료입력!C67,"")</f>
        <v/>
      </c>
      <c r="F35" s="96"/>
      <c r="G35" s="96"/>
      <c r="H35" s="96"/>
    </row>
    <row r="36" spans="2:8" x14ac:dyDescent="0.3">
      <c r="B36" s="98" t="s">
        <v>625</v>
      </c>
      <c r="C36" s="98"/>
      <c r="D36" s="98"/>
      <c r="E36" s="98"/>
      <c r="F36" s="98"/>
      <c r="G36" s="98"/>
      <c r="H36" s="98"/>
    </row>
    <row r="37" spans="2:8" x14ac:dyDescent="0.3">
      <c r="B37" s="21"/>
      <c r="C37" s="21"/>
      <c r="D37" s="21"/>
      <c r="E37" s="21"/>
      <c r="F37" s="21"/>
      <c r="G37" s="21"/>
      <c r="H37" s="21"/>
    </row>
    <row r="38" spans="2:8" x14ac:dyDescent="0.3">
      <c r="B38" s="98" t="str">
        <f>"붙임  "&amp;IF(기초자료입력!C5&lt;&gt;"",기초자료입력!C5,"○○")&amp;"학년도 "&amp;IF(기초자료입력!C4&lt;&gt;"",기초자료입력!C4,"○○학교")&amp;" 교복 학교주관구매 계획안 1부.  끝."</f>
        <v>붙임  ○○학년도 ○○학교 교복 학교주관구매 계획안 1부.  끝.</v>
      </c>
      <c r="C38" s="98"/>
      <c r="D38" s="98"/>
      <c r="E38" s="98"/>
      <c r="F38" s="98"/>
      <c r="G38" s="98"/>
      <c r="H38" s="98"/>
    </row>
    <row r="39" spans="2:8" x14ac:dyDescent="0.3">
      <c r="B39" s="21"/>
      <c r="C39" s="21"/>
      <c r="D39" s="21"/>
      <c r="E39" s="21"/>
      <c r="F39" s="21"/>
      <c r="G39" s="21"/>
      <c r="H39" s="21"/>
    </row>
    <row r="40" spans="2:8" x14ac:dyDescent="0.3">
      <c r="B40" s="98" t="s">
        <v>626</v>
      </c>
      <c r="C40" s="98"/>
      <c r="D40" s="98"/>
      <c r="E40" s="98"/>
      <c r="F40" s="98"/>
      <c r="G40" s="98"/>
      <c r="H40" s="98"/>
    </row>
  </sheetData>
  <mergeCells count="32">
    <mergeCell ref="B38:H38"/>
    <mergeCell ref="B40:H40"/>
    <mergeCell ref="F31:H31"/>
    <mergeCell ref="F32:H32"/>
    <mergeCell ref="F33:H33"/>
    <mergeCell ref="F34:H34"/>
    <mergeCell ref="F35:H35"/>
    <mergeCell ref="B36:H36"/>
    <mergeCell ref="F30:H30"/>
    <mergeCell ref="B19:H19"/>
    <mergeCell ref="B20:H20"/>
    <mergeCell ref="B21:H21"/>
    <mergeCell ref="B22:H22"/>
    <mergeCell ref="B23:H23"/>
    <mergeCell ref="B24:H24"/>
    <mergeCell ref="F25:H25"/>
    <mergeCell ref="F26:H26"/>
    <mergeCell ref="F27:H27"/>
    <mergeCell ref="F28:H28"/>
    <mergeCell ref="F29:H29"/>
    <mergeCell ref="B18:H18"/>
    <mergeCell ref="B3:H4"/>
    <mergeCell ref="C6:H6"/>
    <mergeCell ref="C7:H7"/>
    <mergeCell ref="C8:H8"/>
    <mergeCell ref="C9:H9"/>
    <mergeCell ref="B11:H11"/>
    <mergeCell ref="B12:H12"/>
    <mergeCell ref="B13:H13"/>
    <mergeCell ref="B15:H15"/>
    <mergeCell ref="B16:H16"/>
    <mergeCell ref="B17:H17"/>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13314"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16421-7CA8-4832-99AB-BA99B6B5E623}">
  <sheetPr codeName="Sheet14"/>
  <dimension ref="A1:H33"/>
  <sheetViews>
    <sheetView workbookViewId="0">
      <selection activeCell="C16" sqref="C16"/>
    </sheetView>
  </sheetViews>
  <sheetFormatPr defaultRowHeight="16.5" x14ac:dyDescent="0.3"/>
  <cols>
    <col min="1" max="1" width="3.125" customWidth="1"/>
    <col min="2" max="2" width="11.625" customWidth="1"/>
    <col min="3" max="8" width="9.625" customWidth="1"/>
  </cols>
  <sheetData>
    <row r="1" spans="1:8" x14ac:dyDescent="0.3">
      <c r="A1" s="20" t="s">
        <v>300</v>
      </c>
    </row>
    <row r="3" spans="1:8" ht="30" customHeight="1" x14ac:dyDescent="0.3">
      <c r="B3" s="107" t="s">
        <v>292</v>
      </c>
      <c r="C3" s="84"/>
      <c r="D3" s="84"/>
      <c r="E3" s="84"/>
      <c r="F3" s="84"/>
      <c r="G3" s="84"/>
      <c r="H3" s="84"/>
    </row>
    <row r="5" spans="1:8" x14ac:dyDescent="0.3">
      <c r="B5" s="25" t="s">
        <v>26</v>
      </c>
      <c r="C5" s="22" t="str">
        <f>IF(기초자료입력!C9&lt;&gt;"",기초자료입력!C9,"")</f>
        <v/>
      </c>
      <c r="D5" s="22"/>
      <c r="E5" s="25" t="s">
        <v>293</v>
      </c>
      <c r="F5" s="22" t="str">
        <f>IF(기초자료입력!C8&lt;&gt;"",TEXT(기초자료입력!C8,"yyyy-mm-dd"),"")</f>
        <v/>
      </c>
      <c r="G5" s="22"/>
      <c r="H5" s="22"/>
    </row>
    <row r="6" spans="1:8" x14ac:dyDescent="0.3">
      <c r="B6" s="22"/>
      <c r="C6" s="22"/>
      <c r="D6" s="22"/>
      <c r="E6" s="22"/>
      <c r="F6" s="22"/>
      <c r="G6" s="22"/>
      <c r="H6" s="22"/>
    </row>
    <row r="7" spans="1:8" x14ac:dyDescent="0.3">
      <c r="B7" s="25" t="s">
        <v>294</v>
      </c>
      <c r="C7" s="96" t="str">
        <f>IF(기초자료입력!C21&lt;&gt;"",기초자료입력!C21,"내부결재")</f>
        <v>내부결재</v>
      </c>
      <c r="D7" s="96"/>
      <c r="E7" s="96"/>
      <c r="F7" s="96"/>
      <c r="G7" s="96"/>
      <c r="H7" s="96"/>
    </row>
    <row r="8" spans="1:8" x14ac:dyDescent="0.3">
      <c r="B8" s="25" t="s">
        <v>301</v>
      </c>
      <c r="C8" s="96"/>
      <c r="D8" s="96"/>
      <c r="E8" s="96"/>
      <c r="F8" s="96"/>
      <c r="G8" s="96"/>
      <c r="H8" s="96"/>
    </row>
    <row r="9" spans="1:8" x14ac:dyDescent="0.3">
      <c r="B9" s="25" t="s">
        <v>295</v>
      </c>
      <c r="C9" s="97" t="str">
        <f>IF(기초자료입력!C22&lt;&gt;"",기초자료입력!C22,기초자료입력!C5&amp;"학년도 "&amp;기초자료입력!C12&amp;" 구매 요청")</f>
        <v>학년도  구매 요청</v>
      </c>
      <c r="D9" s="96"/>
      <c r="E9" s="96"/>
      <c r="F9" s="96"/>
      <c r="G9" s="96"/>
      <c r="H9" s="96"/>
    </row>
    <row r="10" spans="1:8" ht="39.950000000000003" customHeight="1" x14ac:dyDescent="0.3">
      <c r="B10" s="22"/>
      <c r="C10" s="22"/>
      <c r="D10" s="22"/>
      <c r="E10" s="22"/>
      <c r="F10" s="22"/>
      <c r="G10" s="22"/>
      <c r="H10" s="22"/>
    </row>
    <row r="11" spans="1:8" x14ac:dyDescent="0.3">
      <c r="B11" s="25" t="s">
        <v>302</v>
      </c>
      <c r="C11" s="96" t="str">
        <f>IF(기초자료입력!C23&lt;&gt;"",기초자료입력!C23,"")</f>
        <v/>
      </c>
      <c r="D11" s="96"/>
      <c r="E11" s="96"/>
      <c r="F11" s="96"/>
      <c r="G11" s="96"/>
      <c r="H11" s="96"/>
    </row>
    <row r="12" spans="1:8" x14ac:dyDescent="0.3">
      <c r="B12" s="22"/>
      <c r="C12" s="22"/>
      <c r="D12" s="22"/>
      <c r="E12" s="22"/>
      <c r="F12" s="22"/>
      <c r="G12" s="22"/>
      <c r="H12" s="22"/>
    </row>
    <row r="13" spans="1:8" x14ac:dyDescent="0.3">
      <c r="B13" s="108" t="str">
        <f>"2. "&amp;기초자료입력!C5&amp;"학년도 "&amp;기초자료입력!C12&amp;IF(기초자료입력!C12="","을",IF(MOD(_xlfn.UNICODE(RIGHT(기초자료입력!C12,1))-44032,28)=0,"를","을"))&amp;" 위하여 교복 구매 계획에 대한 학교운영위원회 심의가 완료되어, 아래와 같이 구매 요청을 하고자 합니다."</f>
        <v>2. 학년도 을 위하여 교복 구매 계획에 대한 학교운영위원회 심의가 완료되어, 아래와 같이 구매 요청을 하고자 합니다.</v>
      </c>
      <c r="C13" s="108"/>
      <c r="D13" s="108"/>
      <c r="E13" s="108"/>
      <c r="F13" s="108"/>
      <c r="G13" s="108"/>
      <c r="H13" s="108"/>
    </row>
    <row r="14" spans="1:8" x14ac:dyDescent="0.3">
      <c r="B14" s="22"/>
      <c r="C14" s="22"/>
      <c r="D14" s="22"/>
      <c r="E14" s="22"/>
      <c r="F14" s="22"/>
      <c r="G14" s="22"/>
      <c r="H14" s="22"/>
    </row>
    <row r="15" spans="1:8" x14ac:dyDescent="0.3">
      <c r="B15" s="25" t="s">
        <v>303</v>
      </c>
      <c r="C15" s="22" t="str">
        <f>기초자료입력!C5&amp;"학년도 신입생 중 학교주관구매 참여자 "&amp;IF(기초자료입력!C16&lt;&gt;"",기초자료입력!C16,"○○")&amp;"명"</f>
        <v>학년도 신입생 중 학교주관구매 참여자 ○○명</v>
      </c>
      <c r="D15" s="22"/>
      <c r="E15" s="22"/>
      <c r="F15" s="22"/>
      <c r="G15" s="22"/>
      <c r="H15" s="22"/>
    </row>
    <row r="16" spans="1:8" x14ac:dyDescent="0.3">
      <c r="B16" s="25" t="s">
        <v>304</v>
      </c>
      <c r="C16" s="22" t="str">
        <f>"동복 "&amp;IF(SUM(기초자료입력!D29:D32)=0,"○○○,○○○",TEXT(SUM(기초자료입력!D29:D32),"#,##0"))&amp;"원, 하복 "&amp;IF(SUM(기초자료입력!D33:D34)=0,"○○,○○○",TEXT(SUM(기초자료입력!D33:D34),"#,##0"))&amp;"원"</f>
        <v>동복 ○○○,○○○원, 하복 ○○,○○○원</v>
      </c>
      <c r="D16" s="22"/>
      <c r="E16" s="22"/>
      <c r="F16" s="22"/>
      <c r="G16" s="22"/>
      <c r="H16" s="22"/>
    </row>
    <row r="17" spans="2:8" x14ac:dyDescent="0.3">
      <c r="B17" s="25" t="s">
        <v>305</v>
      </c>
      <c r="C17" s="22" t="s">
        <v>307</v>
      </c>
      <c r="D17" s="22"/>
      <c r="E17" s="22"/>
      <c r="F17" s="22"/>
      <c r="G17" s="22"/>
      <c r="H17" s="22"/>
    </row>
    <row r="18" spans="2:8" x14ac:dyDescent="0.3">
      <c r="B18" s="25" t="s">
        <v>306</v>
      </c>
      <c r="C18" s="22" t="str">
        <f>IF(기초자료입력!C17&lt;&gt;"",IFERROR(TEXT(기초자료입력!C17,"yyyy-mm-dd"),기초자료입력!C17),"")</f>
        <v/>
      </c>
      <c r="D18" s="22"/>
      <c r="E18" s="22"/>
      <c r="F18" s="22"/>
      <c r="G18" s="22"/>
      <c r="H18" s="22"/>
    </row>
    <row r="19" spans="2:8" x14ac:dyDescent="0.3">
      <c r="B19" s="22"/>
      <c r="C19" s="22"/>
      <c r="D19" s="22"/>
      <c r="E19" s="22"/>
      <c r="F19" s="22"/>
      <c r="G19" s="22"/>
      <c r="H19" s="22"/>
    </row>
    <row r="20" spans="2:8" x14ac:dyDescent="0.3">
      <c r="B20" s="25" t="s">
        <v>296</v>
      </c>
      <c r="C20" s="22" t="str">
        <f>IF(기초자료입력!C24&lt;&gt;"",기초자료입력!C24,"교복 사양서 1부")&amp;"  끝."</f>
        <v>교복 사양서 1부  끝.</v>
      </c>
      <c r="D20" s="22"/>
      <c r="E20" s="22"/>
      <c r="F20" s="22"/>
      <c r="G20" s="22"/>
      <c r="H20" s="22"/>
    </row>
    <row r="21" spans="2:8" x14ac:dyDescent="0.3">
      <c r="B21" s="22"/>
      <c r="C21" s="22"/>
      <c r="D21" s="22"/>
      <c r="E21" s="22"/>
      <c r="F21" s="22"/>
      <c r="G21" s="22"/>
      <c r="H21" s="22"/>
    </row>
    <row r="22" spans="2:8" x14ac:dyDescent="0.3">
      <c r="B22" s="22"/>
      <c r="C22" s="22"/>
      <c r="D22" s="22"/>
      <c r="E22" s="22"/>
      <c r="F22" s="22"/>
      <c r="G22" s="22"/>
      <c r="H22" s="22"/>
    </row>
    <row r="23" spans="2:8" x14ac:dyDescent="0.3">
      <c r="B23" s="22"/>
      <c r="C23" s="22"/>
      <c r="D23" s="22"/>
      <c r="E23" s="22"/>
      <c r="F23" s="22" t="s">
        <v>297</v>
      </c>
      <c r="G23" s="22" t="s">
        <v>308</v>
      </c>
      <c r="H23" s="22" t="s">
        <v>298</v>
      </c>
    </row>
    <row r="24" spans="2:8" x14ac:dyDescent="0.3">
      <c r="B24" s="25" t="s">
        <v>309</v>
      </c>
      <c r="C24" s="96" t="str">
        <f>IF(기초자료입력!C9&lt;&gt;"",기초자료입력!C9,"")</f>
        <v/>
      </c>
      <c r="D24" s="96"/>
      <c r="E24" s="96"/>
      <c r="F24" s="25" t="s">
        <v>310</v>
      </c>
      <c r="G24" s="96"/>
      <c r="H24" s="96"/>
    </row>
    <row r="25" spans="2:8" x14ac:dyDescent="0.3">
      <c r="B25" s="25" t="s">
        <v>311</v>
      </c>
      <c r="C25" s="22"/>
      <c r="D25" s="25" t="s">
        <v>312</v>
      </c>
      <c r="E25" s="96"/>
      <c r="F25" s="96"/>
      <c r="G25" s="96"/>
      <c r="H25" s="96"/>
    </row>
    <row r="26" spans="2:8" x14ac:dyDescent="0.3">
      <c r="B26" s="25" t="s">
        <v>313</v>
      </c>
      <c r="C26" s="22"/>
      <c r="D26" s="25" t="s">
        <v>314</v>
      </c>
      <c r="E26" s="22"/>
      <c r="F26" s="25" t="s">
        <v>315</v>
      </c>
      <c r="G26" s="96"/>
      <c r="H26" s="96"/>
    </row>
    <row r="29" spans="2:8" ht="5.0999999999999996" customHeight="1" x14ac:dyDescent="0.3"/>
    <row r="30" spans="2:8" ht="18" customHeight="1" x14ac:dyDescent="0.3"/>
    <row r="31" spans="2:8" ht="18" customHeight="1" x14ac:dyDescent="0.3"/>
    <row r="32" spans="2:8" ht="18" customHeight="1" x14ac:dyDescent="0.3"/>
    <row r="33" ht="18" customHeight="1" x14ac:dyDescent="0.3"/>
  </sheetData>
  <mergeCells count="10">
    <mergeCell ref="B3:H3"/>
    <mergeCell ref="C7:H7"/>
    <mergeCell ref="C8:H8"/>
    <mergeCell ref="E25:H25"/>
    <mergeCell ref="G26:H26"/>
    <mergeCell ref="C9:H9"/>
    <mergeCell ref="C11:H11"/>
    <mergeCell ref="B13:H13"/>
    <mergeCell ref="C24:E24"/>
    <mergeCell ref="G24:H24"/>
  </mergeCells>
  <phoneticPr fontId="6" type="noConversion"/>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14338"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73F6C-23E9-49B8-9736-D9CBED098E86}">
  <sheetPr codeName="Sheet15"/>
  <dimension ref="A1:H29"/>
  <sheetViews>
    <sheetView workbookViewId="0">
      <selection activeCell="B3" sqref="B3:H4"/>
    </sheetView>
  </sheetViews>
  <sheetFormatPr defaultRowHeight="16.5" x14ac:dyDescent="0.3"/>
  <cols>
    <col min="1" max="1" width="3.125" customWidth="1"/>
    <col min="2" max="2" width="12.625" customWidth="1"/>
    <col min="3" max="8" width="9.625" customWidth="1"/>
  </cols>
  <sheetData>
    <row r="1" spans="1:8" x14ac:dyDescent="0.3">
      <c r="A1" s="20" t="s">
        <v>716</v>
      </c>
    </row>
    <row r="3" spans="1:8" x14ac:dyDescent="0.3">
      <c r="B3" s="83" t="str">
        <f>IF(기초자료입력!C4&lt;&gt;"",기초자료입력!C4,"○○○○학교")&amp;" 교복 사양서(규격서)"</f>
        <v>○○○○학교 교복 사양서(규격서)</v>
      </c>
      <c r="C3" s="109"/>
      <c r="D3" s="109"/>
      <c r="E3" s="109"/>
      <c r="F3" s="109"/>
      <c r="G3" s="109"/>
      <c r="H3" s="109"/>
    </row>
    <row r="4" spans="1:8" x14ac:dyDescent="0.3">
      <c r="B4" s="109"/>
      <c r="C4" s="109"/>
      <c r="D4" s="109"/>
      <c r="E4" s="109"/>
      <c r="F4" s="109"/>
      <c r="G4" s="109"/>
      <c r="H4" s="109"/>
    </row>
    <row r="5" spans="1:8" x14ac:dyDescent="0.3">
      <c r="B5" s="38"/>
      <c r="C5" s="38"/>
      <c r="D5" s="38"/>
      <c r="E5" s="38"/>
      <c r="F5" s="38"/>
      <c r="G5" s="38"/>
      <c r="H5" s="38"/>
    </row>
    <row r="6" spans="1:8" x14ac:dyDescent="0.3">
      <c r="B6" s="90" t="s">
        <v>717</v>
      </c>
      <c r="C6" s="89"/>
      <c r="D6" s="89"/>
      <c r="E6" s="89"/>
      <c r="F6" s="89"/>
      <c r="G6" s="89"/>
      <c r="H6" s="89"/>
    </row>
    <row r="7" spans="1:8" x14ac:dyDescent="0.3">
      <c r="B7" s="61" t="s">
        <v>331</v>
      </c>
      <c r="C7" s="110" t="s">
        <v>718</v>
      </c>
      <c r="D7" s="111"/>
      <c r="E7" s="111"/>
      <c r="F7" s="110" t="s">
        <v>320</v>
      </c>
      <c r="G7" s="111"/>
      <c r="H7" s="111"/>
    </row>
    <row r="8" spans="1:8" ht="20.100000000000001" customHeight="1" x14ac:dyDescent="0.3">
      <c r="B8" s="37" t="str">
        <f>IF(기초자료입력!B29&lt;&gt;"",기초자료입력!B29,"")</f>
        <v/>
      </c>
      <c r="C8" s="82"/>
      <c r="D8" s="82"/>
      <c r="E8" s="82"/>
      <c r="F8" s="82"/>
      <c r="G8" s="82"/>
      <c r="H8" s="82"/>
    </row>
    <row r="9" spans="1:8" ht="20.100000000000001" customHeight="1" x14ac:dyDescent="0.3">
      <c r="B9" s="37" t="str">
        <f>IF(기초자료입력!B30&lt;&gt;"",기초자료입력!B30,"")</f>
        <v/>
      </c>
      <c r="C9" s="82"/>
      <c r="D9" s="82"/>
      <c r="E9" s="82"/>
      <c r="F9" s="82"/>
      <c r="G9" s="82"/>
      <c r="H9" s="82"/>
    </row>
    <row r="10" spans="1:8" ht="20.100000000000001" customHeight="1" x14ac:dyDescent="0.3">
      <c r="B10" s="37" t="str">
        <f>IF(기초자료입력!B31&lt;&gt;"",기초자료입력!B31,"")</f>
        <v/>
      </c>
      <c r="C10" s="82"/>
      <c r="D10" s="82"/>
      <c r="E10" s="82"/>
      <c r="F10" s="82"/>
      <c r="G10" s="82"/>
      <c r="H10" s="82"/>
    </row>
    <row r="11" spans="1:8" ht="20.100000000000001" customHeight="1" x14ac:dyDescent="0.3">
      <c r="B11" s="37" t="str">
        <f>IF(기초자료입력!B32&lt;&gt;"",기초자료입력!B32,"")</f>
        <v/>
      </c>
      <c r="C11" s="82"/>
      <c r="D11" s="82"/>
      <c r="E11" s="82"/>
      <c r="F11" s="82"/>
      <c r="G11" s="82"/>
      <c r="H11" s="82"/>
    </row>
    <row r="12" spans="1:8" ht="20.100000000000001" customHeight="1" x14ac:dyDescent="0.3">
      <c r="B12" s="37" t="str">
        <f>IF(기초자료입력!B33&lt;&gt;"",기초자료입력!B33,"")</f>
        <v/>
      </c>
      <c r="C12" s="82"/>
      <c r="D12" s="82"/>
      <c r="E12" s="82"/>
      <c r="F12" s="82"/>
      <c r="G12" s="82"/>
      <c r="H12" s="82"/>
    </row>
    <row r="13" spans="1:8" ht="20.100000000000001" customHeight="1" x14ac:dyDescent="0.3">
      <c r="B13" s="37" t="str">
        <f>IF(기초자료입력!B34&lt;&gt;"",기초자료입력!B34,"")</f>
        <v/>
      </c>
      <c r="C13" s="82"/>
      <c r="D13" s="82"/>
      <c r="E13" s="82"/>
      <c r="F13" s="82"/>
      <c r="G13" s="82"/>
      <c r="H13" s="82"/>
    </row>
    <row r="14" spans="1:8" x14ac:dyDescent="0.3">
      <c r="B14" s="38"/>
      <c r="C14" s="38"/>
      <c r="D14" s="38"/>
      <c r="E14" s="38"/>
      <c r="F14" s="38"/>
      <c r="G14" s="38"/>
      <c r="H14" s="38"/>
    </row>
    <row r="15" spans="1:8" x14ac:dyDescent="0.3">
      <c r="B15" s="38"/>
      <c r="C15" s="38"/>
      <c r="D15" s="38"/>
      <c r="E15" s="38"/>
      <c r="F15" s="38"/>
      <c r="G15" s="38"/>
      <c r="H15" s="38"/>
    </row>
    <row r="16" spans="1:8" x14ac:dyDescent="0.3">
      <c r="B16" s="85" t="s">
        <v>719</v>
      </c>
      <c r="C16" s="82"/>
      <c r="D16" s="82"/>
      <c r="E16" s="82"/>
      <c r="F16" s="82"/>
      <c r="G16" s="82"/>
      <c r="H16" s="82"/>
    </row>
    <row r="17" spans="2:8" x14ac:dyDescent="0.3">
      <c r="B17" s="82" t="s">
        <v>720</v>
      </c>
      <c r="C17" s="82"/>
      <c r="D17" s="82"/>
      <c r="E17" s="82"/>
      <c r="F17" s="82"/>
      <c r="G17" s="82"/>
      <c r="H17" s="82"/>
    </row>
    <row r="18" spans="2:8" ht="39.950000000000003" customHeight="1" x14ac:dyDescent="0.3">
      <c r="B18" s="82"/>
      <c r="C18" s="82"/>
      <c r="D18" s="82"/>
      <c r="E18" s="82"/>
      <c r="F18" s="82"/>
      <c r="G18" s="82"/>
      <c r="H18" s="82"/>
    </row>
    <row r="19" spans="2:8" x14ac:dyDescent="0.3">
      <c r="B19" s="82" t="s">
        <v>721</v>
      </c>
      <c r="C19" s="82"/>
      <c r="D19" s="82"/>
      <c r="E19" s="82"/>
      <c r="F19" s="82"/>
      <c r="G19" s="82"/>
      <c r="H19" s="82"/>
    </row>
    <row r="20" spans="2:8" ht="69.95" customHeight="1" x14ac:dyDescent="0.3">
      <c r="B20" s="82"/>
      <c r="C20" s="82"/>
      <c r="D20" s="82"/>
      <c r="E20" s="82"/>
      <c r="F20" s="82"/>
      <c r="G20" s="82"/>
      <c r="H20" s="82"/>
    </row>
    <row r="21" spans="2:8" x14ac:dyDescent="0.3">
      <c r="B21" s="38"/>
      <c r="C21" s="38"/>
      <c r="D21" s="38"/>
      <c r="E21" s="38"/>
      <c r="F21" s="38"/>
      <c r="G21" s="38"/>
      <c r="H21" s="38"/>
    </row>
    <row r="22" spans="2:8" x14ac:dyDescent="0.3">
      <c r="B22" s="90" t="s">
        <v>722</v>
      </c>
      <c r="C22" s="89"/>
      <c r="D22" s="89"/>
      <c r="E22" s="89"/>
      <c r="F22" s="89"/>
      <c r="G22" s="89"/>
      <c r="H22" s="89"/>
    </row>
    <row r="23" spans="2:8" x14ac:dyDescent="0.3">
      <c r="B23" s="61" t="s">
        <v>318</v>
      </c>
      <c r="C23" s="110" t="s">
        <v>723</v>
      </c>
      <c r="D23" s="111"/>
      <c r="E23" s="110" t="s">
        <v>724</v>
      </c>
      <c r="F23" s="111"/>
      <c r="G23" s="110" t="s">
        <v>725</v>
      </c>
      <c r="H23" s="111"/>
    </row>
    <row r="24" spans="2:8" ht="110.1" customHeight="1" x14ac:dyDescent="0.3">
      <c r="B24" s="37" t="str">
        <f>IF(기초자료입력!B29&lt;&gt;"",기초자료입력!B29,"")</f>
        <v/>
      </c>
      <c r="C24" s="112" t="s">
        <v>726</v>
      </c>
      <c r="D24" s="112"/>
      <c r="E24" s="82"/>
      <c r="F24" s="82"/>
      <c r="G24" s="82"/>
      <c r="H24" s="82"/>
    </row>
    <row r="25" spans="2:8" ht="110.1" customHeight="1" x14ac:dyDescent="0.3">
      <c r="B25" s="37" t="str">
        <f>IF(기초자료입력!B30&lt;&gt;"",기초자료입력!B30,"")</f>
        <v/>
      </c>
      <c r="C25" s="112" t="s">
        <v>726</v>
      </c>
      <c r="D25" s="112"/>
      <c r="E25" s="82"/>
      <c r="F25" s="82"/>
      <c r="G25" s="82"/>
      <c r="H25" s="82"/>
    </row>
    <row r="26" spans="2:8" ht="110.1" customHeight="1" x14ac:dyDescent="0.3">
      <c r="B26" s="37" t="str">
        <f>IF(기초자료입력!B31&lt;&gt;"",기초자료입력!B31,"")</f>
        <v/>
      </c>
      <c r="C26" s="112" t="s">
        <v>726</v>
      </c>
      <c r="D26" s="112"/>
      <c r="E26" s="82"/>
      <c r="F26" s="82"/>
      <c r="G26" s="82"/>
      <c r="H26" s="82"/>
    </row>
    <row r="27" spans="2:8" ht="110.1" customHeight="1" x14ac:dyDescent="0.3">
      <c r="B27" s="37" t="str">
        <f>IF(기초자료입력!B32&lt;&gt;"",기초자료입력!B32,"")</f>
        <v/>
      </c>
      <c r="C27" s="112" t="s">
        <v>726</v>
      </c>
      <c r="D27" s="112"/>
      <c r="E27" s="82"/>
      <c r="F27" s="82"/>
      <c r="G27" s="82"/>
      <c r="H27" s="82"/>
    </row>
    <row r="28" spans="2:8" ht="110.1" customHeight="1" x14ac:dyDescent="0.3">
      <c r="B28" s="37" t="str">
        <f>IF(기초자료입력!B33&lt;&gt;"",기초자료입력!B33,"")</f>
        <v/>
      </c>
      <c r="C28" s="112" t="s">
        <v>726</v>
      </c>
      <c r="D28" s="112"/>
      <c r="E28" s="82"/>
      <c r="F28" s="82"/>
      <c r="G28" s="82"/>
      <c r="H28" s="82"/>
    </row>
    <row r="29" spans="2:8" ht="110.1" customHeight="1" x14ac:dyDescent="0.3">
      <c r="B29" s="37" t="str">
        <f>IF(기초자료입력!B34&lt;&gt;"",기초자료입력!B34,"")</f>
        <v/>
      </c>
      <c r="C29" s="112" t="s">
        <v>726</v>
      </c>
      <c r="D29" s="112"/>
      <c r="E29" s="82"/>
      <c r="F29" s="82"/>
      <c r="G29" s="82"/>
      <c r="H29" s="82"/>
    </row>
  </sheetData>
  <mergeCells count="43">
    <mergeCell ref="C28:D28"/>
    <mergeCell ref="E28:F28"/>
    <mergeCell ref="G28:H28"/>
    <mergeCell ref="C29:D29"/>
    <mergeCell ref="E29:F29"/>
    <mergeCell ref="G29:H29"/>
    <mergeCell ref="C26:D26"/>
    <mergeCell ref="E26:F26"/>
    <mergeCell ref="G26:H26"/>
    <mergeCell ref="C27:D27"/>
    <mergeCell ref="E27:F27"/>
    <mergeCell ref="G27:H27"/>
    <mergeCell ref="C24:D24"/>
    <mergeCell ref="E24:F24"/>
    <mergeCell ref="G24:H24"/>
    <mergeCell ref="C25:D25"/>
    <mergeCell ref="E25:F25"/>
    <mergeCell ref="G25:H25"/>
    <mergeCell ref="B18:H18"/>
    <mergeCell ref="B19:H19"/>
    <mergeCell ref="B20:H20"/>
    <mergeCell ref="B22:H22"/>
    <mergeCell ref="C23:D23"/>
    <mergeCell ref="E23:F23"/>
    <mergeCell ref="G23:H23"/>
    <mergeCell ref="B17:H17"/>
    <mergeCell ref="C9:E9"/>
    <mergeCell ref="F9:H9"/>
    <mergeCell ref="C10:E10"/>
    <mergeCell ref="F10:H10"/>
    <mergeCell ref="C11:E11"/>
    <mergeCell ref="F11:H11"/>
    <mergeCell ref="C12:E12"/>
    <mergeCell ref="F12:H12"/>
    <mergeCell ref="C13:E13"/>
    <mergeCell ref="F13:H13"/>
    <mergeCell ref="B16:H16"/>
    <mergeCell ref="B3:H4"/>
    <mergeCell ref="B6:H6"/>
    <mergeCell ref="C7:E7"/>
    <mergeCell ref="F7:H7"/>
    <mergeCell ref="C8:E8"/>
    <mergeCell ref="F8:H8"/>
  </mergeCells>
  <phoneticPr fontId="6" type="noConversion"/>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15362"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F16E6-732D-4354-9646-053C17BD82DA}">
  <sheetPr codeName="Sheet16"/>
  <dimension ref="A1:H30"/>
  <sheetViews>
    <sheetView workbookViewId="0"/>
  </sheetViews>
  <sheetFormatPr defaultRowHeight="16.5" x14ac:dyDescent="0.3"/>
  <cols>
    <col min="1" max="1" width="3.125" customWidth="1"/>
    <col min="2" max="2" width="10.625" customWidth="1"/>
    <col min="3" max="8" width="9.625" customWidth="1"/>
  </cols>
  <sheetData>
    <row r="1" spans="1:8" x14ac:dyDescent="0.3">
      <c r="A1" s="20" t="s">
        <v>627</v>
      </c>
    </row>
    <row r="3" spans="1:8" x14ac:dyDescent="0.3">
      <c r="B3" s="83" t="s">
        <v>628</v>
      </c>
      <c r="C3" s="84"/>
      <c r="D3" s="84"/>
      <c r="E3" s="84"/>
      <c r="F3" s="84"/>
      <c r="G3" s="84"/>
      <c r="H3" s="84"/>
    </row>
    <row r="4" spans="1:8" x14ac:dyDescent="0.3">
      <c r="B4" s="84"/>
      <c r="C4" s="84"/>
      <c r="D4" s="84"/>
      <c r="E4" s="84"/>
      <c r="F4" s="84"/>
      <c r="G4" s="84"/>
      <c r="H4" s="84"/>
    </row>
    <row r="5" spans="1:8" x14ac:dyDescent="0.3">
      <c r="B5" s="54" t="s">
        <v>26</v>
      </c>
      <c r="C5" s="59" t="str">
        <f>IF(기초자료입력!C9&lt;&gt;"",기초자료입력!C9,"")</f>
        <v/>
      </c>
      <c r="D5" s="59"/>
      <c r="E5" s="54" t="s">
        <v>293</v>
      </c>
      <c r="F5" s="59" t="str">
        <f>IF(기초자료입력!C8&lt;&gt;"",TEXT(기초자료입력!C8,"yyyy-mm-dd"),"")</f>
        <v/>
      </c>
      <c r="G5" s="59"/>
      <c r="H5" s="59"/>
    </row>
    <row r="6" spans="1:8" x14ac:dyDescent="0.3">
      <c r="B6" s="59"/>
      <c r="C6" s="59"/>
      <c r="D6" s="59"/>
      <c r="E6" s="59"/>
      <c r="F6" s="59"/>
      <c r="G6" s="59"/>
      <c r="H6" s="59"/>
    </row>
    <row r="7" spans="1:8" x14ac:dyDescent="0.3">
      <c r="B7" s="54" t="s">
        <v>294</v>
      </c>
      <c r="C7" s="82" t="s">
        <v>514</v>
      </c>
      <c r="D7" s="82"/>
      <c r="E7" s="82"/>
      <c r="F7" s="82"/>
      <c r="G7" s="82"/>
      <c r="H7" s="82"/>
    </row>
    <row r="8" spans="1:8" x14ac:dyDescent="0.3">
      <c r="B8" s="54" t="s">
        <v>301</v>
      </c>
      <c r="C8" s="82"/>
      <c r="D8" s="82"/>
      <c r="E8" s="82"/>
      <c r="F8" s="82"/>
      <c r="G8" s="82"/>
      <c r="H8" s="82"/>
    </row>
    <row r="9" spans="1:8" x14ac:dyDescent="0.3">
      <c r="B9" s="54" t="s">
        <v>295</v>
      </c>
      <c r="C9" s="82" t="str">
        <f>IF(기초자료입력!C22&lt;&gt;"",기초자료입력!C22,IF(기초자료입력!C5&lt;&gt;"",기초자료입력!C5,"20○○")&amp;"학년도 교복 학교주관구매 기초금액 및 계약방법 결정")</f>
        <v>20○○학년도 교복 학교주관구매 기초금액 및 계약방법 결정</v>
      </c>
      <c r="D9" s="82"/>
      <c r="E9" s="82"/>
      <c r="F9" s="82"/>
      <c r="G9" s="82"/>
      <c r="H9" s="82"/>
    </row>
    <row r="10" spans="1:8" x14ac:dyDescent="0.3">
      <c r="B10" s="58"/>
      <c r="C10" s="58"/>
      <c r="D10" s="58"/>
      <c r="E10" s="58"/>
      <c r="F10" s="58"/>
      <c r="G10" s="58"/>
      <c r="H10" s="58"/>
    </row>
    <row r="11" spans="1:8" x14ac:dyDescent="0.3">
      <c r="B11" s="113" t="s">
        <v>629</v>
      </c>
      <c r="C11" s="100"/>
      <c r="D11" s="100"/>
      <c r="E11" s="100"/>
      <c r="F11" s="100"/>
      <c r="G11" s="100"/>
      <c r="H11" s="100"/>
    </row>
    <row r="12" spans="1:8" x14ac:dyDescent="0.3">
      <c r="B12" s="100"/>
      <c r="C12" s="100"/>
      <c r="D12" s="100"/>
      <c r="E12" s="100"/>
      <c r="F12" s="100"/>
      <c r="G12" s="100"/>
      <c r="H12" s="100"/>
    </row>
    <row r="13" spans="1:8" x14ac:dyDescent="0.3">
      <c r="B13" s="58"/>
      <c r="C13" s="58"/>
      <c r="D13" s="58"/>
      <c r="E13" s="58"/>
      <c r="F13" s="58"/>
      <c r="G13" s="58"/>
      <c r="H13" s="58"/>
    </row>
    <row r="14" spans="1:8" x14ac:dyDescent="0.3">
      <c r="B14" s="100" t="str">
        <f>"2. "&amp;IF(기초자료입력!C5&lt;&gt;"",기초자료입력!C5,"20○○")&amp;"학년도 교복 학교주관구매를 위하여 아래와 같이 기초금액을 결정하고 계약상대자를 결정하고자 합니다."</f>
        <v>2. 20○○학년도 교복 학교주관구매를 위하여 아래와 같이 기초금액을 결정하고 계약상대자를 결정하고자 합니다.</v>
      </c>
      <c r="C14" s="100"/>
      <c r="D14" s="100"/>
      <c r="E14" s="100"/>
      <c r="F14" s="100"/>
      <c r="G14" s="100"/>
      <c r="H14" s="100"/>
    </row>
    <row r="15" spans="1:8" x14ac:dyDescent="0.3">
      <c r="B15" s="100"/>
      <c r="C15" s="100"/>
      <c r="D15" s="100"/>
      <c r="E15" s="100"/>
      <c r="F15" s="100"/>
      <c r="G15" s="100"/>
      <c r="H15" s="100"/>
    </row>
    <row r="16" spans="1:8" x14ac:dyDescent="0.3">
      <c r="B16" s="58"/>
      <c r="C16" s="58"/>
      <c r="D16" s="58"/>
      <c r="E16" s="58"/>
      <c r="F16" s="58"/>
      <c r="G16" s="58"/>
      <c r="H16" s="58"/>
    </row>
    <row r="17" spans="2:8" x14ac:dyDescent="0.3">
      <c r="B17" s="53" t="s">
        <v>630</v>
      </c>
      <c r="C17" s="89" t="str">
        <f>IF(기초자료입력!C12&lt;&gt;"",기초자료입력!C12,"")</f>
        <v/>
      </c>
      <c r="D17" s="89"/>
      <c r="E17" s="89"/>
      <c r="F17" s="89"/>
      <c r="G17" s="89"/>
      <c r="H17" s="89"/>
    </row>
    <row r="18" spans="2:8" x14ac:dyDescent="0.3">
      <c r="B18" s="53" t="s">
        <v>631</v>
      </c>
      <c r="C18" s="89" t="s">
        <v>632</v>
      </c>
      <c r="D18" s="89"/>
      <c r="E18" s="89"/>
      <c r="F18" s="89"/>
      <c r="G18" s="89"/>
      <c r="H18" s="89"/>
    </row>
    <row r="19" spans="2:8" x14ac:dyDescent="0.3">
      <c r="B19" s="53" t="s">
        <v>633</v>
      </c>
      <c r="C19" s="89" t="str">
        <f>IF(기초자료입력!C15&lt;&gt;"","금"&amp;TEXT(기초자료입력!C15,"#,##0")&amp;"원","")</f>
        <v/>
      </c>
      <c r="D19" s="89"/>
      <c r="E19" s="89"/>
      <c r="F19" s="89"/>
      <c r="G19" s="89"/>
      <c r="H19" s="89"/>
    </row>
    <row r="20" spans="2:8" x14ac:dyDescent="0.3">
      <c r="B20" s="53" t="s">
        <v>634</v>
      </c>
      <c r="C20" s="89" t="str">
        <f>IF(기초자료입력!C17&lt;&gt;"",TEXT(기초자료입력!C17,"yyyy. m. d."),"")</f>
        <v/>
      </c>
      <c r="D20" s="89"/>
      <c r="E20" s="89"/>
      <c r="F20" s="89"/>
      <c r="G20" s="89"/>
      <c r="H20" s="89"/>
    </row>
    <row r="21" spans="2:8" x14ac:dyDescent="0.3">
      <c r="B21" s="53" t="s">
        <v>635</v>
      </c>
      <c r="C21" s="100" t="str">
        <f>IF(기초자료입력!C14&lt;&gt;"",기초자료입력!C14,"2단계 입찰(규격, 가격 동시입찰)")</f>
        <v>2단계 입찰(규격, 가격 동시입찰)</v>
      </c>
      <c r="D21" s="100"/>
      <c r="E21" s="100"/>
      <c r="F21" s="100"/>
      <c r="G21" s="100"/>
      <c r="H21" s="100"/>
    </row>
    <row r="22" spans="2:8" x14ac:dyDescent="0.3">
      <c r="B22" s="58"/>
      <c r="C22" s="100"/>
      <c r="D22" s="100"/>
      <c r="E22" s="100"/>
      <c r="F22" s="100"/>
      <c r="G22" s="100"/>
      <c r="H22" s="100"/>
    </row>
    <row r="23" spans="2:8" x14ac:dyDescent="0.3">
      <c r="B23" s="58"/>
      <c r="C23" s="58"/>
      <c r="D23" s="58"/>
      <c r="E23" s="58"/>
      <c r="F23" s="58"/>
      <c r="G23" s="58"/>
      <c r="H23" s="58"/>
    </row>
    <row r="24" spans="2:8" x14ac:dyDescent="0.3">
      <c r="B24" s="90" t="s">
        <v>636</v>
      </c>
      <c r="C24" s="89"/>
      <c r="D24" s="89"/>
      <c r="E24" s="89"/>
      <c r="F24" s="89"/>
      <c r="G24" s="89"/>
      <c r="H24" s="89"/>
    </row>
    <row r="25" spans="2:8" x14ac:dyDescent="0.3">
      <c r="B25" s="58"/>
      <c r="C25" s="58"/>
      <c r="D25" s="58"/>
      <c r="E25" s="58"/>
      <c r="F25" s="58"/>
      <c r="G25" s="58"/>
      <c r="H25" s="58"/>
    </row>
    <row r="26" spans="2:8" x14ac:dyDescent="0.3">
      <c r="B26" s="58"/>
      <c r="C26" s="58"/>
      <c r="D26" s="58"/>
      <c r="E26" s="58"/>
      <c r="F26" s="58"/>
      <c r="G26" s="58"/>
      <c r="H26" s="58"/>
    </row>
    <row r="27" spans="2:8" x14ac:dyDescent="0.3">
      <c r="B27" s="58"/>
      <c r="C27" s="58"/>
      <c r="D27" s="58"/>
      <c r="E27" s="58"/>
      <c r="F27" s="54" t="s">
        <v>297</v>
      </c>
      <c r="G27" s="54" t="s">
        <v>308</v>
      </c>
      <c r="H27" s="54" t="s">
        <v>298</v>
      </c>
    </row>
    <row r="28" spans="2:8" x14ac:dyDescent="0.3">
      <c r="B28" s="53" t="s">
        <v>309</v>
      </c>
      <c r="C28" s="89"/>
      <c r="D28" s="89"/>
      <c r="E28" s="89"/>
      <c r="F28" s="54" t="s">
        <v>310</v>
      </c>
      <c r="G28" s="82"/>
      <c r="H28" s="82"/>
    </row>
    <row r="29" spans="2:8" x14ac:dyDescent="0.3">
      <c r="B29" s="53" t="s">
        <v>311</v>
      </c>
      <c r="C29" s="58"/>
      <c r="D29" s="53" t="s">
        <v>312</v>
      </c>
      <c r="E29" s="89"/>
      <c r="F29" s="82"/>
      <c r="G29" s="82"/>
      <c r="H29" s="82"/>
    </row>
    <row r="30" spans="2:8" x14ac:dyDescent="0.3">
      <c r="B30" s="53" t="s">
        <v>313</v>
      </c>
      <c r="C30" s="58"/>
      <c r="D30" s="53" t="s">
        <v>314</v>
      </c>
      <c r="E30" s="58"/>
      <c r="F30" s="54" t="s">
        <v>315</v>
      </c>
      <c r="G30" s="82"/>
      <c r="H30" s="82"/>
    </row>
  </sheetData>
  <mergeCells count="16">
    <mergeCell ref="C28:E28"/>
    <mergeCell ref="G28:H28"/>
    <mergeCell ref="E29:H29"/>
    <mergeCell ref="G30:H30"/>
    <mergeCell ref="C17:H17"/>
    <mergeCell ref="C18:H18"/>
    <mergeCell ref="C19:H19"/>
    <mergeCell ref="C20:H20"/>
    <mergeCell ref="C21:H22"/>
    <mergeCell ref="B24:H24"/>
    <mergeCell ref="B14:H15"/>
    <mergeCell ref="B3:H4"/>
    <mergeCell ref="C7:H7"/>
    <mergeCell ref="C8:H8"/>
    <mergeCell ref="C9:H9"/>
    <mergeCell ref="B11:H12"/>
  </mergeCells>
  <phoneticPr fontId="6" type="noConversion"/>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16386"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D3E63-AC9A-4FEA-833F-A9AAF15BFFCC}">
  <sheetPr codeName="Sheet17"/>
  <dimension ref="A1:H29"/>
  <sheetViews>
    <sheetView workbookViewId="0"/>
  </sheetViews>
  <sheetFormatPr defaultRowHeight="16.5" x14ac:dyDescent="0.3"/>
  <cols>
    <col min="1" max="1" width="3.125" customWidth="1"/>
    <col min="2" max="2" width="12.625" customWidth="1"/>
    <col min="3" max="8" width="9.625" customWidth="1"/>
  </cols>
  <sheetData>
    <row r="1" spans="1:8" x14ac:dyDescent="0.3">
      <c r="A1" s="20" t="s">
        <v>637</v>
      </c>
    </row>
    <row r="3" spans="1:8" x14ac:dyDescent="0.3">
      <c r="B3" s="83" t="str">
        <f>IF(기초자료입력!C22&lt;&gt;"",기초자료입력!C22,IF(기초자료입력!C5&lt;&gt;"",기초자료입력!C5,"20○○")&amp;"학년도 학생 교복 입찰 사전규격 공개")</f>
        <v>20○○학년도 학생 교복 입찰 사전규격 공개</v>
      </c>
      <c r="C3" s="84"/>
      <c r="D3" s="84"/>
      <c r="E3" s="84"/>
      <c r="F3" s="84"/>
      <c r="G3" s="84"/>
      <c r="H3" s="84"/>
    </row>
    <row r="4" spans="1:8" x14ac:dyDescent="0.3">
      <c r="B4" s="84"/>
      <c r="C4" s="84"/>
      <c r="D4" s="84"/>
      <c r="E4" s="84"/>
      <c r="F4" s="84"/>
      <c r="G4" s="84"/>
      <c r="H4" s="84"/>
    </row>
    <row r="5" spans="1:8" x14ac:dyDescent="0.3">
      <c r="B5" s="54" t="s">
        <v>26</v>
      </c>
      <c r="C5" s="59" t="str">
        <f>IF(기초자료입력!C9&lt;&gt;"",기초자료입력!C9,"")</f>
        <v/>
      </c>
      <c r="D5" s="59"/>
      <c r="E5" s="54" t="s">
        <v>293</v>
      </c>
      <c r="F5" s="59" t="str">
        <f>IF(기초자료입력!C8&lt;&gt;"",TEXT(기초자료입력!C8,"yyyy-mm-dd"),"")</f>
        <v/>
      </c>
      <c r="G5" s="59"/>
      <c r="H5" s="59"/>
    </row>
    <row r="6" spans="1:8" x14ac:dyDescent="0.3">
      <c r="B6" s="59"/>
      <c r="C6" s="59"/>
      <c r="D6" s="59"/>
      <c r="E6" s="59"/>
      <c r="F6" s="59"/>
      <c r="G6" s="59"/>
      <c r="H6" s="59"/>
    </row>
    <row r="7" spans="1:8" x14ac:dyDescent="0.3">
      <c r="B7" s="54" t="s">
        <v>294</v>
      </c>
      <c r="C7" s="82" t="s">
        <v>514</v>
      </c>
      <c r="D7" s="82"/>
      <c r="E7" s="82"/>
      <c r="F7" s="82"/>
      <c r="G7" s="82"/>
      <c r="H7" s="82"/>
    </row>
    <row r="8" spans="1:8" x14ac:dyDescent="0.3">
      <c r="B8" s="54" t="s">
        <v>301</v>
      </c>
      <c r="C8" s="82"/>
      <c r="D8" s="82"/>
      <c r="E8" s="82"/>
      <c r="F8" s="82"/>
      <c r="G8" s="82"/>
      <c r="H8" s="82"/>
    </row>
    <row r="9" spans="1:8" x14ac:dyDescent="0.3">
      <c r="B9" s="54" t="s">
        <v>295</v>
      </c>
      <c r="C9" s="82" t="str">
        <f>IF(기초자료입력!C22&lt;&gt;"",기초자료입력!C22,"")</f>
        <v/>
      </c>
      <c r="D9" s="82"/>
      <c r="E9" s="82"/>
      <c r="F9" s="82"/>
      <c r="G9" s="82"/>
      <c r="H9" s="82"/>
    </row>
    <row r="10" spans="1:8" x14ac:dyDescent="0.3">
      <c r="B10" s="58"/>
      <c r="C10" s="58"/>
      <c r="D10" s="58"/>
      <c r="E10" s="58"/>
      <c r="F10" s="58"/>
      <c r="G10" s="58"/>
      <c r="H10" s="58"/>
    </row>
    <row r="11" spans="1:8" x14ac:dyDescent="0.3">
      <c r="B11" s="113" t="s">
        <v>638</v>
      </c>
      <c r="C11" s="100"/>
      <c r="D11" s="100"/>
      <c r="E11" s="100"/>
      <c r="F11" s="100"/>
      <c r="G11" s="100"/>
      <c r="H11" s="100"/>
    </row>
    <row r="12" spans="1:8" x14ac:dyDescent="0.3">
      <c r="B12" s="100"/>
      <c r="C12" s="100"/>
      <c r="D12" s="100"/>
      <c r="E12" s="100"/>
      <c r="F12" s="100"/>
      <c r="G12" s="100"/>
      <c r="H12" s="100"/>
    </row>
    <row r="13" spans="1:8" x14ac:dyDescent="0.3">
      <c r="B13" s="58"/>
      <c r="C13" s="58"/>
      <c r="D13" s="58"/>
      <c r="E13" s="58"/>
      <c r="F13" s="58"/>
      <c r="G13" s="58"/>
      <c r="H13" s="58"/>
    </row>
    <row r="14" spans="1:8" x14ac:dyDescent="0.3">
      <c r="B14" s="100" t="str">
        <f>"2. "&amp;IF(기초자료입력!C5&lt;&gt;"",기초자료입력!C5,"20○○")&amp;"학년도 학생 교복 구입에 대한 물품 구매 규격(사양서)을 사전 공개하고자 합니다."</f>
        <v>2. 20○○학년도 학생 교복 구입에 대한 물품 구매 규격(사양서)을 사전 공개하고자 합니다.</v>
      </c>
      <c r="C14" s="100"/>
      <c r="D14" s="100"/>
      <c r="E14" s="100"/>
      <c r="F14" s="100"/>
      <c r="G14" s="100"/>
      <c r="H14" s="100"/>
    </row>
    <row r="15" spans="1:8" x14ac:dyDescent="0.3">
      <c r="B15" s="100"/>
      <c r="C15" s="100"/>
      <c r="D15" s="100"/>
      <c r="E15" s="100"/>
      <c r="F15" s="100"/>
      <c r="G15" s="100"/>
      <c r="H15" s="100"/>
    </row>
    <row r="16" spans="1:8" x14ac:dyDescent="0.3">
      <c r="B16" s="58"/>
      <c r="C16" s="58"/>
      <c r="D16" s="58"/>
      <c r="E16" s="58"/>
      <c r="F16" s="58"/>
      <c r="G16" s="58"/>
      <c r="H16" s="58"/>
    </row>
    <row r="17" spans="2:8" x14ac:dyDescent="0.3">
      <c r="B17" s="53" t="s">
        <v>639</v>
      </c>
      <c r="C17" s="58" t="str">
        <f>IF(기초자료입력!C12&lt;&gt;"",기초자료입력!C12,"")</f>
        <v/>
      </c>
      <c r="D17" s="58"/>
      <c r="E17" s="58"/>
      <c r="F17" s="58"/>
      <c r="G17" s="58"/>
      <c r="H17" s="58"/>
    </row>
    <row r="18" spans="2:8" x14ac:dyDescent="0.3">
      <c r="B18" s="53" t="s">
        <v>640</v>
      </c>
      <c r="C18" s="58" t="str">
        <f>IF(기초자료입력!C15&lt;&gt;"","단가 "&amp;TEXT(기초자료입력!C15,"#,##0")&amp;"원","")</f>
        <v/>
      </c>
      <c r="D18" s="58"/>
      <c r="E18" s="58"/>
      <c r="F18" s="58"/>
      <c r="G18" s="58"/>
      <c r="H18" s="58"/>
    </row>
    <row r="19" spans="2:8" x14ac:dyDescent="0.3">
      <c r="B19" s="53" t="s">
        <v>641</v>
      </c>
      <c r="C19" s="58" t="str">
        <f>IF(AND(기초자료입력!C15&lt;&gt;"",기초자료입력!C16&lt;&gt;""),TEXT(기초자료입력!C15,"#,##0")&amp;"원×"&amp;기초자료입력!C16&amp;"벌","")</f>
        <v/>
      </c>
      <c r="D19" s="58"/>
      <c r="E19" s="58"/>
      <c r="F19" s="58"/>
      <c r="G19" s="58"/>
      <c r="H19" s="58"/>
    </row>
    <row r="20" spans="2:8" x14ac:dyDescent="0.3">
      <c r="B20" s="53" t="s">
        <v>642</v>
      </c>
      <c r="C20" s="58" t="s">
        <v>646</v>
      </c>
      <c r="D20" s="58"/>
      <c r="E20" s="58"/>
      <c r="F20" s="58"/>
      <c r="G20" s="58"/>
      <c r="H20" s="58"/>
    </row>
    <row r="21" spans="2:8" x14ac:dyDescent="0.3">
      <c r="B21" s="53" t="s">
        <v>643</v>
      </c>
      <c r="C21" s="58" t="str">
        <f>IF(기초자료입력!C5&lt;&gt;"",기초자료입력!C5&amp;"학년도 학생 교복사양서","")</f>
        <v/>
      </c>
      <c r="D21" s="58"/>
      <c r="E21" s="58"/>
      <c r="F21" s="58"/>
      <c r="G21" s="58"/>
      <c r="H21" s="58"/>
    </row>
    <row r="22" spans="2:8" x14ac:dyDescent="0.3">
      <c r="B22" s="53" t="s">
        <v>644</v>
      </c>
      <c r="C22" s="58" t="str">
        <f>IF(기초자료입력!C18&lt;&gt;"",TEXT(기초자료입력!C18-5,"yyyy. m. d.")&amp;" ~ "&amp;TEXT(기초자료입력!C18,"yyyy. m. d."),"")</f>
        <v/>
      </c>
      <c r="D22" s="58"/>
      <c r="E22" s="58"/>
      <c r="F22" s="58"/>
      <c r="G22" s="58"/>
      <c r="H22" s="58"/>
    </row>
    <row r="23" spans="2:8" x14ac:dyDescent="0.3">
      <c r="B23" s="53" t="s">
        <v>645</v>
      </c>
      <c r="C23" s="58" t="str">
        <f>IF(기초자료입력!C18&lt;&gt;"",TEXT(기초자료입력!C18,"yyyy. m. d. (aaa) hh:mm"),"")</f>
        <v/>
      </c>
      <c r="D23" s="58"/>
      <c r="E23" s="58"/>
      <c r="F23" s="58"/>
      <c r="G23" s="58"/>
      <c r="H23" s="58"/>
    </row>
    <row r="24" spans="2:8" x14ac:dyDescent="0.3">
      <c r="B24" s="58"/>
      <c r="C24" s="58"/>
      <c r="D24" s="58"/>
      <c r="E24" s="58"/>
      <c r="F24" s="58"/>
      <c r="G24" s="58"/>
      <c r="H24" s="58"/>
    </row>
    <row r="25" spans="2:8" x14ac:dyDescent="0.3">
      <c r="B25" s="90" t="str">
        <f>"붙임 "&amp;IF(기초자료입력!C5&lt;&gt;"",기초자료입력!C5,"20○○")&amp;"학년도 학생 교복사양서 1부. 끝."</f>
        <v>붙임 20○○학년도 학생 교복사양서 1부. 끝.</v>
      </c>
      <c r="C25" s="89"/>
      <c r="D25" s="89"/>
      <c r="E25" s="89"/>
      <c r="F25" s="89"/>
      <c r="G25" s="89"/>
      <c r="H25" s="89"/>
    </row>
    <row r="26" spans="2:8" x14ac:dyDescent="0.3">
      <c r="B26" s="58"/>
      <c r="C26" s="58"/>
      <c r="D26" s="58"/>
      <c r="E26" s="58"/>
      <c r="F26" s="58"/>
      <c r="G26" s="58"/>
      <c r="H26" s="58"/>
    </row>
    <row r="27" spans="2:8" x14ac:dyDescent="0.3">
      <c r="B27" s="58"/>
      <c r="C27" s="58"/>
      <c r="D27" s="58"/>
      <c r="E27" s="58"/>
      <c r="F27" s="58"/>
      <c r="G27" s="58"/>
      <c r="H27" s="58"/>
    </row>
    <row r="28" spans="2:8" x14ac:dyDescent="0.3">
      <c r="B28" s="58"/>
      <c r="C28" s="58"/>
      <c r="D28" s="58"/>
      <c r="E28" s="58"/>
      <c r="F28" s="54" t="s">
        <v>297</v>
      </c>
      <c r="G28" s="54" t="s">
        <v>308</v>
      </c>
      <c r="H28" s="54" t="s">
        <v>298</v>
      </c>
    </row>
    <row r="29" spans="2:8" x14ac:dyDescent="0.3">
      <c r="B29" s="53" t="s">
        <v>309</v>
      </c>
      <c r="C29" s="89"/>
      <c r="D29" s="89"/>
      <c r="E29" s="89"/>
      <c r="F29" s="54" t="s">
        <v>310</v>
      </c>
      <c r="G29" s="82"/>
      <c r="H29" s="82"/>
    </row>
  </sheetData>
  <mergeCells count="9">
    <mergeCell ref="B25:H25"/>
    <mergeCell ref="C29:E29"/>
    <mergeCell ref="G29:H29"/>
    <mergeCell ref="B3:H4"/>
    <mergeCell ref="C7:H7"/>
    <mergeCell ref="C8:H8"/>
    <mergeCell ref="C9:H9"/>
    <mergeCell ref="B11:H12"/>
    <mergeCell ref="B14:H15"/>
  </mergeCells>
  <phoneticPr fontId="6" type="noConversion"/>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17410"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DC579-A5C5-4F5F-8F49-E57E71082D15}">
  <sheetPr codeName="Sheet18"/>
  <dimension ref="A1:H71"/>
  <sheetViews>
    <sheetView workbookViewId="0"/>
  </sheetViews>
  <sheetFormatPr defaultRowHeight="16.5" x14ac:dyDescent="0.3"/>
  <cols>
    <col min="1" max="1" width="3.125" customWidth="1"/>
    <col min="2" max="2" width="14.625" customWidth="1"/>
    <col min="3" max="8" width="8.125" customWidth="1"/>
  </cols>
  <sheetData>
    <row r="1" spans="1:8" x14ac:dyDescent="0.3">
      <c r="A1" s="20" t="s">
        <v>647</v>
      </c>
    </row>
    <row r="3" spans="1:8" x14ac:dyDescent="0.3">
      <c r="B3" s="109" t="str">
        <f>IF(기초자료입력!C9&lt;&gt;"",기초자료입력!C9,"○○○○학교 공고 제20○○-00호")</f>
        <v>○○○○학교 공고 제20○○-00호</v>
      </c>
      <c r="C3" s="109"/>
      <c r="D3" s="109"/>
      <c r="E3" s="109"/>
      <c r="F3" s="109"/>
      <c r="G3" s="109"/>
      <c r="H3" s="109"/>
    </row>
    <row r="4" spans="1:8" x14ac:dyDescent="0.3">
      <c r="B4" s="38"/>
      <c r="C4" s="38"/>
      <c r="D4" s="38"/>
      <c r="E4" s="38"/>
      <c r="F4" s="38"/>
      <c r="G4" s="38"/>
      <c r="H4" s="38"/>
    </row>
    <row r="5" spans="1:8" x14ac:dyDescent="0.3">
      <c r="B5" s="83" t="str">
        <f>IF(기초자료입력!C5&lt;&gt;"",기초자료입력!C5,"20○○")&amp;"학년도 "&amp;IF(기초자료입력!C4&lt;&gt;"",기초자료입력!C4,"○○○○학교")&amp;" 교복 학교주관 구매 입찰 공고"</f>
        <v>20○○학년도 ○○○○학교 교복 학교주관 구매 입찰 공고</v>
      </c>
      <c r="C5" s="109"/>
      <c r="D5" s="109"/>
      <c r="E5" s="109"/>
      <c r="F5" s="109"/>
      <c r="G5" s="109"/>
      <c r="H5" s="109"/>
    </row>
    <row r="6" spans="1:8" x14ac:dyDescent="0.3">
      <c r="B6" s="109"/>
      <c r="C6" s="109"/>
      <c r="D6" s="109"/>
      <c r="E6" s="109"/>
      <c r="F6" s="109"/>
      <c r="G6" s="109"/>
      <c r="H6" s="109"/>
    </row>
    <row r="7" spans="1:8" x14ac:dyDescent="0.3">
      <c r="B7" s="109" t="s">
        <v>648</v>
      </c>
      <c r="C7" s="109"/>
      <c r="D7" s="109"/>
      <c r="E7" s="109"/>
      <c r="F7" s="109"/>
      <c r="G7" s="109"/>
      <c r="H7" s="109"/>
    </row>
    <row r="8" spans="1:8" x14ac:dyDescent="0.3">
      <c r="B8" s="38"/>
      <c r="C8" s="38"/>
      <c r="D8" s="38"/>
      <c r="E8" s="38"/>
      <c r="F8" s="38"/>
      <c r="G8" s="38"/>
      <c r="H8" s="38"/>
    </row>
    <row r="9" spans="1:8" x14ac:dyDescent="0.3">
      <c r="B9" s="100" t="str">
        <f>"「지방자치단체를 당사자로 하는 계약에 관한 법률 시행령」 제18조 제3항에 따라 "&amp;IF(기초자료입력!C5&lt;&gt;"",기초자료입력!C5,"20○○")&amp;"학년도 교복 학교주관 구매를 위해 다음과 같이 공고합니다."</f>
        <v>「지방자치단체를 당사자로 하는 계약에 관한 법률 시행령」 제18조 제3항에 따라 20○○학년도 교복 학교주관 구매를 위해 다음과 같이 공고합니다.</v>
      </c>
      <c r="C9" s="100"/>
      <c r="D9" s="100"/>
      <c r="E9" s="100"/>
      <c r="F9" s="100"/>
      <c r="G9" s="100"/>
      <c r="H9" s="100"/>
    </row>
    <row r="10" spans="1:8" x14ac:dyDescent="0.3">
      <c r="B10" s="100"/>
      <c r="C10" s="100"/>
      <c r="D10" s="100"/>
      <c r="E10" s="100"/>
      <c r="F10" s="100"/>
      <c r="G10" s="100"/>
      <c r="H10" s="100"/>
    </row>
    <row r="11" spans="1:8" x14ac:dyDescent="0.3">
      <c r="B11" s="38"/>
      <c r="C11" s="38"/>
      <c r="D11" s="38"/>
      <c r="E11" s="38"/>
      <c r="F11" s="38"/>
      <c r="G11" s="38"/>
      <c r="H11" s="38"/>
    </row>
    <row r="12" spans="1:8" x14ac:dyDescent="0.3">
      <c r="B12" s="90" t="s">
        <v>649</v>
      </c>
      <c r="C12" s="89"/>
      <c r="D12" s="89"/>
      <c r="E12" s="89"/>
      <c r="F12" s="89"/>
      <c r="G12" s="89"/>
      <c r="H12" s="89"/>
    </row>
    <row r="13" spans="1:8" ht="27.95" customHeight="1" x14ac:dyDescent="0.3">
      <c r="B13" s="60" t="s">
        <v>443</v>
      </c>
      <c r="C13" s="37" t="str">
        <f>IF(기초자료입력!C12&lt;&gt;"",기초자료입력!C12,"")</f>
        <v/>
      </c>
      <c r="D13" s="37"/>
      <c r="E13" s="37"/>
      <c r="F13" s="37"/>
      <c r="G13" s="37"/>
      <c r="H13" s="37"/>
    </row>
    <row r="14" spans="1:8" ht="27.95" customHeight="1" x14ac:dyDescent="0.3">
      <c r="B14" s="60" t="s">
        <v>100</v>
      </c>
      <c r="C14" s="37" t="str">
        <f>IF(기초자료입력!C15&lt;&gt;"","금"&amp;TEXT(기초자료입력!C15,"#,##0")&amp;"원 (부가세포함)","")</f>
        <v/>
      </c>
      <c r="D14" s="37"/>
      <c r="E14" s="37"/>
      <c r="F14" s="37"/>
      <c r="G14" s="37"/>
      <c r="H14" s="37"/>
    </row>
    <row r="15" spans="1:8" ht="27.95" customHeight="1" x14ac:dyDescent="0.3">
      <c r="B15" s="60" t="s">
        <v>650</v>
      </c>
      <c r="C15" s="37" t="str">
        <f>IF(기초자료입력!C16&lt;&gt;"",기초자료입력!C16&amp;"벌","")</f>
        <v/>
      </c>
      <c r="D15" s="37"/>
      <c r="E15" s="37"/>
      <c r="F15" s="37"/>
      <c r="G15" s="37"/>
      <c r="H15" s="37"/>
    </row>
    <row r="16" spans="1:8" ht="27.95" customHeight="1" x14ac:dyDescent="0.3">
      <c r="B16" s="60" t="s">
        <v>651</v>
      </c>
      <c r="C16" s="37" t="s">
        <v>652</v>
      </c>
      <c r="D16" s="37"/>
      <c r="E16" s="37"/>
      <c r="F16" s="37"/>
      <c r="G16" s="37"/>
      <c r="H16" s="37"/>
    </row>
    <row r="17" spans="2:8" ht="27.95" customHeight="1" x14ac:dyDescent="0.3">
      <c r="B17" s="60" t="s">
        <v>653</v>
      </c>
      <c r="C17" s="37" t="s">
        <v>654</v>
      </c>
      <c r="D17" s="37"/>
      <c r="E17" s="37"/>
      <c r="F17" s="37"/>
      <c r="G17" s="37"/>
      <c r="H17" s="37"/>
    </row>
    <row r="18" spans="2:8" ht="27.95" customHeight="1" x14ac:dyDescent="0.3">
      <c r="B18" s="60" t="s">
        <v>39</v>
      </c>
      <c r="C18" s="37" t="str">
        <f>IF(기초자료입력!C17&lt;&gt;"",TEXT(기초자료입력!C17,"yyyy. m. d."),"")</f>
        <v/>
      </c>
      <c r="D18" s="37"/>
      <c r="E18" s="37"/>
      <c r="F18" s="37"/>
      <c r="G18" s="37"/>
      <c r="H18" s="37"/>
    </row>
    <row r="19" spans="2:8" ht="27.95" customHeight="1" x14ac:dyDescent="0.3">
      <c r="B19" s="60" t="s">
        <v>655</v>
      </c>
      <c r="C19" s="37" t="str">
        <f>IF(기초자료입력!C4&lt;&gt;"",기초자료입력!C4&amp;" 지정 장소","")</f>
        <v/>
      </c>
      <c r="D19" s="37"/>
      <c r="E19" s="37"/>
      <c r="F19" s="37"/>
      <c r="G19" s="37"/>
      <c r="H19" s="37"/>
    </row>
    <row r="20" spans="2:8" ht="48" customHeight="1" x14ac:dyDescent="0.3">
      <c r="B20" s="60" t="s">
        <v>656</v>
      </c>
      <c r="C20" s="86" t="s">
        <v>657</v>
      </c>
      <c r="D20" s="86"/>
      <c r="E20" s="86"/>
      <c r="F20" s="86"/>
      <c r="G20" s="86"/>
      <c r="H20" s="86"/>
    </row>
    <row r="21" spans="2:8" x14ac:dyDescent="0.3">
      <c r="B21" s="38"/>
      <c r="C21" s="38"/>
      <c r="D21" s="38"/>
      <c r="E21" s="38"/>
      <c r="F21" s="38"/>
      <c r="G21" s="38"/>
      <c r="H21" s="38"/>
    </row>
    <row r="22" spans="2:8" x14ac:dyDescent="0.3">
      <c r="B22" s="90" t="s">
        <v>658</v>
      </c>
      <c r="C22" s="89"/>
      <c r="D22" s="89"/>
      <c r="E22" s="89"/>
      <c r="F22" s="89"/>
      <c r="G22" s="89"/>
      <c r="H22" s="89"/>
    </row>
    <row r="23" spans="2:8" ht="81.95" customHeight="1" x14ac:dyDescent="0.3">
      <c r="B23" s="114" t="s">
        <v>659</v>
      </c>
      <c r="C23" s="114"/>
      <c r="D23" s="114"/>
      <c r="E23" s="114"/>
      <c r="F23" s="114"/>
      <c r="G23" s="114"/>
      <c r="H23" s="114"/>
    </row>
    <row r="24" spans="2:8" hidden="1" x14ac:dyDescent="0.3">
      <c r="B24" s="114"/>
      <c r="C24" s="114"/>
      <c r="D24" s="114"/>
      <c r="E24" s="114"/>
      <c r="F24" s="114"/>
      <c r="G24" s="114"/>
      <c r="H24" s="114"/>
    </row>
    <row r="25" spans="2:8" x14ac:dyDescent="0.3">
      <c r="B25" s="38"/>
      <c r="C25" s="38"/>
      <c r="D25" s="38"/>
      <c r="E25" s="38"/>
      <c r="F25" s="38"/>
      <c r="G25" s="38"/>
      <c r="H25" s="38"/>
    </row>
    <row r="26" spans="2:8" x14ac:dyDescent="0.3">
      <c r="B26" s="90" t="s">
        <v>660</v>
      </c>
      <c r="C26" s="89"/>
      <c r="D26" s="89"/>
      <c r="E26" s="89"/>
      <c r="F26" s="89"/>
      <c r="G26" s="89"/>
      <c r="H26" s="89"/>
    </row>
    <row r="27" spans="2:8" ht="68.099999999999994" customHeight="1" x14ac:dyDescent="0.3">
      <c r="B27" s="114" t="s">
        <v>661</v>
      </c>
      <c r="C27" s="114"/>
      <c r="D27" s="114"/>
      <c r="E27" s="114"/>
      <c r="F27" s="114"/>
      <c r="G27" s="114"/>
      <c r="H27" s="114"/>
    </row>
    <row r="28" spans="2:8" hidden="1" x14ac:dyDescent="0.3">
      <c r="B28" s="114"/>
      <c r="C28" s="114"/>
      <c r="D28" s="114"/>
      <c r="E28" s="114"/>
      <c r="F28" s="114"/>
      <c r="G28" s="114"/>
      <c r="H28" s="114"/>
    </row>
    <row r="29" spans="2:8" x14ac:dyDescent="0.3">
      <c r="B29" s="38"/>
      <c r="C29" s="38"/>
      <c r="D29" s="38"/>
      <c r="E29" s="38"/>
      <c r="F29" s="38"/>
      <c r="G29" s="38"/>
      <c r="H29" s="38"/>
    </row>
    <row r="30" spans="2:8" x14ac:dyDescent="0.3">
      <c r="B30" s="90" t="s">
        <v>662</v>
      </c>
      <c r="C30" s="89"/>
      <c r="D30" s="89"/>
      <c r="E30" s="89"/>
      <c r="F30" s="89"/>
      <c r="G30" s="89"/>
      <c r="H30" s="89"/>
    </row>
    <row r="31" spans="2:8" ht="45" customHeight="1" x14ac:dyDescent="0.3">
      <c r="B31" s="114" t="s">
        <v>663</v>
      </c>
      <c r="C31" s="114"/>
      <c r="D31" s="114"/>
      <c r="E31" s="114"/>
      <c r="F31" s="114"/>
      <c r="G31" s="114"/>
      <c r="H31" s="114"/>
    </row>
    <row r="32" spans="2:8" hidden="1" x14ac:dyDescent="0.3">
      <c r="B32" s="114"/>
      <c r="C32" s="114"/>
      <c r="D32" s="114"/>
      <c r="E32" s="114"/>
      <c r="F32" s="114"/>
      <c r="G32" s="114"/>
      <c r="H32" s="114"/>
    </row>
    <row r="33" spans="2:8" x14ac:dyDescent="0.3">
      <c r="B33" s="38"/>
      <c r="C33" s="38"/>
      <c r="D33" s="38"/>
      <c r="E33" s="38"/>
      <c r="F33" s="38"/>
      <c r="G33" s="38"/>
      <c r="H33" s="38"/>
    </row>
    <row r="34" spans="2:8" x14ac:dyDescent="0.3">
      <c r="B34" s="90" t="s">
        <v>664</v>
      </c>
      <c r="C34" s="89"/>
      <c r="D34" s="89"/>
      <c r="E34" s="89"/>
      <c r="F34" s="89"/>
      <c r="G34" s="89"/>
      <c r="H34" s="89"/>
    </row>
    <row r="35" spans="2:8" ht="144.94999999999999" customHeight="1" x14ac:dyDescent="0.3">
      <c r="B35" s="114" t="str">
        <f>"가. 제출기간: "&amp;IF(기초자료입력!C18&lt;&gt;"",TEXT(기초자료입력!C18,"yyyy. m. d. (aaa) hh:mm"),"담당자 최종 확인")&amp;"까지"&amp;CHAR(10)&amp;"나. 제출 장소·접수 가능 시간·제출 방법은 담당자가 공고 전에 확정합니다."&amp;CHAR(10)&amp;"다.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서류."&amp;CHAR(10)&amp;"라. 블라인드 심사 대상 제안서와 견본품에는 업체명·표시 문양을 제거하며, 서류 반환·공개 여부와 견본품 제출 조건은 공고문에서 최종 확인합니다."</f>
        <v>가. 제출기간: 담당자 최종 확인까지
나. 제출 장소·접수 가능 시간·제출 방법은 담당자가 공고 전에 확정합니다.
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
라. 블라인드 심사 대상 제안서와 견본품에는 업체명·표시 문양을 제거하며, 서류 반환·공개 여부와 견본품 제출 조건은 공고문에서 최종 확인합니다.</v>
      </c>
      <c r="C35" s="114"/>
      <c r="D35" s="114"/>
      <c r="E35" s="114"/>
      <c r="F35" s="114"/>
      <c r="G35" s="114"/>
      <c r="H35" s="114"/>
    </row>
    <row r="36" spans="2:8" hidden="1" x14ac:dyDescent="0.3">
      <c r="B36" s="114"/>
      <c r="C36" s="114"/>
      <c r="D36" s="114"/>
      <c r="E36" s="114"/>
      <c r="F36" s="114"/>
      <c r="G36" s="114"/>
      <c r="H36" s="114"/>
    </row>
    <row r="37" spans="2:8" x14ac:dyDescent="0.3">
      <c r="B37" s="38"/>
      <c r="C37" s="38"/>
      <c r="D37" s="38"/>
      <c r="E37" s="38"/>
      <c r="F37" s="38"/>
      <c r="G37" s="38"/>
      <c r="H37" s="38"/>
    </row>
    <row r="38" spans="2:8" x14ac:dyDescent="0.3">
      <c r="B38" s="90" t="s">
        <v>665</v>
      </c>
      <c r="C38" s="89"/>
      <c r="D38" s="89"/>
      <c r="E38" s="89"/>
      <c r="F38" s="89"/>
      <c r="G38" s="89"/>
      <c r="H38" s="89"/>
    </row>
    <row r="39" spans="2:8" ht="57.95" customHeight="1" x14ac:dyDescent="0.3">
      <c r="B39" s="114" t="s">
        <v>666</v>
      </c>
      <c r="C39" s="114"/>
      <c r="D39" s="114"/>
      <c r="E39" s="114"/>
      <c r="F39" s="114"/>
      <c r="G39" s="114"/>
      <c r="H39" s="114"/>
    </row>
    <row r="40" spans="2:8" hidden="1" x14ac:dyDescent="0.3">
      <c r="B40" s="114"/>
      <c r="C40" s="114"/>
      <c r="D40" s="114"/>
      <c r="E40" s="114"/>
      <c r="F40" s="114"/>
      <c r="G40" s="114"/>
      <c r="H40" s="114"/>
    </row>
    <row r="41" spans="2:8" x14ac:dyDescent="0.3">
      <c r="B41" s="38"/>
      <c r="C41" s="38"/>
      <c r="D41" s="38"/>
      <c r="E41" s="38"/>
      <c r="F41" s="38"/>
      <c r="G41" s="38"/>
      <c r="H41" s="38"/>
    </row>
    <row r="42" spans="2:8" x14ac:dyDescent="0.3">
      <c r="B42" s="90" t="s">
        <v>667</v>
      </c>
      <c r="C42" s="89"/>
      <c r="D42" s="89"/>
      <c r="E42" s="89"/>
      <c r="F42" s="89"/>
      <c r="G42" s="89"/>
      <c r="H42" s="89"/>
    </row>
    <row r="43" spans="2:8" ht="81.95" customHeight="1" x14ac:dyDescent="0.3">
      <c r="B43" s="114" t="s">
        <v>668</v>
      </c>
      <c r="C43" s="114"/>
      <c r="D43" s="114"/>
      <c r="E43" s="114"/>
      <c r="F43" s="114"/>
      <c r="G43" s="114"/>
      <c r="H43" s="114"/>
    </row>
    <row r="44" spans="2:8" hidden="1" x14ac:dyDescent="0.3">
      <c r="B44" s="114"/>
      <c r="C44" s="114"/>
      <c r="D44" s="114"/>
      <c r="E44" s="114"/>
      <c r="F44" s="114"/>
      <c r="G44" s="114"/>
      <c r="H44" s="114"/>
    </row>
    <row r="45" spans="2:8" x14ac:dyDescent="0.3">
      <c r="B45" s="38"/>
      <c r="C45" s="38"/>
      <c r="D45" s="38"/>
      <c r="E45" s="38"/>
      <c r="F45" s="38"/>
      <c r="G45" s="38"/>
      <c r="H45" s="38"/>
    </row>
    <row r="46" spans="2:8" x14ac:dyDescent="0.3">
      <c r="B46" s="90" t="s">
        <v>669</v>
      </c>
      <c r="C46" s="89"/>
      <c r="D46" s="89"/>
      <c r="E46" s="89"/>
      <c r="F46" s="89"/>
      <c r="G46" s="89"/>
      <c r="H46" s="89"/>
    </row>
    <row r="47" spans="2:8" ht="78" customHeight="1" x14ac:dyDescent="0.3">
      <c r="B47" s="114" t="s">
        <v>670</v>
      </c>
      <c r="C47" s="114"/>
      <c r="D47" s="114"/>
      <c r="E47" s="114"/>
      <c r="F47" s="114"/>
      <c r="G47" s="114"/>
      <c r="H47" s="114"/>
    </row>
    <row r="48" spans="2:8" hidden="1" x14ac:dyDescent="0.3">
      <c r="B48" s="114"/>
      <c r="C48" s="114"/>
      <c r="D48" s="114"/>
      <c r="E48" s="114"/>
      <c r="F48" s="114"/>
      <c r="G48" s="114"/>
      <c r="H48" s="114"/>
    </row>
    <row r="49" spans="2:8" x14ac:dyDescent="0.3">
      <c r="B49" s="38"/>
      <c r="C49" s="38"/>
      <c r="D49" s="38"/>
      <c r="E49" s="38"/>
      <c r="F49" s="38"/>
      <c r="G49" s="38"/>
      <c r="H49" s="38"/>
    </row>
    <row r="50" spans="2:8" x14ac:dyDescent="0.3">
      <c r="B50" s="90" t="s">
        <v>671</v>
      </c>
      <c r="C50" s="89"/>
      <c r="D50" s="89"/>
      <c r="E50" s="89"/>
      <c r="F50" s="89"/>
      <c r="G50" s="89"/>
      <c r="H50" s="89"/>
    </row>
    <row r="51" spans="2:8" ht="38.1" customHeight="1" x14ac:dyDescent="0.3">
      <c r="B51" s="114" t="s">
        <v>672</v>
      </c>
      <c r="C51" s="114"/>
      <c r="D51" s="114"/>
      <c r="E51" s="114"/>
      <c r="F51" s="114"/>
      <c r="G51" s="114"/>
      <c r="H51" s="114"/>
    </row>
    <row r="52" spans="2:8" hidden="1" x14ac:dyDescent="0.3">
      <c r="B52" s="114"/>
      <c r="C52" s="114"/>
      <c r="D52" s="114"/>
      <c r="E52" s="114"/>
      <c r="F52" s="114"/>
      <c r="G52" s="114"/>
      <c r="H52" s="114"/>
    </row>
    <row r="53" spans="2:8" x14ac:dyDescent="0.3">
      <c r="B53" s="38"/>
      <c r="C53" s="38"/>
      <c r="D53" s="38"/>
      <c r="E53" s="38"/>
      <c r="F53" s="38"/>
      <c r="G53" s="38"/>
      <c r="H53" s="38"/>
    </row>
    <row r="54" spans="2:8" x14ac:dyDescent="0.3">
      <c r="B54" s="90" t="s">
        <v>673</v>
      </c>
      <c r="C54" s="89"/>
      <c r="D54" s="89"/>
      <c r="E54" s="89"/>
      <c r="F54" s="89"/>
      <c r="G54" s="89"/>
      <c r="H54" s="89"/>
    </row>
    <row r="55" spans="2:8" ht="45" customHeight="1" x14ac:dyDescent="0.3">
      <c r="B55" s="114" t="s">
        <v>674</v>
      </c>
      <c r="C55" s="114"/>
      <c r="D55" s="114"/>
      <c r="E55" s="114"/>
      <c r="F55" s="114"/>
      <c r="G55" s="114"/>
      <c r="H55" s="114"/>
    </row>
    <row r="56" spans="2:8" hidden="1" x14ac:dyDescent="0.3">
      <c r="B56" s="114"/>
      <c r="C56" s="114"/>
      <c r="D56" s="114"/>
      <c r="E56" s="114"/>
      <c r="F56" s="114"/>
      <c r="G56" s="114"/>
      <c r="H56" s="114"/>
    </row>
    <row r="57" spans="2:8" x14ac:dyDescent="0.3">
      <c r="B57" s="38"/>
      <c r="C57" s="38"/>
      <c r="D57" s="38"/>
      <c r="E57" s="38"/>
      <c r="F57" s="38"/>
      <c r="G57" s="38"/>
      <c r="H57" s="38"/>
    </row>
    <row r="58" spans="2:8" x14ac:dyDescent="0.3">
      <c r="B58" s="90" t="s">
        <v>675</v>
      </c>
      <c r="C58" s="89"/>
      <c r="D58" s="89"/>
      <c r="E58" s="89"/>
      <c r="F58" s="89"/>
      <c r="G58" s="89"/>
      <c r="H58" s="89"/>
    </row>
    <row r="59" spans="2:8" ht="45" customHeight="1" x14ac:dyDescent="0.3">
      <c r="B59" s="114" t="s">
        <v>676</v>
      </c>
      <c r="C59" s="114"/>
      <c r="D59" s="114"/>
      <c r="E59" s="114"/>
      <c r="F59" s="114"/>
      <c r="G59" s="114"/>
      <c r="H59" s="114"/>
    </row>
    <row r="60" spans="2:8" hidden="1" x14ac:dyDescent="0.3">
      <c r="B60" s="114"/>
      <c r="C60" s="114"/>
      <c r="D60" s="114"/>
      <c r="E60" s="114"/>
      <c r="F60" s="114"/>
      <c r="G60" s="114"/>
      <c r="H60" s="114"/>
    </row>
    <row r="61" spans="2:8" x14ac:dyDescent="0.3">
      <c r="B61" s="38"/>
      <c r="C61" s="38"/>
      <c r="D61" s="38"/>
      <c r="E61" s="38"/>
      <c r="F61" s="38"/>
      <c r="G61" s="38"/>
      <c r="H61" s="38"/>
    </row>
    <row r="62" spans="2:8" x14ac:dyDescent="0.3">
      <c r="B62" s="90" t="s">
        <v>677</v>
      </c>
      <c r="C62" s="89"/>
      <c r="D62" s="89"/>
      <c r="E62" s="89"/>
      <c r="F62" s="89"/>
      <c r="G62" s="89"/>
      <c r="H62" s="89"/>
    </row>
    <row r="63" spans="2:8" ht="48" customHeight="1" x14ac:dyDescent="0.3">
      <c r="B63" s="114" t="s">
        <v>678</v>
      </c>
      <c r="C63" s="114"/>
      <c r="D63" s="114"/>
      <c r="E63" s="114"/>
      <c r="F63" s="114"/>
      <c r="G63" s="114"/>
      <c r="H63" s="114"/>
    </row>
    <row r="64" spans="2:8" hidden="1" x14ac:dyDescent="0.3">
      <c r="B64" s="114"/>
      <c r="C64" s="114"/>
      <c r="D64" s="114"/>
      <c r="E64" s="114"/>
      <c r="F64" s="114"/>
      <c r="G64" s="114"/>
      <c r="H64" s="114"/>
    </row>
    <row r="65" spans="2:8" x14ac:dyDescent="0.3">
      <c r="B65" s="38"/>
      <c r="C65" s="38"/>
      <c r="D65" s="38"/>
      <c r="E65" s="38"/>
      <c r="F65" s="38"/>
      <c r="G65" s="38"/>
      <c r="H65" s="38"/>
    </row>
    <row r="66" spans="2:8" x14ac:dyDescent="0.3">
      <c r="B66" s="109" t="str">
        <f>IF(기초자료입력!C8&lt;&gt;"",TEXT(기초자료입력!C8,"yyyy. m. d."),"20○○. ○○. ○○.")</f>
        <v>20○○. ○○. ○○.</v>
      </c>
      <c r="C66" s="109"/>
      <c r="D66" s="109"/>
      <c r="E66" s="109"/>
      <c r="F66" s="109"/>
      <c r="G66" s="109"/>
      <c r="H66" s="109"/>
    </row>
    <row r="67" spans="2:8" x14ac:dyDescent="0.3">
      <c r="B67" s="38"/>
      <c r="C67" s="38"/>
      <c r="D67" s="38"/>
      <c r="E67" s="38"/>
      <c r="F67" s="38"/>
      <c r="G67" s="38"/>
      <c r="H67" s="38"/>
    </row>
    <row r="68" spans="2:8" x14ac:dyDescent="0.3">
      <c r="B68" s="115" t="str">
        <f>IF(기초자료입력!C4&lt;&gt;"",기초자료입력!C4&amp;"장","○○○○학교장")</f>
        <v>○○○○학교장</v>
      </c>
      <c r="C68" s="109"/>
      <c r="D68" s="109"/>
      <c r="E68" s="109"/>
      <c r="F68" s="109"/>
      <c r="G68" s="109"/>
      <c r="H68" s="109"/>
    </row>
    <row r="69" spans="2:8" x14ac:dyDescent="0.3">
      <c r="B69" s="38"/>
      <c r="C69" s="38"/>
      <c r="D69" s="38"/>
      <c r="E69" s="38"/>
      <c r="F69" s="38"/>
      <c r="G69" s="38"/>
      <c r="H69" s="38"/>
    </row>
    <row r="70" spans="2:8" x14ac:dyDescent="0.3">
      <c r="B70" s="38"/>
      <c r="C70" s="38"/>
      <c r="D70" s="38"/>
      <c r="E70" s="38"/>
      <c r="F70" s="38"/>
      <c r="G70" s="38"/>
      <c r="H70" s="38"/>
    </row>
    <row r="71" spans="2:8" ht="32.1" customHeight="1" x14ac:dyDescent="0.3">
      <c r="B71" s="100" t="str">
        <f>"붙임  1. "&amp;IF(기초자료입력!C5&lt;&gt;"",기초자료입력!C5,"20○○")&amp;"학년도 교복 학교주관구매 계약 특수조건 1부.  2. 교복 디자인 및 규격서 1부.  3. 제안서 평가항목 및 배점기준 1부.  끝."</f>
        <v>붙임  1. 20○○학년도 교복 학교주관구매 계약 특수조건 1부.  2. 교복 디자인 및 규격서 1부.  3. 제안서 평가항목 및 배점기준 1부.  끝.</v>
      </c>
      <c r="C71" s="100"/>
      <c r="D71" s="100"/>
      <c r="E71" s="100"/>
      <c r="F71" s="100"/>
      <c r="G71" s="100"/>
      <c r="H71" s="100"/>
    </row>
  </sheetData>
  <mergeCells count="31">
    <mergeCell ref="B71:H71"/>
    <mergeCell ref="B58:H58"/>
    <mergeCell ref="B59:H60"/>
    <mergeCell ref="B62:H62"/>
    <mergeCell ref="B63:H64"/>
    <mergeCell ref="B66:H66"/>
    <mergeCell ref="B68:H68"/>
    <mergeCell ref="B55:H56"/>
    <mergeCell ref="B34:H34"/>
    <mergeCell ref="B35:H36"/>
    <mergeCell ref="B38:H38"/>
    <mergeCell ref="B39:H40"/>
    <mergeCell ref="B42:H42"/>
    <mergeCell ref="B43:H44"/>
    <mergeCell ref="B46:H46"/>
    <mergeCell ref="B47:H48"/>
    <mergeCell ref="B50:H50"/>
    <mergeCell ref="B51:H52"/>
    <mergeCell ref="B54:H54"/>
    <mergeCell ref="B31:H32"/>
    <mergeCell ref="B3:H3"/>
    <mergeCell ref="B5:H6"/>
    <mergeCell ref="B7:H7"/>
    <mergeCell ref="B9:H10"/>
    <mergeCell ref="B12:H12"/>
    <mergeCell ref="C20:H20"/>
    <mergeCell ref="B22:H22"/>
    <mergeCell ref="B23:H24"/>
    <mergeCell ref="B26:H26"/>
    <mergeCell ref="B27:H28"/>
    <mergeCell ref="B30:H30"/>
  </mergeCells>
  <phoneticPr fontId="6" type="noConversion"/>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18434"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C6BD7-D074-4F72-A499-2E7DB00C9B9C}">
  <sheetPr codeName="Sheet19"/>
  <dimension ref="A1:H86"/>
  <sheetViews>
    <sheetView topLeftCell="A29" workbookViewId="0">
      <selection activeCell="J11" sqref="J11"/>
    </sheetView>
  </sheetViews>
  <sheetFormatPr defaultRowHeight="16.5" x14ac:dyDescent="0.3"/>
  <cols>
    <col min="1" max="1" width="3.125" customWidth="1"/>
    <col min="2" max="2" width="14.625" customWidth="1"/>
    <col min="3" max="8" width="8.125" customWidth="1"/>
  </cols>
  <sheetData>
    <row r="1" spans="1:8" x14ac:dyDescent="0.3">
      <c r="A1" s="20" t="s">
        <v>679</v>
      </c>
    </row>
    <row r="3" spans="1:8" x14ac:dyDescent="0.3">
      <c r="B3" s="83" t="str">
        <f>IF(기초자료입력!C5&lt;&gt;"",기초자료입력!C5,"20○○")&amp;"학년도 "&amp;IF(기초자료입력!C4&lt;&gt;"",기초자료입력!C4,"○○○○학교")&amp;" 교복 학교주관구매 계약 특수조건(예시)"</f>
        <v>20○○학년도 ○○○○학교 교복 학교주관구매 계약 특수조건(예시)</v>
      </c>
      <c r="C3" s="109"/>
      <c r="D3" s="109"/>
      <c r="E3" s="109"/>
      <c r="F3" s="109"/>
      <c r="G3" s="109"/>
      <c r="H3" s="109"/>
    </row>
    <row r="4" spans="1:8" x14ac:dyDescent="0.3">
      <c r="B4" s="109"/>
      <c r="C4" s="109"/>
      <c r="D4" s="109"/>
      <c r="E4" s="109"/>
      <c r="F4" s="109"/>
      <c r="G4" s="109"/>
      <c r="H4" s="109"/>
    </row>
    <row r="5" spans="1:8" x14ac:dyDescent="0.3">
      <c r="B5" s="38"/>
      <c r="C5" s="38"/>
      <c r="D5" s="38"/>
      <c r="E5" s="38"/>
      <c r="F5" s="38"/>
      <c r="G5" s="38"/>
      <c r="H5" s="38"/>
    </row>
    <row r="6" spans="1:8" ht="60" customHeight="1" x14ac:dyDescent="0.3">
      <c r="B6" s="100" t="str">
        <f>IF(기초자료입력!C5&lt;&gt;"",기초자료입력!C5,"20○○")&amp;"학년도 "&amp;IF(기초자료입력!C4&lt;&gt;"",기초자료입력!C4,"○○○○학교")&amp;" 교복 학교주관구매 계약을 체결함에 있어 "&amp;IF(기초자료입력!C4&lt;&gt;"",기초자료입력!C4,"○○○○학교")&amp;"장(이하 「학교」라 한다)과 계약상대자 ○○교복사 대표 ○○○(이하 「공급자」라 한다)간에 본 계약의 성실한 이행을 위하여 다음과 같이 계약특수조건을 정한다."</f>
        <v>20○○학년도 ○○○○학교 교복 학교주관구매 계약을 체결함에 있어 ○○○○학교장(이하 「학교」라 한다)과 계약상대자 ○○교복사 대표 ○○○(이하 「공급자」라 한다)간에 본 계약의 성실한 이행을 위하여 다음과 같이 계약특수조건을 정한다.</v>
      </c>
      <c r="C6" s="100"/>
      <c r="D6" s="100"/>
      <c r="E6" s="100"/>
      <c r="F6" s="100"/>
      <c r="G6" s="100"/>
      <c r="H6" s="100"/>
    </row>
    <row r="7" spans="1:8" x14ac:dyDescent="0.3">
      <c r="B7" s="100"/>
      <c r="C7" s="100"/>
      <c r="D7" s="100"/>
      <c r="E7" s="100"/>
      <c r="F7" s="100"/>
      <c r="G7" s="100"/>
      <c r="H7" s="100"/>
    </row>
    <row r="8" spans="1:8" x14ac:dyDescent="0.3">
      <c r="B8" s="100"/>
      <c r="C8" s="100"/>
      <c r="D8" s="100"/>
      <c r="E8" s="100"/>
      <c r="F8" s="100"/>
      <c r="G8" s="100"/>
      <c r="H8" s="100"/>
    </row>
    <row r="9" spans="1:8" x14ac:dyDescent="0.3">
      <c r="B9" s="38"/>
      <c r="C9" s="38"/>
      <c r="D9" s="38"/>
      <c r="E9" s="38"/>
      <c r="F9" s="38"/>
      <c r="G9" s="38"/>
      <c r="H9" s="38"/>
    </row>
    <row r="10" spans="1:8" x14ac:dyDescent="0.3">
      <c r="B10" s="90" t="s">
        <v>680</v>
      </c>
      <c r="C10" s="89"/>
      <c r="D10" s="89"/>
      <c r="E10" s="89"/>
      <c r="F10" s="89"/>
      <c r="G10" s="89"/>
      <c r="H10" s="89"/>
    </row>
    <row r="11" spans="1:8" ht="206.1" customHeight="1" x14ac:dyDescent="0.3">
      <c r="B11" s="114" t="str">
        <f>"① 교복 구매 수량은 "&amp;IF(기초자료입력!C5&lt;&gt;"",기초자료입력!C5&amp;"학년도","20○○학년도")&amp;" 본교 신입생들의 신청에 따라 확정된다."&amp;CHAR(10)&amp;"②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한다."&amp;CHAR(10)&amp;"③ 「공급자」는 본교 학생(신입생, 재학생, 전입생)이 교복 구매 또는 품목별 추가 구매 시 적기에 납품할 수 있도록 노력해야 한다."&amp;CHAR(10)&amp;"④ 「공급자」로 선정된 업체는 계약체결 시 계약보증서를 제출하여야 한다."</f>
        <v>① 교복 구매 수량은 20○○학년도 본교 신입생들의 신청에 따라 확정된다.
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
③ 「공급자」는 본교 학생(신입생, 재학생, 전입생)이 교복 구매 또는 품목별 추가 구매 시 적기에 납품할 수 있도록 노력해야 한다.
④ 「공급자」로 선정된 업체는 계약체결 시 계약보증서를 제출하여야 한다.</v>
      </c>
      <c r="C11" s="114"/>
      <c r="D11" s="114"/>
      <c r="E11" s="114"/>
      <c r="F11" s="114"/>
      <c r="G11" s="114"/>
      <c r="H11" s="114"/>
    </row>
    <row r="12" spans="1:8" hidden="1" x14ac:dyDescent="0.3">
      <c r="B12" s="114"/>
      <c r="C12" s="114"/>
      <c r="D12" s="114"/>
      <c r="E12" s="114"/>
      <c r="F12" s="114"/>
      <c r="G12" s="114"/>
      <c r="H12" s="114"/>
    </row>
    <row r="13" spans="1:8" x14ac:dyDescent="0.3">
      <c r="B13" s="38"/>
      <c r="C13" s="38"/>
      <c r="D13" s="38"/>
      <c r="E13" s="38"/>
      <c r="F13" s="38"/>
      <c r="G13" s="38"/>
      <c r="H13" s="38"/>
    </row>
    <row r="14" spans="1:8" x14ac:dyDescent="0.3">
      <c r="B14" s="90" t="s">
        <v>681</v>
      </c>
      <c r="C14" s="89"/>
      <c r="D14" s="89"/>
      <c r="E14" s="89"/>
      <c r="F14" s="89"/>
      <c r="G14" s="89"/>
      <c r="H14" s="89"/>
    </row>
    <row r="15" spans="1:8" ht="254.1" customHeight="1" x14ac:dyDescent="0.3">
      <c r="B15" s="114" t="s">
        <v>682</v>
      </c>
      <c r="C15" s="114"/>
      <c r="D15" s="114"/>
      <c r="E15" s="114"/>
      <c r="F15" s="114"/>
      <c r="G15" s="114"/>
      <c r="H15" s="114"/>
    </row>
    <row r="16" spans="1:8" hidden="1" x14ac:dyDescent="0.3">
      <c r="B16" s="114"/>
      <c r="C16" s="114"/>
      <c r="D16" s="114"/>
      <c r="E16" s="114"/>
      <c r="F16" s="114"/>
      <c r="G16" s="114"/>
      <c r="H16" s="114"/>
    </row>
    <row r="17" spans="2:8" x14ac:dyDescent="0.3">
      <c r="B17" s="38"/>
      <c r="C17" s="38"/>
      <c r="D17" s="38"/>
      <c r="E17" s="38"/>
      <c r="F17" s="38"/>
      <c r="G17" s="38"/>
      <c r="H17" s="38"/>
    </row>
    <row r="18" spans="2:8" x14ac:dyDescent="0.3">
      <c r="B18" s="90" t="s">
        <v>683</v>
      </c>
      <c r="C18" s="89"/>
      <c r="D18" s="89"/>
      <c r="E18" s="89"/>
      <c r="F18" s="89"/>
      <c r="G18" s="89"/>
      <c r="H18" s="89"/>
    </row>
    <row r="19" spans="2:8" ht="86.1" customHeight="1" x14ac:dyDescent="0.3">
      <c r="B19" s="114" t="str">
        <f>"① 「공급자」는 완성된 교복을 기한 내에 지정된 장소에 납품해야 한다."&amp;CHAR(10)&amp;"- 동복: "&amp;IF(기초자료입력!C17&lt;&gt;"",TEXT(기초자료입력!C17,"yyyy.m.d.")&amp;"("&amp;TEXT(기초자료입력!C17,"aaa")&amp;")","20○○.OO.OO(요일)")&amp;"까지, 학교에서 지정하는 장소"&amp;CHAR(10)&amp;"- 하복: "&amp;IF(기초자료입력!C17&lt;&gt;"",TEXT(기초자료입력!C17,"yyyy.m.d.")&amp;"("&amp;TEXT(기초자료입력!C17,"aaa")&amp;")","20○○.OO.OO(요일)")&amp;"까지, 학교에서 지정하는 장소"</f>
        <v>① 「공급자」는 완성된 교복을 기한 내에 지정된 장소에 납품해야 한다.
- 동복: 20○○.OO.OO(요일)까지, 학교에서 지정하는 장소
- 하복: 20○○.OO.OO(요일)까지, 학교에서 지정하는 장소</v>
      </c>
      <c r="C19" s="114"/>
      <c r="D19" s="114"/>
      <c r="E19" s="114"/>
      <c r="F19" s="114"/>
      <c r="G19" s="114"/>
      <c r="H19" s="114"/>
    </row>
    <row r="20" spans="2:8" hidden="1" x14ac:dyDescent="0.3">
      <c r="B20" s="114"/>
      <c r="C20" s="114"/>
      <c r="D20" s="114"/>
      <c r="E20" s="114"/>
      <c r="F20" s="114"/>
      <c r="G20" s="114"/>
      <c r="H20" s="114"/>
    </row>
    <row r="21" spans="2:8" x14ac:dyDescent="0.3">
      <c r="B21" s="38"/>
      <c r="C21" s="38"/>
      <c r="D21" s="38"/>
      <c r="E21" s="38"/>
      <c r="F21" s="38"/>
      <c r="G21" s="38"/>
      <c r="H21" s="38"/>
    </row>
    <row r="22" spans="2:8" x14ac:dyDescent="0.3">
      <c r="B22" s="90" t="s">
        <v>684</v>
      </c>
      <c r="C22" s="89"/>
      <c r="D22" s="89"/>
      <c r="E22" s="89"/>
      <c r="F22" s="89"/>
      <c r="G22" s="89"/>
      <c r="H22" s="89"/>
    </row>
    <row r="23" spans="2:8" ht="110.1" customHeight="1" x14ac:dyDescent="0.3">
      <c r="B23" s="114" t="s">
        <v>685</v>
      </c>
      <c r="C23" s="114"/>
      <c r="D23" s="114"/>
      <c r="E23" s="114"/>
      <c r="F23" s="114"/>
      <c r="G23" s="114"/>
      <c r="H23" s="114"/>
    </row>
    <row r="24" spans="2:8" hidden="1" x14ac:dyDescent="0.3">
      <c r="B24" s="114"/>
      <c r="C24" s="114"/>
      <c r="D24" s="114"/>
      <c r="E24" s="114"/>
      <c r="F24" s="114"/>
      <c r="G24" s="114"/>
      <c r="H24" s="114"/>
    </row>
    <row r="25" spans="2:8" x14ac:dyDescent="0.3">
      <c r="B25" s="38"/>
      <c r="C25" s="38"/>
      <c r="D25" s="38"/>
      <c r="E25" s="38"/>
      <c r="F25" s="38"/>
      <c r="G25" s="38"/>
      <c r="H25" s="38"/>
    </row>
    <row r="26" spans="2:8" x14ac:dyDescent="0.3">
      <c r="B26" s="90" t="s">
        <v>686</v>
      </c>
      <c r="C26" s="89"/>
      <c r="D26" s="89"/>
      <c r="E26" s="89"/>
      <c r="F26" s="89"/>
      <c r="G26" s="89"/>
      <c r="H26" s="89"/>
    </row>
    <row r="27" spans="2:8" ht="206.1" customHeight="1" x14ac:dyDescent="0.3">
      <c r="B27" s="114" t="s">
        <v>687</v>
      </c>
      <c r="C27" s="114"/>
      <c r="D27" s="114"/>
      <c r="E27" s="114"/>
      <c r="F27" s="114"/>
      <c r="G27" s="114"/>
      <c r="H27" s="114"/>
    </row>
    <row r="28" spans="2:8" hidden="1" x14ac:dyDescent="0.3">
      <c r="B28" s="114"/>
      <c r="C28" s="114"/>
      <c r="D28" s="114"/>
      <c r="E28" s="114"/>
      <c r="F28" s="114"/>
      <c r="G28" s="114"/>
      <c r="H28" s="114"/>
    </row>
    <row r="29" spans="2:8" x14ac:dyDescent="0.3">
      <c r="B29" s="38"/>
      <c r="C29" s="38"/>
      <c r="D29" s="38"/>
      <c r="E29" s="38"/>
      <c r="F29" s="38"/>
      <c r="G29" s="38"/>
      <c r="H29" s="38"/>
    </row>
    <row r="30" spans="2:8" x14ac:dyDescent="0.3">
      <c r="B30" s="90" t="s">
        <v>688</v>
      </c>
      <c r="C30" s="89"/>
      <c r="D30" s="89"/>
      <c r="E30" s="89"/>
      <c r="F30" s="89"/>
      <c r="G30" s="89"/>
      <c r="H30" s="89"/>
    </row>
    <row r="31" spans="2:8" ht="254.1" customHeight="1" x14ac:dyDescent="0.3">
      <c r="B31" s="114" t="s">
        <v>689</v>
      </c>
      <c r="C31" s="114"/>
      <c r="D31" s="114"/>
      <c r="E31" s="114"/>
      <c r="F31" s="114"/>
      <c r="G31" s="114"/>
      <c r="H31" s="114"/>
    </row>
    <row r="32" spans="2:8" hidden="1" x14ac:dyDescent="0.3">
      <c r="B32" s="114"/>
      <c r="C32" s="114"/>
      <c r="D32" s="114"/>
      <c r="E32" s="114"/>
      <c r="F32" s="114"/>
      <c r="G32" s="114"/>
      <c r="H32" s="114"/>
    </row>
    <row r="33" spans="2:8" x14ac:dyDescent="0.3">
      <c r="B33" s="38"/>
      <c r="C33" s="38"/>
      <c r="D33" s="38"/>
      <c r="E33" s="38"/>
      <c r="F33" s="38"/>
      <c r="G33" s="38"/>
      <c r="H33" s="38"/>
    </row>
    <row r="34" spans="2:8" x14ac:dyDescent="0.3">
      <c r="B34" s="90" t="s">
        <v>690</v>
      </c>
      <c r="C34" s="89"/>
      <c r="D34" s="89"/>
      <c r="E34" s="89"/>
      <c r="F34" s="89"/>
      <c r="G34" s="89"/>
      <c r="H34" s="89"/>
    </row>
    <row r="35" spans="2:8" ht="110.1" customHeight="1" x14ac:dyDescent="0.3">
      <c r="B35" s="114" t="s">
        <v>691</v>
      </c>
      <c r="C35" s="114"/>
      <c r="D35" s="114"/>
      <c r="E35" s="114"/>
      <c r="F35" s="114"/>
      <c r="G35" s="114"/>
      <c r="H35" s="114"/>
    </row>
    <row r="36" spans="2:8" hidden="1" x14ac:dyDescent="0.3">
      <c r="B36" s="114"/>
      <c r="C36" s="114"/>
      <c r="D36" s="114"/>
      <c r="E36" s="114"/>
      <c r="F36" s="114"/>
      <c r="G36" s="114"/>
      <c r="H36" s="114"/>
    </row>
    <row r="37" spans="2:8" x14ac:dyDescent="0.3">
      <c r="B37" s="38"/>
      <c r="C37" s="38"/>
      <c r="D37" s="38"/>
      <c r="E37" s="38"/>
      <c r="F37" s="38"/>
      <c r="G37" s="38"/>
      <c r="H37" s="38"/>
    </row>
    <row r="38" spans="2:8" x14ac:dyDescent="0.3">
      <c r="B38" s="90" t="s">
        <v>692</v>
      </c>
      <c r="C38" s="89"/>
      <c r="D38" s="89"/>
      <c r="E38" s="89"/>
      <c r="F38" s="89"/>
      <c r="G38" s="89"/>
      <c r="H38" s="89"/>
    </row>
    <row r="39" spans="2:8" ht="158.1" customHeight="1" x14ac:dyDescent="0.3">
      <c r="B39" s="114" t="s">
        <v>693</v>
      </c>
      <c r="C39" s="114"/>
      <c r="D39" s="114"/>
      <c r="E39" s="114"/>
      <c r="F39" s="114"/>
      <c r="G39" s="114"/>
      <c r="H39" s="114"/>
    </row>
    <row r="40" spans="2:8" hidden="1" x14ac:dyDescent="0.3">
      <c r="B40" s="114"/>
      <c r="C40" s="114"/>
      <c r="D40" s="114"/>
      <c r="E40" s="114"/>
      <c r="F40" s="114"/>
      <c r="G40" s="114"/>
      <c r="H40" s="114"/>
    </row>
    <row r="41" spans="2:8" x14ac:dyDescent="0.3">
      <c r="B41" s="38"/>
      <c r="C41" s="38"/>
      <c r="D41" s="38"/>
      <c r="E41" s="38"/>
      <c r="F41" s="38"/>
      <c r="G41" s="38"/>
      <c r="H41" s="38"/>
    </row>
    <row r="42" spans="2:8" x14ac:dyDescent="0.3">
      <c r="B42" s="90" t="s">
        <v>694</v>
      </c>
      <c r="C42" s="89"/>
      <c r="D42" s="89"/>
      <c r="E42" s="89"/>
      <c r="F42" s="89"/>
      <c r="G42" s="89"/>
      <c r="H42" s="89"/>
    </row>
    <row r="43" spans="2:8" ht="62.1" customHeight="1" x14ac:dyDescent="0.3">
      <c r="B43" s="114" t="s">
        <v>695</v>
      </c>
      <c r="C43" s="114"/>
      <c r="D43" s="114"/>
      <c r="E43" s="114"/>
      <c r="F43" s="114"/>
      <c r="G43" s="114"/>
      <c r="H43" s="114"/>
    </row>
    <row r="44" spans="2:8" hidden="1" x14ac:dyDescent="0.3">
      <c r="B44" s="114"/>
      <c r="C44" s="114"/>
      <c r="D44" s="114"/>
      <c r="E44" s="114"/>
      <c r="F44" s="114"/>
      <c r="G44" s="114"/>
      <c r="H44" s="114"/>
    </row>
    <row r="45" spans="2:8" x14ac:dyDescent="0.3">
      <c r="B45" s="38"/>
      <c r="C45" s="38"/>
      <c r="D45" s="38"/>
      <c r="E45" s="38"/>
      <c r="F45" s="38"/>
      <c r="G45" s="38"/>
      <c r="H45" s="38"/>
    </row>
    <row r="46" spans="2:8" x14ac:dyDescent="0.3">
      <c r="B46" s="90" t="s">
        <v>696</v>
      </c>
      <c r="C46" s="89"/>
      <c r="D46" s="89"/>
      <c r="E46" s="89"/>
      <c r="F46" s="89"/>
      <c r="G46" s="89"/>
      <c r="H46" s="89"/>
    </row>
    <row r="47" spans="2:8" ht="182.1" customHeight="1" x14ac:dyDescent="0.3">
      <c r="B47" s="114" t="s">
        <v>697</v>
      </c>
      <c r="C47" s="114"/>
      <c r="D47" s="114"/>
      <c r="E47" s="114"/>
      <c r="F47" s="114"/>
      <c r="G47" s="114"/>
      <c r="H47" s="114"/>
    </row>
    <row r="48" spans="2:8" hidden="1" x14ac:dyDescent="0.3">
      <c r="B48" s="114"/>
      <c r="C48" s="114"/>
      <c r="D48" s="114"/>
      <c r="E48" s="114"/>
      <c r="F48" s="114"/>
      <c r="G48" s="114"/>
      <c r="H48" s="114"/>
    </row>
    <row r="49" spans="2:8" x14ac:dyDescent="0.3">
      <c r="B49" s="38"/>
      <c r="C49" s="38"/>
      <c r="D49" s="38"/>
      <c r="E49" s="38"/>
      <c r="F49" s="38"/>
      <c r="G49" s="38"/>
      <c r="H49" s="38"/>
    </row>
    <row r="50" spans="2:8" x14ac:dyDescent="0.3">
      <c r="B50" s="90" t="s">
        <v>698</v>
      </c>
      <c r="C50" s="89"/>
      <c r="D50" s="89"/>
      <c r="E50" s="89"/>
      <c r="F50" s="89"/>
      <c r="G50" s="89"/>
      <c r="H50" s="89"/>
    </row>
    <row r="51" spans="2:8" ht="110.1" customHeight="1" x14ac:dyDescent="0.3">
      <c r="B51" s="114" t="s">
        <v>699</v>
      </c>
      <c r="C51" s="114"/>
      <c r="D51" s="114"/>
      <c r="E51" s="114"/>
      <c r="F51" s="114"/>
      <c r="G51" s="114"/>
      <c r="H51" s="114"/>
    </row>
    <row r="52" spans="2:8" hidden="1" x14ac:dyDescent="0.3">
      <c r="B52" s="114"/>
      <c r="C52" s="114"/>
      <c r="D52" s="114"/>
      <c r="E52" s="114"/>
      <c r="F52" s="114"/>
      <c r="G52" s="114"/>
      <c r="H52" s="114"/>
    </row>
    <row r="53" spans="2:8" x14ac:dyDescent="0.3">
      <c r="B53" s="38"/>
      <c r="C53" s="38"/>
      <c r="D53" s="38"/>
      <c r="E53" s="38"/>
      <c r="F53" s="38"/>
      <c r="G53" s="38"/>
      <c r="H53" s="38"/>
    </row>
    <row r="54" spans="2:8" x14ac:dyDescent="0.3">
      <c r="B54" s="90" t="s">
        <v>700</v>
      </c>
      <c r="C54" s="89"/>
      <c r="D54" s="89"/>
      <c r="E54" s="89"/>
      <c r="F54" s="89"/>
      <c r="G54" s="89"/>
      <c r="H54" s="89"/>
    </row>
    <row r="55" spans="2:8" ht="62.1" customHeight="1" x14ac:dyDescent="0.3">
      <c r="B55" s="114" t="s">
        <v>701</v>
      </c>
      <c r="C55" s="114"/>
      <c r="D55" s="114"/>
      <c r="E55" s="114"/>
      <c r="F55" s="114"/>
      <c r="G55" s="114"/>
      <c r="H55" s="114"/>
    </row>
    <row r="56" spans="2:8" hidden="1" x14ac:dyDescent="0.3">
      <c r="B56" s="114"/>
      <c r="C56" s="114"/>
      <c r="D56" s="114"/>
      <c r="E56" s="114"/>
      <c r="F56" s="114"/>
      <c r="G56" s="114"/>
      <c r="H56" s="114"/>
    </row>
    <row r="57" spans="2:8" x14ac:dyDescent="0.3">
      <c r="B57" s="38"/>
      <c r="C57" s="38"/>
      <c r="D57" s="38"/>
      <c r="E57" s="38"/>
      <c r="F57" s="38"/>
      <c r="G57" s="38"/>
      <c r="H57" s="38"/>
    </row>
    <row r="58" spans="2:8" x14ac:dyDescent="0.3">
      <c r="B58" s="90" t="s">
        <v>702</v>
      </c>
      <c r="C58" s="89"/>
      <c r="D58" s="89"/>
      <c r="E58" s="89"/>
      <c r="F58" s="89"/>
      <c r="G58" s="89"/>
      <c r="H58" s="89"/>
    </row>
    <row r="59" spans="2:8" ht="62.1" customHeight="1" x14ac:dyDescent="0.3">
      <c r="B59" s="114" t="s">
        <v>703</v>
      </c>
      <c r="C59" s="114"/>
      <c r="D59" s="114"/>
      <c r="E59" s="114"/>
      <c r="F59" s="114"/>
      <c r="G59" s="114"/>
      <c r="H59" s="114"/>
    </row>
    <row r="60" spans="2:8" hidden="1" x14ac:dyDescent="0.3">
      <c r="B60" s="114"/>
      <c r="C60" s="114"/>
      <c r="D60" s="114"/>
      <c r="E60" s="114"/>
      <c r="F60" s="114"/>
      <c r="G60" s="114"/>
      <c r="H60" s="114"/>
    </row>
    <row r="61" spans="2:8" x14ac:dyDescent="0.3">
      <c r="B61" s="38"/>
      <c r="C61" s="38"/>
      <c r="D61" s="38"/>
      <c r="E61" s="38"/>
      <c r="F61" s="38"/>
      <c r="G61" s="38"/>
      <c r="H61" s="38"/>
    </row>
    <row r="62" spans="2:8" x14ac:dyDescent="0.3">
      <c r="B62" s="90" t="s">
        <v>704</v>
      </c>
      <c r="C62" s="89"/>
      <c r="D62" s="89"/>
      <c r="E62" s="89"/>
      <c r="F62" s="89"/>
      <c r="G62" s="89"/>
      <c r="H62" s="89"/>
    </row>
    <row r="63" spans="2:8" ht="110.1" customHeight="1" x14ac:dyDescent="0.3">
      <c r="B63" s="114" t="s">
        <v>705</v>
      </c>
      <c r="C63" s="114"/>
      <c r="D63" s="114"/>
      <c r="E63" s="114"/>
      <c r="F63" s="114"/>
      <c r="G63" s="114"/>
      <c r="H63" s="114"/>
    </row>
    <row r="64" spans="2:8" hidden="1" x14ac:dyDescent="0.3">
      <c r="B64" s="114"/>
      <c r="C64" s="114"/>
      <c r="D64" s="114"/>
      <c r="E64" s="114"/>
      <c r="F64" s="114"/>
      <c r="G64" s="114"/>
      <c r="H64" s="114"/>
    </row>
    <row r="65" spans="2:8" x14ac:dyDescent="0.3">
      <c r="B65" s="38"/>
      <c r="C65" s="38"/>
      <c r="D65" s="38"/>
      <c r="E65" s="38"/>
      <c r="F65" s="38"/>
      <c r="G65" s="38"/>
      <c r="H65" s="38"/>
    </row>
    <row r="66" spans="2:8" x14ac:dyDescent="0.3">
      <c r="B66" s="90" t="s">
        <v>706</v>
      </c>
      <c r="C66" s="89"/>
      <c r="D66" s="89"/>
      <c r="E66" s="89"/>
      <c r="F66" s="89"/>
      <c r="G66" s="89"/>
      <c r="H66" s="89"/>
    </row>
    <row r="67" spans="2:8" ht="38.1" customHeight="1" x14ac:dyDescent="0.3">
      <c r="B67" s="114" t="s">
        <v>707</v>
      </c>
      <c r="C67" s="114"/>
      <c r="D67" s="114"/>
      <c r="E67" s="114"/>
      <c r="F67" s="114"/>
      <c r="G67" s="114"/>
      <c r="H67" s="114"/>
    </row>
    <row r="68" spans="2:8" hidden="1" x14ac:dyDescent="0.3">
      <c r="B68" s="114"/>
      <c r="C68" s="114"/>
      <c r="D68" s="114"/>
      <c r="E68" s="114"/>
      <c r="F68" s="114"/>
      <c r="G68" s="114"/>
      <c r="H68" s="114"/>
    </row>
    <row r="69" spans="2:8" x14ac:dyDescent="0.3">
      <c r="B69" s="38"/>
      <c r="C69" s="38"/>
      <c r="D69" s="38"/>
      <c r="E69" s="38"/>
      <c r="F69" s="38"/>
      <c r="G69" s="38"/>
      <c r="H69" s="38"/>
    </row>
    <row r="70" spans="2:8" x14ac:dyDescent="0.3">
      <c r="B70" s="90" t="s">
        <v>708</v>
      </c>
      <c r="C70" s="89"/>
      <c r="D70" s="89"/>
      <c r="E70" s="89"/>
      <c r="F70" s="89"/>
      <c r="G70" s="89"/>
      <c r="H70" s="89"/>
    </row>
    <row r="71" spans="2:8" ht="38.1" customHeight="1" x14ac:dyDescent="0.3">
      <c r="B71" s="114" t="s">
        <v>709</v>
      </c>
      <c r="C71" s="114"/>
      <c r="D71" s="114"/>
      <c r="E71" s="114"/>
      <c r="F71" s="114"/>
      <c r="G71" s="114"/>
      <c r="H71" s="114"/>
    </row>
    <row r="72" spans="2:8" hidden="1" x14ac:dyDescent="0.3">
      <c r="B72" s="114"/>
      <c r="C72" s="114"/>
      <c r="D72" s="114"/>
      <c r="E72" s="114"/>
      <c r="F72" s="114"/>
      <c r="G72" s="114"/>
      <c r="H72" s="114"/>
    </row>
    <row r="73" spans="2:8" x14ac:dyDescent="0.3">
      <c r="B73" s="38"/>
      <c r="C73" s="38"/>
      <c r="D73" s="38"/>
      <c r="E73" s="38"/>
      <c r="F73" s="38"/>
      <c r="G73" s="38"/>
      <c r="H73" s="38"/>
    </row>
    <row r="74" spans="2:8" x14ac:dyDescent="0.3">
      <c r="B74" s="90" t="s">
        <v>710</v>
      </c>
      <c r="C74" s="89"/>
      <c r="D74" s="89"/>
      <c r="E74" s="89"/>
      <c r="F74" s="89"/>
      <c r="G74" s="89"/>
      <c r="H74" s="89"/>
    </row>
    <row r="75" spans="2:8" ht="110.1" customHeight="1" x14ac:dyDescent="0.3">
      <c r="B75" s="114" t="s">
        <v>711</v>
      </c>
      <c r="C75" s="114"/>
      <c r="D75" s="114"/>
      <c r="E75" s="114"/>
      <c r="F75" s="114"/>
      <c r="G75" s="114"/>
      <c r="H75" s="114"/>
    </row>
    <row r="76" spans="2:8" hidden="1" x14ac:dyDescent="0.3">
      <c r="B76" s="114"/>
      <c r="C76" s="114"/>
      <c r="D76" s="114"/>
      <c r="E76" s="114"/>
      <c r="F76" s="114"/>
      <c r="G76" s="114"/>
      <c r="H76" s="114"/>
    </row>
    <row r="77" spans="2:8" x14ac:dyDescent="0.3">
      <c r="B77" s="38"/>
      <c r="C77" s="38"/>
      <c r="D77" s="38"/>
      <c r="E77" s="38"/>
      <c r="F77" s="38"/>
      <c r="G77" s="38"/>
      <c r="H77" s="38"/>
    </row>
    <row r="78" spans="2:8" x14ac:dyDescent="0.3">
      <c r="B78" s="90" t="s">
        <v>712</v>
      </c>
      <c r="C78" s="89"/>
      <c r="D78" s="89"/>
      <c r="E78" s="89"/>
      <c r="F78" s="89"/>
      <c r="G78" s="89"/>
      <c r="H78" s="89"/>
    </row>
    <row r="79" spans="2:8" ht="206.1" customHeight="1" x14ac:dyDescent="0.3">
      <c r="B79" s="114" t="s">
        <v>713</v>
      </c>
      <c r="C79" s="114"/>
      <c r="D79" s="114"/>
      <c r="E79" s="114"/>
      <c r="F79" s="114"/>
      <c r="G79" s="114"/>
      <c r="H79" s="114"/>
    </row>
    <row r="80" spans="2:8" hidden="1" x14ac:dyDescent="0.3">
      <c r="B80" s="114"/>
      <c r="C80" s="114"/>
      <c r="D80" s="114"/>
      <c r="E80" s="114"/>
      <c r="F80" s="114"/>
      <c r="G80" s="114"/>
      <c r="H80" s="114"/>
    </row>
    <row r="81" spans="2:8" x14ac:dyDescent="0.3">
      <c r="B81" s="38"/>
      <c r="C81" s="38"/>
      <c r="D81" s="38"/>
      <c r="E81" s="38"/>
      <c r="F81" s="38"/>
      <c r="G81" s="38"/>
      <c r="H81" s="38"/>
    </row>
    <row r="82" spans="2:8" x14ac:dyDescent="0.3">
      <c r="B82" s="90" t="s">
        <v>714</v>
      </c>
      <c r="C82" s="89"/>
      <c r="D82" s="89"/>
      <c r="E82" s="89"/>
      <c r="F82" s="89"/>
      <c r="G82" s="89"/>
      <c r="H82" s="89"/>
    </row>
    <row r="83" spans="2:8" ht="62.1" customHeight="1" x14ac:dyDescent="0.3">
      <c r="B83" s="114" t="s">
        <v>715</v>
      </c>
      <c r="C83" s="114"/>
      <c r="D83" s="114"/>
      <c r="E83" s="114"/>
      <c r="F83" s="114"/>
      <c r="G83" s="114"/>
      <c r="H83" s="114"/>
    </row>
    <row r="84" spans="2:8" hidden="1" x14ac:dyDescent="0.3">
      <c r="B84" s="114"/>
      <c r="C84" s="114"/>
      <c r="D84" s="114"/>
      <c r="E84" s="114"/>
      <c r="F84" s="114"/>
      <c r="G84" s="114"/>
      <c r="H84" s="114"/>
    </row>
    <row r="85" spans="2:8" x14ac:dyDescent="0.3">
      <c r="B85" s="38"/>
      <c r="C85" s="38"/>
      <c r="D85" s="38"/>
      <c r="E85" s="38"/>
      <c r="F85" s="38"/>
      <c r="G85" s="38"/>
      <c r="H85" s="38"/>
    </row>
    <row r="86" spans="2:8" x14ac:dyDescent="0.3">
      <c r="B86" s="38"/>
      <c r="C86" s="38"/>
      <c r="D86" s="38"/>
      <c r="E86" s="38"/>
      <c r="F86" s="38"/>
      <c r="G86" s="38"/>
      <c r="H86" s="38"/>
    </row>
  </sheetData>
  <mergeCells count="40">
    <mergeCell ref="B78:H78"/>
    <mergeCell ref="B79:H80"/>
    <mergeCell ref="B82:H82"/>
    <mergeCell ref="B83:H84"/>
    <mergeCell ref="B66:H66"/>
    <mergeCell ref="B67:H68"/>
    <mergeCell ref="B70:H70"/>
    <mergeCell ref="B71:H72"/>
    <mergeCell ref="B74:H74"/>
    <mergeCell ref="B75:H76"/>
    <mergeCell ref="B63:H64"/>
    <mergeCell ref="B42:H42"/>
    <mergeCell ref="B43:H44"/>
    <mergeCell ref="B46:H46"/>
    <mergeCell ref="B47:H48"/>
    <mergeCell ref="B50:H50"/>
    <mergeCell ref="B51:H52"/>
    <mergeCell ref="B54:H54"/>
    <mergeCell ref="B55:H56"/>
    <mergeCell ref="B58:H58"/>
    <mergeCell ref="B59:H60"/>
    <mergeCell ref="B62:H62"/>
    <mergeCell ref="B39:H40"/>
    <mergeCell ref="B18:H18"/>
    <mergeCell ref="B19:H20"/>
    <mergeCell ref="B22:H22"/>
    <mergeCell ref="B23:H24"/>
    <mergeCell ref="B26:H26"/>
    <mergeCell ref="B27:H28"/>
    <mergeCell ref="B30:H30"/>
    <mergeCell ref="B31:H32"/>
    <mergeCell ref="B34:H34"/>
    <mergeCell ref="B35:H36"/>
    <mergeCell ref="B38:H38"/>
    <mergeCell ref="B15:H16"/>
    <mergeCell ref="B3:H4"/>
    <mergeCell ref="B6:H8"/>
    <mergeCell ref="B10:H10"/>
    <mergeCell ref="B11:H12"/>
    <mergeCell ref="B14:H14"/>
  </mergeCells>
  <phoneticPr fontId="6" type="noConversion"/>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19458"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0CC03-D307-4037-AB2D-983E1C68DE38}">
  <sheetPr codeName="Sheet20"/>
  <dimension ref="A1:G25"/>
  <sheetViews>
    <sheetView workbookViewId="0"/>
  </sheetViews>
  <sheetFormatPr defaultRowHeight="16.5" x14ac:dyDescent="0.3"/>
  <cols>
    <col min="1" max="1" width="3.125" customWidth="1"/>
    <col min="2" max="2" width="7.625" customWidth="1"/>
    <col min="3" max="4" width="18.625" customWidth="1"/>
    <col min="5" max="5" width="7.625" customWidth="1"/>
    <col min="6" max="6" width="9.625" customWidth="1"/>
    <col min="7" max="7" width="7.625" customWidth="1"/>
  </cols>
  <sheetData>
    <row r="1" spans="1:7" x14ac:dyDescent="0.3">
      <c r="A1" s="20" t="s">
        <v>326</v>
      </c>
    </row>
    <row r="3" spans="1:7" x14ac:dyDescent="0.3">
      <c r="B3" s="115" t="s">
        <v>327</v>
      </c>
      <c r="C3" s="109"/>
      <c r="D3" s="109"/>
      <c r="E3" s="109"/>
      <c r="F3" s="109"/>
      <c r="G3" s="109"/>
    </row>
    <row r="4" spans="1:7" x14ac:dyDescent="0.3">
      <c r="B4" s="109" t="s">
        <v>328</v>
      </c>
      <c r="C4" s="109"/>
      <c r="D4" s="109"/>
      <c r="E4" s="109"/>
      <c r="F4" s="109"/>
      <c r="G4" s="109"/>
    </row>
    <row r="5" spans="1:7" x14ac:dyDescent="0.3">
      <c r="B5" s="29" t="s">
        <v>93</v>
      </c>
      <c r="C5" s="30" t="str">
        <f>IF(기초자료입력!C4&lt;&gt;"",기초자료입력!C4,"")</f>
        <v/>
      </c>
      <c r="D5" s="30" t="s">
        <v>94</v>
      </c>
      <c r="E5" s="30" t="str">
        <f>IF(기초자료입력!C5&lt;&gt;"",기초자료입력!C5,"")</f>
        <v/>
      </c>
      <c r="F5" s="30" t="s">
        <v>329</v>
      </c>
      <c r="G5" s="29" t="str">
        <f>IF(COUNTA(기초자료입력!B72:B81)&gt;0,기초자료입력!D82,"")</f>
        <v/>
      </c>
    </row>
    <row r="6" spans="1:7" x14ac:dyDescent="0.3">
      <c r="B6" s="116" t="str">
        <f>IF(기초자료입력!C22&lt;&gt;"",기초자료입력!C22,"제안서 평가항목 및 배점기준")</f>
        <v>제안서 평가항목 및 배점기준</v>
      </c>
      <c r="C6" s="117"/>
      <c r="D6" s="117"/>
      <c r="E6" s="117"/>
      <c r="F6" s="117"/>
      <c r="G6" s="117"/>
    </row>
    <row r="7" spans="1:7" ht="30" customHeight="1" x14ac:dyDescent="0.3">
      <c r="B7" s="100" t="s">
        <v>330</v>
      </c>
      <c r="C7" s="100"/>
      <c r="D7" s="100"/>
      <c r="E7" s="100"/>
      <c r="F7" s="100"/>
      <c r="G7" s="100"/>
    </row>
    <row r="8" spans="1:7" x14ac:dyDescent="0.3">
      <c r="B8" s="31"/>
      <c r="C8" s="31"/>
      <c r="D8" s="31"/>
      <c r="E8" s="31"/>
      <c r="F8" s="31"/>
      <c r="G8" s="31"/>
    </row>
    <row r="9" spans="1:7" x14ac:dyDescent="0.3">
      <c r="B9" s="32" t="s">
        <v>331</v>
      </c>
      <c r="C9" s="32" t="s">
        <v>82</v>
      </c>
      <c r="D9" s="32" t="s">
        <v>332</v>
      </c>
      <c r="E9" s="32" t="s">
        <v>83</v>
      </c>
      <c r="F9" s="32" t="s">
        <v>333</v>
      </c>
      <c r="G9" s="32" t="s">
        <v>320</v>
      </c>
    </row>
    <row r="10" spans="1:7" ht="24" customHeight="1" x14ac:dyDescent="0.3">
      <c r="B10" s="29" t="str">
        <f>IF(기초자료입력!B72&lt;&gt;"","평가","")</f>
        <v/>
      </c>
      <c r="C10" s="33" t="str">
        <f>IF(기초자료입력!B72&lt;&gt;"",기초자료입력!B72,"")</f>
        <v/>
      </c>
      <c r="D10" s="30" t="s">
        <v>334</v>
      </c>
      <c r="E10" s="34" t="str">
        <f>IF(기초자료입력!C72&lt;&gt;"",기초자료입력!C72,"")</f>
        <v/>
      </c>
      <c r="F10" s="34" t="str">
        <f>IF(기초자료입력!D72&lt;&gt;"",기초자료입력!D72,"")</f>
        <v/>
      </c>
      <c r="G10" s="29" t="str">
        <f>IF(AND(기초자료입력!B72&lt;&gt;"",기초자료입력!D72&lt;=기초자료입력!C72),"정상","")</f>
        <v/>
      </c>
    </row>
    <row r="11" spans="1:7" ht="24" customHeight="1" x14ac:dyDescent="0.3">
      <c r="B11" s="29" t="str">
        <f>IF(기초자료입력!B73&lt;&gt;"","평가","")</f>
        <v/>
      </c>
      <c r="C11" s="33" t="str">
        <f>IF(기초자료입력!B73&lt;&gt;"",기초자료입력!B73,"")</f>
        <v/>
      </c>
      <c r="D11" s="30" t="s">
        <v>334</v>
      </c>
      <c r="E11" s="34" t="str">
        <f>IF(기초자료입력!C73&lt;&gt;"",기초자료입력!C73,"")</f>
        <v/>
      </c>
      <c r="F11" s="34" t="str">
        <f>IF(기초자료입력!D73&lt;&gt;"",기초자료입력!D73,"")</f>
        <v/>
      </c>
      <c r="G11" s="29" t="str">
        <f>IF(AND(기초자료입력!B73&lt;&gt;"",기초자료입력!D73&lt;=기초자료입력!C73),"정상","")</f>
        <v/>
      </c>
    </row>
    <row r="12" spans="1:7" ht="24" customHeight="1" x14ac:dyDescent="0.3">
      <c r="B12" s="29" t="str">
        <f>IF(기초자료입력!B74&lt;&gt;"","평가","")</f>
        <v/>
      </c>
      <c r="C12" s="33" t="str">
        <f>IF(기초자료입력!B74&lt;&gt;"",기초자료입력!B74,"")</f>
        <v/>
      </c>
      <c r="D12" s="30" t="s">
        <v>334</v>
      </c>
      <c r="E12" s="34" t="str">
        <f>IF(기초자료입력!C74&lt;&gt;"",기초자료입력!C74,"")</f>
        <v/>
      </c>
      <c r="F12" s="34" t="str">
        <f>IF(기초자료입력!D74&lt;&gt;"",기초자료입력!D74,"")</f>
        <v/>
      </c>
      <c r="G12" s="29" t="str">
        <f>IF(AND(기초자료입력!B74&lt;&gt;"",기초자료입력!D74&lt;=기초자료입력!C74),"정상","")</f>
        <v/>
      </c>
    </row>
    <row r="13" spans="1:7" ht="24" customHeight="1" x14ac:dyDescent="0.3">
      <c r="B13" s="29" t="str">
        <f>IF(기초자료입력!B75&lt;&gt;"","평가","")</f>
        <v/>
      </c>
      <c r="C13" s="33" t="str">
        <f>IF(기초자료입력!B75&lt;&gt;"",기초자료입력!B75,"")</f>
        <v/>
      </c>
      <c r="D13" s="30" t="s">
        <v>334</v>
      </c>
      <c r="E13" s="34" t="str">
        <f>IF(기초자료입력!C75&lt;&gt;"",기초자료입력!C75,"")</f>
        <v/>
      </c>
      <c r="F13" s="34" t="str">
        <f>IF(기초자료입력!D75&lt;&gt;"",기초자료입력!D75,"")</f>
        <v/>
      </c>
      <c r="G13" s="29" t="str">
        <f>IF(AND(기초자료입력!B75&lt;&gt;"",기초자료입력!D75&lt;=기초자료입력!C75),"정상","")</f>
        <v/>
      </c>
    </row>
    <row r="14" spans="1:7" ht="24" customHeight="1" x14ac:dyDescent="0.3">
      <c r="B14" s="29" t="str">
        <f>IF(기초자료입력!B76&lt;&gt;"","평가","")</f>
        <v/>
      </c>
      <c r="C14" s="33" t="str">
        <f>IF(기초자료입력!B76&lt;&gt;"",기초자료입력!B76,"")</f>
        <v/>
      </c>
      <c r="D14" s="30" t="s">
        <v>334</v>
      </c>
      <c r="E14" s="34" t="str">
        <f>IF(기초자료입력!C76&lt;&gt;"",기초자료입력!C76,"")</f>
        <v/>
      </c>
      <c r="F14" s="34" t="str">
        <f>IF(기초자료입력!D76&lt;&gt;"",기초자료입력!D76,"")</f>
        <v/>
      </c>
      <c r="G14" s="29" t="str">
        <f>IF(AND(기초자료입력!B76&lt;&gt;"",기초자료입력!D76&lt;=기초자료입력!C76),"정상","")</f>
        <v/>
      </c>
    </row>
    <row r="15" spans="1:7" ht="24" customHeight="1" x14ac:dyDescent="0.3">
      <c r="B15" s="29" t="str">
        <f>IF(기초자료입력!B77&lt;&gt;"","평가","")</f>
        <v/>
      </c>
      <c r="C15" s="33" t="str">
        <f>IF(기초자료입력!B77&lt;&gt;"",기초자료입력!B77,"")</f>
        <v/>
      </c>
      <c r="D15" s="30" t="s">
        <v>334</v>
      </c>
      <c r="E15" s="34" t="str">
        <f>IF(기초자료입력!C77&lt;&gt;"",기초자료입력!C77,"")</f>
        <v/>
      </c>
      <c r="F15" s="34" t="str">
        <f>IF(기초자료입력!D77&lt;&gt;"",기초자료입력!D77,"")</f>
        <v/>
      </c>
      <c r="G15" s="29" t="str">
        <f>IF(AND(기초자료입력!B77&lt;&gt;"",기초자료입력!D77&lt;=기초자료입력!C77),"정상","")</f>
        <v/>
      </c>
    </row>
    <row r="16" spans="1:7" ht="24" customHeight="1" x14ac:dyDescent="0.3">
      <c r="B16" s="29" t="str">
        <f>IF(기초자료입력!B78&lt;&gt;"","평가","")</f>
        <v/>
      </c>
      <c r="C16" s="33" t="str">
        <f>IF(기초자료입력!B78&lt;&gt;"",기초자료입력!B78,"")</f>
        <v/>
      </c>
      <c r="D16" s="30" t="s">
        <v>334</v>
      </c>
      <c r="E16" s="34" t="str">
        <f>IF(기초자료입력!C78&lt;&gt;"",기초자료입력!C78,"")</f>
        <v/>
      </c>
      <c r="F16" s="34" t="str">
        <f>IF(기초자료입력!D78&lt;&gt;"",기초자료입력!D78,"")</f>
        <v/>
      </c>
      <c r="G16" s="29" t="str">
        <f>IF(AND(기초자료입력!B78&lt;&gt;"",기초자료입력!D78&lt;=기초자료입력!C78),"정상","")</f>
        <v/>
      </c>
    </row>
    <row r="17" spans="2:7" ht="24" customHeight="1" x14ac:dyDescent="0.3">
      <c r="B17" s="29" t="str">
        <f>IF(기초자료입력!B79&lt;&gt;"","평가","")</f>
        <v/>
      </c>
      <c r="C17" s="33" t="str">
        <f>IF(기초자료입력!B79&lt;&gt;"",기초자료입력!B79,"")</f>
        <v/>
      </c>
      <c r="D17" s="30" t="s">
        <v>334</v>
      </c>
      <c r="E17" s="34" t="str">
        <f>IF(기초자료입력!C79&lt;&gt;"",기초자료입력!C79,"")</f>
        <v/>
      </c>
      <c r="F17" s="34" t="str">
        <f>IF(기초자료입력!D79&lt;&gt;"",기초자료입력!D79,"")</f>
        <v/>
      </c>
      <c r="G17" s="29" t="str">
        <f>IF(AND(기초자료입력!B79&lt;&gt;"",기초자료입력!D79&lt;=기초자료입력!C79),"정상","")</f>
        <v/>
      </c>
    </row>
    <row r="18" spans="2:7" ht="24" customHeight="1" x14ac:dyDescent="0.3">
      <c r="B18" s="29" t="str">
        <f>IF(기초자료입력!B80&lt;&gt;"","평가","")</f>
        <v/>
      </c>
      <c r="C18" s="33" t="str">
        <f>IF(기초자료입력!B80&lt;&gt;"",기초자료입력!B80,"")</f>
        <v/>
      </c>
      <c r="D18" s="30" t="s">
        <v>334</v>
      </c>
      <c r="E18" s="34" t="str">
        <f>IF(기초자료입력!C80&lt;&gt;"",기초자료입력!C80,"")</f>
        <v/>
      </c>
      <c r="F18" s="34" t="str">
        <f>IF(기초자료입력!D80&lt;&gt;"",기초자료입력!D80,"")</f>
        <v/>
      </c>
      <c r="G18" s="29" t="str">
        <f>IF(AND(기초자료입력!B80&lt;&gt;"",기초자료입력!D80&lt;=기초자료입력!C80),"정상","")</f>
        <v/>
      </c>
    </row>
    <row r="19" spans="2:7" ht="24" customHeight="1" x14ac:dyDescent="0.3">
      <c r="B19" s="29" t="str">
        <f>IF(기초자료입력!B81&lt;&gt;"","평가","")</f>
        <v/>
      </c>
      <c r="C19" s="33" t="str">
        <f>IF(기초자료입력!B81&lt;&gt;"",기초자료입력!B81,"")</f>
        <v/>
      </c>
      <c r="D19" s="30" t="s">
        <v>334</v>
      </c>
      <c r="E19" s="34" t="str">
        <f>IF(기초자료입력!C81&lt;&gt;"",기초자료입력!C81,"")</f>
        <v/>
      </c>
      <c r="F19" s="34" t="str">
        <f>IF(기초자료입력!D81&lt;&gt;"",기초자료입력!D81,"")</f>
        <v/>
      </c>
      <c r="G19" s="29" t="str">
        <f>IF(AND(기초자료입력!B81&lt;&gt;"",기초자료입력!D81&lt;=기초자료입력!C81),"정상","")</f>
        <v/>
      </c>
    </row>
    <row r="20" spans="2:7" x14ac:dyDescent="0.3">
      <c r="B20" s="88" t="s">
        <v>335</v>
      </c>
      <c r="C20" s="118"/>
      <c r="D20" s="118"/>
      <c r="E20" s="35">
        <f>SUM(E10:E19)</f>
        <v>0</v>
      </c>
      <c r="F20" s="35">
        <f>기초자료입력!D82</f>
        <v>0</v>
      </c>
      <c r="G20" s="32" t="s">
        <v>336</v>
      </c>
    </row>
    <row r="21" spans="2:7" x14ac:dyDescent="0.3">
      <c r="B21" s="31"/>
      <c r="C21" s="31"/>
      <c r="D21" s="31"/>
      <c r="E21" s="31"/>
      <c r="F21" s="31"/>
      <c r="G21" s="31"/>
    </row>
    <row r="22" spans="2:7" x14ac:dyDescent="0.3">
      <c r="B22" s="113" t="s">
        <v>337</v>
      </c>
      <c r="C22" s="100"/>
      <c r="D22" s="100"/>
      <c r="E22" s="100"/>
      <c r="F22" s="100"/>
      <c r="G22" s="100"/>
    </row>
    <row r="23" spans="2:7" ht="30" customHeight="1" x14ac:dyDescent="0.3">
      <c r="B23" s="100" t="s">
        <v>338</v>
      </c>
      <c r="C23" s="100"/>
      <c r="D23" s="100"/>
      <c r="E23" s="100"/>
      <c r="F23" s="100"/>
      <c r="G23" s="100"/>
    </row>
    <row r="24" spans="2:7" ht="30" customHeight="1" x14ac:dyDescent="0.3">
      <c r="B24" s="100" t="s">
        <v>339</v>
      </c>
      <c r="C24" s="100"/>
      <c r="D24" s="100"/>
      <c r="E24" s="100"/>
      <c r="F24" s="100"/>
      <c r="G24" s="100"/>
    </row>
    <row r="25" spans="2:7" ht="30" customHeight="1" x14ac:dyDescent="0.3">
      <c r="B25" s="100" t="s">
        <v>340</v>
      </c>
      <c r="C25" s="100"/>
      <c r="D25" s="100"/>
      <c r="E25" s="100"/>
      <c r="F25" s="100"/>
      <c r="G25" s="100"/>
    </row>
  </sheetData>
  <mergeCells count="9">
    <mergeCell ref="B23:G23"/>
    <mergeCell ref="B24:G24"/>
    <mergeCell ref="B25:G25"/>
    <mergeCell ref="B3:G3"/>
    <mergeCell ref="B4:G4"/>
    <mergeCell ref="B6:G6"/>
    <mergeCell ref="B7:G7"/>
    <mergeCell ref="B20:D20"/>
    <mergeCell ref="B22:G22"/>
  </mergeCells>
  <phoneticPr fontId="6" type="noConversion"/>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20482"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55856-98B5-4160-A38B-E11D890578D7}">
  <sheetPr codeName="Sheet21"/>
  <dimension ref="A1:I26"/>
  <sheetViews>
    <sheetView workbookViewId="0"/>
  </sheetViews>
  <sheetFormatPr defaultRowHeight="16.5" x14ac:dyDescent="0.3"/>
  <cols>
    <col min="1" max="1" width="3.125" customWidth="1"/>
    <col min="2" max="2" width="7.625" customWidth="1"/>
    <col min="3" max="3" width="20.625" customWidth="1"/>
    <col min="4" max="4" width="18.625" customWidth="1"/>
    <col min="5" max="5" width="6.625" customWidth="1"/>
    <col min="6" max="6" width="8.625" customWidth="1"/>
    <col min="7" max="7" width="6.625" customWidth="1"/>
  </cols>
  <sheetData>
    <row r="1" spans="1:9" x14ac:dyDescent="0.3">
      <c r="A1" s="20" t="s">
        <v>341</v>
      </c>
    </row>
    <row r="2" spans="1:9" x14ac:dyDescent="0.3">
      <c r="I2" s="36" t="s">
        <v>342</v>
      </c>
    </row>
    <row r="3" spans="1:9" x14ac:dyDescent="0.3">
      <c r="B3" s="115" t="s">
        <v>343</v>
      </c>
      <c r="C3" s="109"/>
      <c r="D3" s="109"/>
      <c r="E3" s="109"/>
      <c r="F3" s="109"/>
      <c r="G3" s="109"/>
      <c r="I3">
        <v>1</v>
      </c>
    </row>
    <row r="4" spans="1:9" x14ac:dyDescent="0.3">
      <c r="B4" s="115" t="s">
        <v>344</v>
      </c>
      <c r="C4" s="109"/>
      <c r="D4" s="109"/>
      <c r="E4" s="109"/>
      <c r="F4" s="109"/>
      <c r="G4" s="109"/>
    </row>
    <row r="5" spans="1:9" x14ac:dyDescent="0.3">
      <c r="B5" s="37" t="s">
        <v>93</v>
      </c>
      <c r="C5" s="37" t="str">
        <f>IF(기초자료입력!C4&lt;&gt;"",기초자료입력!C4,"")</f>
        <v/>
      </c>
      <c r="D5" s="37" t="s">
        <v>94</v>
      </c>
      <c r="E5" s="37" t="str">
        <f>IF(기초자료입력!C5&lt;&gt;"",기초자료입력!C5,"")</f>
        <v/>
      </c>
      <c r="F5" s="37" t="s">
        <v>345</v>
      </c>
      <c r="G5" s="37">
        <f>IFERROR(INDEX(기초자료입력!$B$44:$B$53,I3),"")</f>
        <v>0</v>
      </c>
    </row>
    <row r="6" spans="1:9" ht="24" customHeight="1" x14ac:dyDescent="0.3">
      <c r="B6" s="100" t="s">
        <v>346</v>
      </c>
      <c r="C6" s="100"/>
      <c r="D6" s="100"/>
      <c r="E6" s="100"/>
      <c r="F6" s="100"/>
      <c r="G6" s="100"/>
    </row>
    <row r="7" spans="1:9" x14ac:dyDescent="0.3">
      <c r="B7" s="38"/>
      <c r="C7" s="38"/>
      <c r="D7" s="38"/>
      <c r="E7" s="38"/>
      <c r="F7" s="38"/>
      <c r="G7" s="38"/>
    </row>
    <row r="8" spans="1:9" x14ac:dyDescent="0.3">
      <c r="B8" s="32" t="s">
        <v>331</v>
      </c>
      <c r="C8" s="32" t="s">
        <v>82</v>
      </c>
      <c r="D8" s="32" t="s">
        <v>332</v>
      </c>
      <c r="E8" s="32" t="s">
        <v>83</v>
      </c>
      <c r="F8" s="32" t="s">
        <v>333</v>
      </c>
      <c r="G8" s="37"/>
    </row>
    <row r="9" spans="1:9" ht="21.95" customHeight="1" x14ac:dyDescent="0.3">
      <c r="B9" s="119" t="s">
        <v>347</v>
      </c>
      <c r="C9" s="86" t="s">
        <v>348</v>
      </c>
      <c r="D9" s="33" t="s">
        <v>349</v>
      </c>
      <c r="E9" s="29">
        <v>10</v>
      </c>
      <c r="F9" s="112">
        <f>IFERROR(INDEX(기초자료입력!$C$44:$C$53,I3),"")</f>
        <v>0</v>
      </c>
      <c r="G9" s="30"/>
    </row>
    <row r="10" spans="1:9" ht="21.95" customHeight="1" x14ac:dyDescent="0.3">
      <c r="B10" s="119"/>
      <c r="C10" s="86"/>
      <c r="D10" s="33" t="s">
        <v>350</v>
      </c>
      <c r="E10" s="29">
        <v>8</v>
      </c>
      <c r="F10" s="112"/>
      <c r="G10" s="30"/>
    </row>
    <row r="11" spans="1:9" ht="21.95" customHeight="1" x14ac:dyDescent="0.3">
      <c r="B11" s="119"/>
      <c r="C11" s="86"/>
      <c r="D11" s="33" t="s">
        <v>351</v>
      </c>
      <c r="E11" s="29">
        <v>6</v>
      </c>
      <c r="F11" s="112"/>
      <c r="G11" s="30"/>
    </row>
    <row r="12" spans="1:9" ht="21.95" customHeight="1" x14ac:dyDescent="0.3">
      <c r="B12" s="119"/>
      <c r="C12" s="86"/>
      <c r="D12" s="33" t="s">
        <v>352</v>
      </c>
      <c r="E12" s="29">
        <v>4</v>
      </c>
      <c r="F12" s="112"/>
      <c r="G12" s="30"/>
    </row>
    <row r="13" spans="1:9" ht="21.95" customHeight="1" x14ac:dyDescent="0.3">
      <c r="B13" s="119"/>
      <c r="C13" s="86" t="s">
        <v>353</v>
      </c>
      <c r="D13" s="33" t="s">
        <v>354</v>
      </c>
      <c r="E13" s="29">
        <v>10</v>
      </c>
      <c r="F13" s="112">
        <f>IFERROR(INDEX(기초자료입력!$D$44:$D$53,I3),"")</f>
        <v>0</v>
      </c>
      <c r="G13" s="30"/>
    </row>
    <row r="14" spans="1:9" ht="21.95" customHeight="1" x14ac:dyDescent="0.3">
      <c r="B14" s="119"/>
      <c r="C14" s="86"/>
      <c r="D14" s="33" t="s">
        <v>355</v>
      </c>
      <c r="E14" s="29">
        <v>8</v>
      </c>
      <c r="F14" s="112"/>
      <c r="G14" s="30"/>
    </row>
    <row r="15" spans="1:9" ht="21.95" customHeight="1" x14ac:dyDescent="0.3">
      <c r="B15" s="119"/>
      <c r="C15" s="86"/>
      <c r="D15" s="33" t="s">
        <v>356</v>
      </c>
      <c r="E15" s="29">
        <v>5</v>
      </c>
      <c r="F15" s="112"/>
      <c r="G15" s="30"/>
    </row>
    <row r="16" spans="1:9" ht="21.95" customHeight="1" x14ac:dyDescent="0.3">
      <c r="B16" s="119"/>
      <c r="C16" s="86" t="s">
        <v>357</v>
      </c>
      <c r="D16" s="33" t="s">
        <v>358</v>
      </c>
      <c r="E16" s="29">
        <v>15</v>
      </c>
      <c r="F16" s="112">
        <f>IFERROR(INDEX(기초자료입력!$E$44:$E$53,I3),"")</f>
        <v>0</v>
      </c>
      <c r="G16" s="30"/>
    </row>
    <row r="17" spans="2:7" ht="21.95" customHeight="1" x14ac:dyDescent="0.3">
      <c r="B17" s="119"/>
      <c r="C17" s="86"/>
      <c r="D17" s="33" t="s">
        <v>359</v>
      </c>
      <c r="E17" s="29">
        <v>12</v>
      </c>
      <c r="F17" s="112"/>
      <c r="G17" s="30"/>
    </row>
    <row r="18" spans="2:7" ht="21.95" customHeight="1" x14ac:dyDescent="0.3">
      <c r="B18" s="119"/>
      <c r="C18" s="86"/>
      <c r="D18" s="33" t="s">
        <v>360</v>
      </c>
      <c r="E18" s="29">
        <v>9</v>
      </c>
      <c r="F18" s="112"/>
      <c r="G18" s="30"/>
    </row>
    <row r="19" spans="2:7" ht="21.95" customHeight="1" x14ac:dyDescent="0.3">
      <c r="B19" s="119"/>
      <c r="C19" s="86"/>
      <c r="D19" s="33" t="s">
        <v>361</v>
      </c>
      <c r="E19" s="29">
        <v>5</v>
      </c>
      <c r="F19" s="112"/>
      <c r="G19" s="30"/>
    </row>
    <row r="20" spans="2:7" ht="21.95" customHeight="1" x14ac:dyDescent="0.3">
      <c r="B20" s="119"/>
      <c r="C20" s="86" t="s">
        <v>362</v>
      </c>
      <c r="D20" s="33" t="s">
        <v>363</v>
      </c>
      <c r="E20" s="29">
        <v>15</v>
      </c>
      <c r="F20" s="112">
        <f>IFERROR(INDEX(기초자료입력!$F$44:$F$53,I3),"")</f>
        <v>0</v>
      </c>
      <c r="G20" s="30"/>
    </row>
    <row r="21" spans="2:7" ht="21.95" customHeight="1" x14ac:dyDescent="0.3">
      <c r="B21" s="119"/>
      <c r="C21" s="86"/>
      <c r="D21" s="33" t="s">
        <v>364</v>
      </c>
      <c r="E21" s="29">
        <v>0</v>
      </c>
      <c r="F21" s="112"/>
      <c r="G21" s="30"/>
    </row>
    <row r="22" spans="2:7" x14ac:dyDescent="0.3">
      <c r="B22" s="88" t="s">
        <v>299</v>
      </c>
      <c r="C22" s="118"/>
      <c r="D22" s="118" t="s">
        <v>365</v>
      </c>
      <c r="E22" s="88"/>
      <c r="F22" s="32">
        <f>IF(OR(F9="",F13="",F16="",F20=""),"",F9+F13+F16+F20)</f>
        <v>0</v>
      </c>
      <c r="G22" s="30"/>
    </row>
    <row r="23" spans="2:7" x14ac:dyDescent="0.3">
      <c r="B23" s="38"/>
      <c r="C23" s="38"/>
      <c r="D23" s="38"/>
      <c r="E23" s="38"/>
      <c r="F23" s="38"/>
      <c r="G23" s="38"/>
    </row>
    <row r="24" spans="2:7" ht="30" customHeight="1" x14ac:dyDescent="0.3">
      <c r="B24" s="100"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20○○학년도 ○○○○학교 교복 학교주관 교복 구매업체 선정을 위한 제시된 항목에 따라 객관적이고 공정하게 심사할 것을 약속합니다.</v>
      </c>
      <c r="C24" s="100"/>
      <c r="D24" s="100"/>
      <c r="E24" s="100"/>
      <c r="F24" s="100"/>
      <c r="G24" s="100"/>
    </row>
    <row r="25" spans="2:7" x14ac:dyDescent="0.3">
      <c r="B25" s="109" t="s">
        <v>324</v>
      </c>
      <c r="C25" s="109"/>
      <c r="D25" s="109"/>
      <c r="E25" s="109"/>
      <c r="F25" s="109"/>
      <c r="G25" s="109"/>
    </row>
    <row r="26" spans="2:7" x14ac:dyDescent="0.3">
      <c r="B26" s="109" t="s">
        <v>366</v>
      </c>
      <c r="C26" s="109"/>
      <c r="D26" s="109"/>
      <c r="E26" s="109"/>
      <c r="F26" s="109"/>
      <c r="G26" s="109"/>
    </row>
  </sheetData>
  <mergeCells count="17">
    <mergeCell ref="B26:G26"/>
    <mergeCell ref="C20:C21"/>
    <mergeCell ref="F20:F21"/>
    <mergeCell ref="B22:C22"/>
    <mergeCell ref="D22:E22"/>
    <mergeCell ref="B24:G24"/>
    <mergeCell ref="B25:G25"/>
    <mergeCell ref="B3:G3"/>
    <mergeCell ref="B4:G4"/>
    <mergeCell ref="B6:G6"/>
    <mergeCell ref="B9:B21"/>
    <mergeCell ref="C9:C12"/>
    <mergeCell ref="F9:F12"/>
    <mergeCell ref="C13:C15"/>
    <mergeCell ref="F13:F15"/>
    <mergeCell ref="C16:C19"/>
    <mergeCell ref="F16:F19"/>
  </mergeCells>
  <phoneticPr fontId="6" type="noConversion"/>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21506"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08C18-7C90-49B8-9EA9-8D8B72E8261A}">
  <sheetPr codeName="Sheet22"/>
  <dimension ref="A1:I18"/>
  <sheetViews>
    <sheetView workbookViewId="0"/>
  </sheetViews>
  <sheetFormatPr defaultRowHeight="16.5" x14ac:dyDescent="0.3"/>
  <cols>
    <col min="1" max="1" width="3.125" customWidth="1"/>
    <col min="2" max="2" width="12.625" customWidth="1"/>
    <col min="3" max="3" width="14.625" customWidth="1"/>
    <col min="4" max="4" width="34.625" customWidth="1"/>
    <col min="5" max="6" width="8.625" customWidth="1"/>
  </cols>
  <sheetData>
    <row r="1" spans="1:9" x14ac:dyDescent="0.3">
      <c r="A1" s="20" t="s">
        <v>367</v>
      </c>
    </row>
    <row r="2" spans="1:9" x14ac:dyDescent="0.3">
      <c r="I2" s="36" t="s">
        <v>342</v>
      </c>
    </row>
    <row r="3" spans="1:9" x14ac:dyDescent="0.3">
      <c r="B3" s="115" t="s">
        <v>368</v>
      </c>
      <c r="C3" s="109"/>
      <c r="D3" s="109"/>
      <c r="E3" s="109"/>
      <c r="F3" s="109"/>
      <c r="I3">
        <v>1</v>
      </c>
    </row>
    <row r="4" spans="1:9" x14ac:dyDescent="0.3">
      <c r="B4" s="115" t="s">
        <v>369</v>
      </c>
      <c r="C4" s="109"/>
      <c r="D4" s="109"/>
      <c r="E4" s="109"/>
      <c r="F4" s="109"/>
    </row>
    <row r="5" spans="1:9" x14ac:dyDescent="0.3">
      <c r="B5" s="37" t="s">
        <v>93</v>
      </c>
      <c r="C5" s="37" t="str">
        <f>IF(기초자료입력!C4&lt;&gt;"",기초자료입력!C4,"")</f>
        <v/>
      </c>
      <c r="D5" s="37" t="s">
        <v>94</v>
      </c>
      <c r="E5" s="37" t="str">
        <f>IF(기초자료입력!C5&lt;&gt;"",기초자료입력!C5,"")</f>
        <v/>
      </c>
      <c r="F5" s="37" t="s">
        <v>370</v>
      </c>
    </row>
    <row r="6" spans="1:9" x14ac:dyDescent="0.3">
      <c r="B6" s="109">
        <f>IFERROR(INDEX(기초자료입력!$B$44:$B$53,I3),"")</f>
        <v>0</v>
      </c>
      <c r="C6" s="109"/>
      <c r="D6" s="109"/>
      <c r="E6" s="109"/>
      <c r="F6" s="109"/>
    </row>
    <row r="7" spans="1:9" ht="24" customHeight="1" x14ac:dyDescent="0.3">
      <c r="B7" s="100" t="s">
        <v>346</v>
      </c>
      <c r="C7" s="100"/>
      <c r="D7" s="100"/>
      <c r="E7" s="100"/>
      <c r="F7" s="100"/>
    </row>
    <row r="8" spans="1:9" x14ac:dyDescent="0.3">
      <c r="B8" s="32" t="s">
        <v>331</v>
      </c>
      <c r="C8" s="32" t="s">
        <v>82</v>
      </c>
      <c r="D8" s="32" t="s">
        <v>332</v>
      </c>
      <c r="E8" s="32" t="s">
        <v>83</v>
      </c>
      <c r="F8" s="32" t="s">
        <v>333</v>
      </c>
    </row>
    <row r="9" spans="1:9" ht="45" customHeight="1" x14ac:dyDescent="0.3">
      <c r="B9" s="119" t="s">
        <v>371</v>
      </c>
      <c r="C9" s="29" t="s">
        <v>372</v>
      </c>
      <c r="D9" s="33" t="s">
        <v>373</v>
      </c>
      <c r="E9" s="29">
        <v>15</v>
      </c>
      <c r="F9" s="29">
        <f>IFERROR(INDEX(기초자료입력!$H$44:$H$53,I3),"")</f>
        <v>0</v>
      </c>
    </row>
    <row r="10" spans="1:9" ht="45" customHeight="1" x14ac:dyDescent="0.3">
      <c r="B10" s="119"/>
      <c r="C10" s="29" t="s">
        <v>374</v>
      </c>
      <c r="D10" s="33" t="s">
        <v>375</v>
      </c>
      <c r="E10" s="29">
        <v>10</v>
      </c>
      <c r="F10" s="29">
        <f>IFERROR(INDEX(기초자료입력!$I$44:$I$53,I3),"")</f>
        <v>0</v>
      </c>
    </row>
    <row r="11" spans="1:9" ht="45" customHeight="1" x14ac:dyDescent="0.3">
      <c r="B11" s="119"/>
      <c r="C11" s="29" t="s">
        <v>376</v>
      </c>
      <c r="D11" s="33" t="s">
        <v>377</v>
      </c>
      <c r="E11" s="29">
        <v>15</v>
      </c>
      <c r="F11" s="29">
        <f>IFERROR(INDEX(기초자료입력!$J$44:$J$53,I3),"")</f>
        <v>0</v>
      </c>
    </row>
    <row r="12" spans="1:9" ht="45" customHeight="1" x14ac:dyDescent="0.3">
      <c r="B12" s="119"/>
      <c r="C12" s="29" t="s">
        <v>378</v>
      </c>
      <c r="D12" s="33" t="s">
        <v>379</v>
      </c>
      <c r="E12" s="29">
        <v>10</v>
      </c>
      <c r="F12" s="29">
        <f>IFERROR(INDEX(기초자료입력!$K$44:$K$53,I3),"")</f>
        <v>0</v>
      </c>
    </row>
    <row r="13" spans="1:9" ht="45" customHeight="1" x14ac:dyDescent="0.3">
      <c r="B13" s="119"/>
      <c r="C13" s="29" t="s">
        <v>380</v>
      </c>
      <c r="D13" s="33" t="s">
        <v>381</v>
      </c>
      <c r="E13" s="29" t="s">
        <v>382</v>
      </c>
      <c r="F13" s="29">
        <f>IFERROR(INDEX(기초자료입력!$L$44:$L$53,I3),"")</f>
        <v>0</v>
      </c>
    </row>
    <row r="14" spans="1:9" x14ac:dyDescent="0.3">
      <c r="B14" s="118" t="s">
        <v>299</v>
      </c>
      <c r="C14" s="118"/>
      <c r="D14" s="118" t="s">
        <v>365</v>
      </c>
      <c r="E14" s="88"/>
      <c r="F14" s="32">
        <f>IF(OR(F9="",F10="",F11="",F12="",F13=""),"",F9+F10+F11+F12+F13)</f>
        <v>0</v>
      </c>
    </row>
    <row r="15" spans="1:9" x14ac:dyDescent="0.3">
      <c r="B15" s="38"/>
      <c r="C15" s="38"/>
      <c r="D15" s="38"/>
      <c r="E15" s="38"/>
      <c r="F15" s="38"/>
    </row>
    <row r="16" spans="1:9" ht="30" customHeight="1" x14ac:dyDescent="0.3">
      <c r="B16" s="100"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20○○학년도 ○○○○학교 교복 학교주관 교복 구매업체 선정을 위한 제시된 항목에 따라 객관적이고 공정하게 심사할 것을 약속합니다.</v>
      </c>
      <c r="C16" s="100"/>
      <c r="D16" s="100"/>
      <c r="E16" s="100"/>
      <c r="F16" s="100"/>
    </row>
    <row r="17" spans="2:6" x14ac:dyDescent="0.3">
      <c r="B17" s="109" t="s">
        <v>324</v>
      </c>
      <c r="C17" s="109"/>
      <c r="D17" s="109"/>
      <c r="E17" s="109"/>
      <c r="F17" s="109"/>
    </row>
    <row r="18" spans="2:6" x14ac:dyDescent="0.3">
      <c r="B18" s="109" t="s">
        <v>383</v>
      </c>
      <c r="C18" s="109"/>
      <c r="D18" s="109"/>
      <c r="E18" s="109"/>
      <c r="F18" s="109"/>
    </row>
  </sheetData>
  <mergeCells count="10">
    <mergeCell ref="B16:F16"/>
    <mergeCell ref="B17:F17"/>
    <mergeCell ref="B18:F18"/>
    <mergeCell ref="B3:F3"/>
    <mergeCell ref="B4:F4"/>
    <mergeCell ref="B6:F6"/>
    <mergeCell ref="B7:F7"/>
    <mergeCell ref="B9:B13"/>
    <mergeCell ref="B14:C14"/>
    <mergeCell ref="D14:E14"/>
  </mergeCells>
  <phoneticPr fontId="6" type="noConversion"/>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22530"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8AF2E-B11D-4657-956C-205BFBE791D6}">
  <sheetPr codeName="Sheet23"/>
  <dimension ref="A1:G30"/>
  <sheetViews>
    <sheetView workbookViewId="0"/>
  </sheetViews>
  <sheetFormatPr defaultRowHeight="16.5" x14ac:dyDescent="0.3"/>
  <cols>
    <col min="1" max="1" width="3.125" customWidth="1"/>
    <col min="2" max="2" width="24.625" customWidth="1"/>
    <col min="3" max="4" width="10.625" customWidth="1"/>
    <col min="5" max="5" width="25.625" customWidth="1"/>
  </cols>
  <sheetData>
    <row r="1" spans="1:7" x14ac:dyDescent="0.3">
      <c r="A1" s="20" t="s">
        <v>384</v>
      </c>
    </row>
    <row r="2" spans="1:7" x14ac:dyDescent="0.3">
      <c r="G2" s="36" t="s">
        <v>342</v>
      </c>
    </row>
    <row r="3" spans="1:7" x14ac:dyDescent="0.3">
      <c r="B3" s="120" t="str">
        <f>IF(기초자료입력!C5&lt;&gt;"",기초자료입력!C5,"20○○")&amp;"년도 신입생 교복 제출서류 자기확인서"</f>
        <v>20○○년도 신입생 교복 제출서류 자기확인서</v>
      </c>
      <c r="C3" s="121"/>
      <c r="D3" s="121"/>
      <c r="E3" s="121"/>
      <c r="G3">
        <v>1</v>
      </c>
    </row>
    <row r="4" spans="1:7" x14ac:dyDescent="0.3">
      <c r="B4" s="39"/>
      <c r="C4" s="39"/>
      <c r="D4" s="39"/>
      <c r="E4" s="39"/>
    </row>
    <row r="5" spans="1:7" ht="20.100000000000001" customHeight="1" x14ac:dyDescent="0.3">
      <c r="B5" s="122" t="s">
        <v>385</v>
      </c>
      <c r="C5" s="122"/>
      <c r="D5" s="122"/>
      <c r="E5" s="122"/>
    </row>
    <row r="6" spans="1:7" x14ac:dyDescent="0.3">
      <c r="B6" s="39"/>
      <c r="C6" s="39"/>
      <c r="D6" s="39"/>
      <c r="E6" s="39"/>
    </row>
    <row r="7" spans="1:7" ht="24" customHeight="1" x14ac:dyDescent="0.3">
      <c r="B7" s="40" t="s">
        <v>61</v>
      </c>
      <c r="C7" s="40" t="s">
        <v>386</v>
      </c>
      <c r="D7" s="40" t="s">
        <v>387</v>
      </c>
      <c r="E7" s="40" t="s">
        <v>388</v>
      </c>
    </row>
    <row r="8" spans="1:7" ht="20.100000000000001" customHeight="1" x14ac:dyDescent="0.3">
      <c r="B8" s="41" t="str">
        <f>IFERROR(IF(INDEX(기초자료입력!$B$44:$B$53,$G$3)=0,"",INDEX(기초자료입력!$B$44:$B$53,$G$3)),"")</f>
        <v/>
      </c>
      <c r="C8" s="42"/>
      <c r="D8" s="42"/>
      <c r="E8" s="41"/>
    </row>
    <row r="9" spans="1:7" x14ac:dyDescent="0.3">
      <c r="B9" s="43"/>
      <c r="C9" s="44"/>
      <c r="D9" s="44"/>
      <c r="E9" s="43"/>
    </row>
    <row r="10" spans="1:7" ht="24" customHeight="1" x14ac:dyDescent="0.3">
      <c r="B10" s="40" t="s">
        <v>389</v>
      </c>
      <c r="C10" s="40" t="s">
        <v>56</v>
      </c>
      <c r="D10" s="40" t="s">
        <v>390</v>
      </c>
      <c r="E10" s="40" t="s">
        <v>391</v>
      </c>
    </row>
    <row r="11" spans="1:7" ht="15.95" customHeight="1" x14ac:dyDescent="0.3">
      <c r="B11" s="45" t="s">
        <v>392</v>
      </c>
      <c r="C11" s="46" t="s">
        <v>393</v>
      </c>
      <c r="D11" s="46"/>
      <c r="E11" s="45"/>
    </row>
    <row r="12" spans="1:7" ht="15.95" customHeight="1" x14ac:dyDescent="0.3">
      <c r="B12" s="45" t="s">
        <v>394</v>
      </c>
      <c r="C12" s="46" t="s">
        <v>393</v>
      </c>
      <c r="D12" s="46"/>
      <c r="E12" s="45"/>
    </row>
    <row r="13" spans="1:7" ht="15.95" customHeight="1" x14ac:dyDescent="0.3">
      <c r="B13" s="45" t="s">
        <v>395</v>
      </c>
      <c r="C13" s="46" t="s">
        <v>393</v>
      </c>
      <c r="D13" s="46"/>
      <c r="E13" s="45"/>
    </row>
    <row r="14" spans="1:7" ht="15.95" customHeight="1" x14ac:dyDescent="0.3">
      <c r="B14" s="45" t="s">
        <v>396</v>
      </c>
      <c r="C14" s="46" t="s">
        <v>393</v>
      </c>
      <c r="D14" s="46"/>
      <c r="E14" s="45" t="s">
        <v>397</v>
      </c>
    </row>
    <row r="15" spans="1:7" ht="15.95" customHeight="1" x14ac:dyDescent="0.3">
      <c r="B15" s="45" t="s">
        <v>398</v>
      </c>
      <c r="C15" s="46" t="s">
        <v>393</v>
      </c>
      <c r="D15" s="46"/>
      <c r="E15" s="45"/>
    </row>
    <row r="16" spans="1:7" ht="15.95" customHeight="1" x14ac:dyDescent="0.3">
      <c r="B16" s="45" t="s">
        <v>399</v>
      </c>
      <c r="C16" s="46" t="s">
        <v>393</v>
      </c>
      <c r="D16" s="46"/>
      <c r="E16" s="45"/>
    </row>
    <row r="17" spans="2:5" ht="15.95" customHeight="1" x14ac:dyDescent="0.3">
      <c r="B17" s="45" t="s">
        <v>400</v>
      </c>
      <c r="C17" s="46" t="s">
        <v>393</v>
      </c>
      <c r="D17" s="46"/>
      <c r="E17" s="45"/>
    </row>
    <row r="18" spans="2:5" ht="15.95" customHeight="1" x14ac:dyDescent="0.3">
      <c r="B18" s="45" t="s">
        <v>401</v>
      </c>
      <c r="C18" s="46" t="s">
        <v>393</v>
      </c>
      <c r="D18" s="46"/>
      <c r="E18" s="45"/>
    </row>
    <row r="19" spans="2:5" ht="15.95" customHeight="1" x14ac:dyDescent="0.3">
      <c r="B19" s="45" t="s">
        <v>402</v>
      </c>
      <c r="C19" s="46" t="s">
        <v>393</v>
      </c>
      <c r="D19" s="46"/>
      <c r="E19" s="45"/>
    </row>
    <row r="20" spans="2:5" ht="15.95" customHeight="1" x14ac:dyDescent="0.3">
      <c r="B20" s="45" t="s">
        <v>403</v>
      </c>
      <c r="C20" s="46" t="s">
        <v>393</v>
      </c>
      <c r="D20" s="46"/>
      <c r="E20" s="45"/>
    </row>
    <row r="21" spans="2:5" ht="15.95" customHeight="1" x14ac:dyDescent="0.3">
      <c r="B21" s="45" t="s">
        <v>404</v>
      </c>
      <c r="C21" s="46" t="s">
        <v>393</v>
      </c>
      <c r="D21" s="46"/>
      <c r="E21" s="45"/>
    </row>
    <row r="22" spans="2:5" ht="24" customHeight="1" x14ac:dyDescent="0.3">
      <c r="B22" s="45" t="s">
        <v>405</v>
      </c>
      <c r="C22" s="46" t="s">
        <v>393</v>
      </c>
      <c r="D22" s="46"/>
      <c r="E22" s="45" t="s">
        <v>406</v>
      </c>
    </row>
    <row r="23" spans="2:5" ht="15.95" customHeight="1" x14ac:dyDescent="0.3">
      <c r="B23" s="45" t="s">
        <v>407</v>
      </c>
      <c r="C23" s="46" t="s">
        <v>408</v>
      </c>
      <c r="D23" s="46"/>
      <c r="E23" s="45" t="s">
        <v>409</v>
      </c>
    </row>
    <row r="24" spans="2:5" ht="15.95" customHeight="1" x14ac:dyDescent="0.3">
      <c r="B24" s="45" t="s">
        <v>410</v>
      </c>
      <c r="C24" s="46" t="s">
        <v>408</v>
      </c>
      <c r="D24" s="46"/>
      <c r="E24" s="45" t="s">
        <v>409</v>
      </c>
    </row>
    <row r="25" spans="2:5" ht="15.95" customHeight="1" x14ac:dyDescent="0.3">
      <c r="B25" s="45" t="s">
        <v>411</v>
      </c>
      <c r="C25" s="46" t="s">
        <v>408</v>
      </c>
      <c r="D25" s="46"/>
      <c r="E25" s="45" t="s">
        <v>409</v>
      </c>
    </row>
    <row r="26" spans="2:5" ht="15.95" customHeight="1" x14ac:dyDescent="0.3">
      <c r="B26" s="45" t="s">
        <v>412</v>
      </c>
      <c r="C26" s="46" t="s">
        <v>408</v>
      </c>
      <c r="D26" s="46"/>
      <c r="E26" s="45" t="s">
        <v>409</v>
      </c>
    </row>
    <row r="27" spans="2:5" ht="15.95" customHeight="1" x14ac:dyDescent="0.3">
      <c r="B27" s="45" t="s">
        <v>413</v>
      </c>
      <c r="C27" s="46" t="s">
        <v>408</v>
      </c>
      <c r="D27" s="46"/>
      <c r="E27" s="45" t="s">
        <v>409</v>
      </c>
    </row>
    <row r="28" spans="2:5" ht="15.95" customHeight="1" x14ac:dyDescent="0.3">
      <c r="B28" s="45" t="s">
        <v>414</v>
      </c>
      <c r="C28" s="46" t="s">
        <v>408</v>
      </c>
      <c r="D28" s="46"/>
      <c r="E28" s="45" t="s">
        <v>409</v>
      </c>
    </row>
    <row r="29" spans="2:5" ht="15.95" customHeight="1" x14ac:dyDescent="0.3">
      <c r="B29" s="45" t="s">
        <v>415</v>
      </c>
      <c r="C29" s="46" t="s">
        <v>408</v>
      </c>
      <c r="D29" s="46"/>
      <c r="E29" s="45" t="s">
        <v>409</v>
      </c>
    </row>
    <row r="30" spans="2:5" ht="15.95" customHeight="1" x14ac:dyDescent="0.3">
      <c r="B30" s="45" t="s">
        <v>416</v>
      </c>
      <c r="C30" s="46" t="s">
        <v>417</v>
      </c>
      <c r="D30" s="46"/>
      <c r="E30" s="45" t="s">
        <v>418</v>
      </c>
    </row>
  </sheetData>
  <mergeCells count="2">
    <mergeCell ref="B3:E3"/>
    <mergeCell ref="B5:E5"/>
  </mergeCells>
  <phoneticPr fontId="6" type="noConversion"/>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23554"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CA32E-85C2-4A85-B8EB-CE3A5BDE54F5}">
  <sheetPr codeName="Sheet24"/>
  <dimension ref="A1:I25"/>
  <sheetViews>
    <sheetView workbookViewId="0"/>
  </sheetViews>
  <sheetFormatPr defaultRowHeight="16.5" x14ac:dyDescent="0.3"/>
  <cols>
    <col min="1" max="1" width="3.125" customWidth="1"/>
    <col min="2" max="2" width="7.625" customWidth="1"/>
    <col min="3" max="3" width="21.625" customWidth="1"/>
    <col min="4" max="4" width="19.625" customWidth="1"/>
    <col min="5" max="5" width="7.625" customWidth="1"/>
    <col min="6" max="6" width="9.625" customWidth="1"/>
  </cols>
  <sheetData>
    <row r="1" spans="1:9" x14ac:dyDescent="0.3">
      <c r="A1" s="20" t="s">
        <v>419</v>
      </c>
    </row>
    <row r="2" spans="1:9" x14ac:dyDescent="0.3">
      <c r="I2" s="36" t="s">
        <v>342</v>
      </c>
    </row>
    <row r="3" spans="1:9" x14ac:dyDescent="0.3">
      <c r="B3" s="115" t="s">
        <v>420</v>
      </c>
      <c r="C3" s="109"/>
      <c r="D3" s="109"/>
      <c r="E3" s="109"/>
      <c r="F3" s="109"/>
      <c r="I3">
        <v>1</v>
      </c>
    </row>
    <row r="4" spans="1:9" ht="27.95" customHeight="1" x14ac:dyDescent="0.3">
      <c r="B4" s="100" t="s">
        <v>421</v>
      </c>
      <c r="C4" s="100"/>
      <c r="D4" s="100"/>
      <c r="E4" s="100"/>
      <c r="F4" s="100"/>
    </row>
    <row r="5" spans="1:9" x14ac:dyDescent="0.3">
      <c r="B5" s="29" t="s">
        <v>61</v>
      </c>
      <c r="C5" s="123" t="str">
        <f>IFERROR(IF(INDEX(기초자료입력!$B$44:$B$53,$I$3)=0,"",INDEX(기초자료입력!$B$44:$B$53,$I$3)),"")</f>
        <v/>
      </c>
      <c r="D5" s="123"/>
      <c r="E5" s="123"/>
      <c r="F5" s="112"/>
    </row>
    <row r="6" spans="1:9" x14ac:dyDescent="0.3">
      <c r="B6" s="31"/>
      <c r="C6" s="31"/>
      <c r="D6" s="31"/>
      <c r="E6" s="31"/>
      <c r="F6" s="31"/>
    </row>
    <row r="7" spans="1:9" x14ac:dyDescent="0.3">
      <c r="B7" s="32" t="s">
        <v>331</v>
      </c>
      <c r="C7" s="32" t="s">
        <v>82</v>
      </c>
      <c r="D7" s="32" t="s">
        <v>332</v>
      </c>
      <c r="E7" s="32" t="s">
        <v>83</v>
      </c>
      <c r="F7" s="32" t="s">
        <v>422</v>
      </c>
    </row>
    <row r="8" spans="1:9" ht="21.95" customHeight="1" x14ac:dyDescent="0.3">
      <c r="B8" s="119" t="s">
        <v>347</v>
      </c>
      <c r="C8" s="86" t="s">
        <v>423</v>
      </c>
      <c r="D8" s="33" t="s">
        <v>349</v>
      </c>
      <c r="E8" s="29">
        <v>10</v>
      </c>
      <c r="F8" s="112" t="str">
        <f>IFERROR(IF(INDEX(기초자료입력!$B$44:$B$53,$I$3)=0,"",INDEX(기초자료입력!$N$44:$N$53,$I$3)),"")</f>
        <v/>
      </c>
    </row>
    <row r="9" spans="1:9" ht="21.95" customHeight="1" x14ac:dyDescent="0.3">
      <c r="B9" s="119"/>
      <c r="C9" s="86"/>
      <c r="D9" s="33" t="s">
        <v>350</v>
      </c>
      <c r="E9" s="29">
        <v>8</v>
      </c>
      <c r="F9" s="112"/>
    </row>
    <row r="10" spans="1:9" ht="21.95" customHeight="1" x14ac:dyDescent="0.3">
      <c r="B10" s="119"/>
      <c r="C10" s="86"/>
      <c r="D10" s="33" t="s">
        <v>424</v>
      </c>
      <c r="E10" s="29">
        <v>6</v>
      </c>
      <c r="F10" s="112"/>
    </row>
    <row r="11" spans="1:9" ht="21.95" customHeight="1" x14ac:dyDescent="0.3">
      <c r="B11" s="119"/>
      <c r="C11" s="86"/>
      <c r="D11" s="33" t="s">
        <v>352</v>
      </c>
      <c r="E11" s="29">
        <v>4</v>
      </c>
      <c r="F11" s="112"/>
    </row>
    <row r="12" spans="1:9" ht="21.95" customHeight="1" x14ac:dyDescent="0.3">
      <c r="B12" s="119"/>
      <c r="C12" s="86" t="s">
        <v>425</v>
      </c>
      <c r="D12" s="33" t="s">
        <v>354</v>
      </c>
      <c r="E12" s="29">
        <v>10</v>
      </c>
      <c r="F12" s="112" t="str">
        <f>IFERROR(IF(INDEX(기초자료입력!$B$44:$B$53,$I$3)=0,"",INDEX(기초자료입력!$O$44:$O$53,$I$3)),"")</f>
        <v/>
      </c>
    </row>
    <row r="13" spans="1:9" ht="21.95" customHeight="1" x14ac:dyDescent="0.3">
      <c r="B13" s="119"/>
      <c r="C13" s="86"/>
      <c r="D13" s="33" t="s">
        <v>355</v>
      </c>
      <c r="E13" s="29">
        <v>8</v>
      </c>
      <c r="F13" s="112"/>
    </row>
    <row r="14" spans="1:9" ht="21.95" customHeight="1" x14ac:dyDescent="0.3">
      <c r="B14" s="119"/>
      <c r="C14" s="86"/>
      <c r="D14" s="33" t="s">
        <v>356</v>
      </c>
      <c r="E14" s="29">
        <v>5</v>
      </c>
      <c r="F14" s="112"/>
    </row>
    <row r="15" spans="1:9" ht="21.95" customHeight="1" x14ac:dyDescent="0.3">
      <c r="B15" s="119"/>
      <c r="C15" s="86" t="s">
        <v>426</v>
      </c>
      <c r="D15" s="33" t="s">
        <v>358</v>
      </c>
      <c r="E15" s="29">
        <v>15</v>
      </c>
      <c r="F15" s="112" t="str">
        <f>IFERROR(IF(INDEX(기초자료입력!$B$44:$B$53,$I$3)=0,"",INDEX(기초자료입력!$P$44:$P$53,$I$3)),"")</f>
        <v/>
      </c>
    </row>
    <row r="16" spans="1:9" ht="21.95" customHeight="1" x14ac:dyDescent="0.3">
      <c r="B16" s="119"/>
      <c r="C16" s="86"/>
      <c r="D16" s="33" t="s">
        <v>427</v>
      </c>
      <c r="E16" s="29">
        <v>12</v>
      </c>
      <c r="F16" s="112"/>
    </row>
    <row r="17" spans="2:6" ht="21.95" customHeight="1" x14ac:dyDescent="0.3">
      <c r="B17" s="119"/>
      <c r="C17" s="86"/>
      <c r="D17" s="33" t="s">
        <v>428</v>
      </c>
      <c r="E17" s="29">
        <v>9</v>
      </c>
      <c r="F17" s="112"/>
    </row>
    <row r="18" spans="2:6" ht="21.95" customHeight="1" x14ac:dyDescent="0.3">
      <c r="B18" s="119"/>
      <c r="C18" s="86"/>
      <c r="D18" s="33" t="s">
        <v>429</v>
      </c>
      <c r="E18" s="29">
        <v>5</v>
      </c>
      <c r="F18" s="112"/>
    </row>
    <row r="19" spans="2:6" ht="21.95" customHeight="1" x14ac:dyDescent="0.3">
      <c r="B19" s="119"/>
      <c r="C19" s="86" t="s">
        <v>362</v>
      </c>
      <c r="D19" s="33" t="s">
        <v>363</v>
      </c>
      <c r="E19" s="29">
        <v>15</v>
      </c>
      <c r="F19" s="112" t="str">
        <f>IFERROR(IF(INDEX(기초자료입력!$B$44:$B$53,$I$3)=0,"",INDEX(기초자료입력!$Q$44:$Q$53,$I$3)),"")</f>
        <v/>
      </c>
    </row>
    <row r="20" spans="2:6" ht="21.95" customHeight="1" x14ac:dyDescent="0.3">
      <c r="B20" s="119"/>
      <c r="C20" s="86"/>
      <c r="D20" s="33" t="s">
        <v>364</v>
      </c>
      <c r="E20" s="29">
        <v>0</v>
      </c>
      <c r="F20" s="112"/>
    </row>
    <row r="21" spans="2:6" x14ac:dyDescent="0.3">
      <c r="B21" s="88" t="s">
        <v>299</v>
      </c>
      <c r="C21" s="118"/>
      <c r="D21" s="118" t="s">
        <v>365</v>
      </c>
      <c r="E21" s="88"/>
      <c r="F21" s="32" t="str">
        <f>IF(OR(F8="",F12="",F15="",F19=""),"",F8+F12+F15+F19)</f>
        <v/>
      </c>
    </row>
    <row r="22" spans="2:6" x14ac:dyDescent="0.3">
      <c r="B22" s="31"/>
      <c r="C22" s="31"/>
      <c r="D22" s="31"/>
      <c r="E22" s="31"/>
      <c r="F22" s="31"/>
    </row>
    <row r="23" spans="2:6" ht="27.95" customHeight="1" x14ac:dyDescent="0.3">
      <c r="B23" s="100" t="s">
        <v>430</v>
      </c>
      <c r="C23" s="100"/>
      <c r="D23" s="100"/>
      <c r="E23" s="100"/>
      <c r="F23" s="100"/>
    </row>
    <row r="24" spans="2:6" x14ac:dyDescent="0.3">
      <c r="B24" s="31"/>
      <c r="C24" s="31"/>
      <c r="D24" s="31"/>
      <c r="E24" s="31"/>
      <c r="F24" s="31"/>
    </row>
    <row r="25" spans="2:6" x14ac:dyDescent="0.3">
      <c r="B25" s="117" t="str">
        <f>"업체명: "&amp;IFERROR(IF(INDEX(기초자료입력!$B$44:$B$53,$I$3)=0,"",INDEX(기초자료입력!$B$44:$B$53,$I$3)),"")&amp;"     작성자:                         대표자:                         (인)"</f>
        <v>업체명:      작성자:                         대표자:                         (인)</v>
      </c>
      <c r="C25" s="117"/>
      <c r="D25" s="117"/>
      <c r="E25" s="117"/>
      <c r="F25" s="117"/>
    </row>
  </sheetData>
  <mergeCells count="16">
    <mergeCell ref="B25:F25"/>
    <mergeCell ref="B3:F3"/>
    <mergeCell ref="B4:F4"/>
    <mergeCell ref="C5:F5"/>
    <mergeCell ref="B8:B20"/>
    <mergeCell ref="C8:C11"/>
    <mergeCell ref="F8:F11"/>
    <mergeCell ref="C12:C14"/>
    <mergeCell ref="F12:F14"/>
    <mergeCell ref="C15:C18"/>
    <mergeCell ref="F15:F18"/>
    <mergeCell ref="C19:C20"/>
    <mergeCell ref="F19:F20"/>
    <mergeCell ref="B21:C21"/>
    <mergeCell ref="D21:E21"/>
    <mergeCell ref="B23:F23"/>
  </mergeCells>
  <phoneticPr fontId="6" type="noConversion"/>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24578"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C81AC-E182-4983-A279-C67DDF18F75E}">
  <sheetPr codeName="Sheet25"/>
  <dimension ref="A1:N25"/>
  <sheetViews>
    <sheetView workbookViewId="0"/>
  </sheetViews>
  <sheetFormatPr defaultRowHeight="16.5" x14ac:dyDescent="0.3"/>
  <cols>
    <col min="1" max="1" width="2.625" customWidth="1"/>
    <col min="2" max="3" width="5.625" customWidth="1"/>
    <col min="4" max="5" width="8.625" customWidth="1"/>
    <col min="6" max="7" width="10.625" customWidth="1"/>
    <col min="8" max="8" width="8.625" customWidth="1"/>
    <col min="9" max="9" width="9.625" customWidth="1"/>
    <col min="10" max="12" width="8.625" customWidth="1"/>
  </cols>
  <sheetData>
    <row r="1" spans="1:14" ht="9.9499999999999993" customHeight="1" x14ac:dyDescent="0.3">
      <c r="A1" s="20" t="s">
        <v>431</v>
      </c>
    </row>
    <row r="2" spans="1:14" ht="9.9499999999999993" customHeight="1" x14ac:dyDescent="0.3">
      <c r="N2" s="36" t="s">
        <v>342</v>
      </c>
    </row>
    <row r="3" spans="1:14" ht="30" customHeight="1" x14ac:dyDescent="0.3">
      <c r="B3" s="124" t="s">
        <v>432</v>
      </c>
      <c r="C3" s="119"/>
      <c r="D3" s="119"/>
      <c r="E3" s="119"/>
      <c r="F3" s="119"/>
      <c r="G3" s="119"/>
      <c r="H3" s="119"/>
      <c r="I3" s="119"/>
      <c r="J3" s="119"/>
      <c r="K3" s="119" t="s">
        <v>433</v>
      </c>
      <c r="L3" s="119"/>
      <c r="N3">
        <v>1</v>
      </c>
    </row>
    <row r="4" spans="1:14" ht="24" customHeight="1" x14ac:dyDescent="0.3">
      <c r="B4" s="119"/>
      <c r="C4" s="119"/>
      <c r="D4" s="119"/>
      <c r="E4" s="119"/>
      <c r="F4" s="119"/>
      <c r="G4" s="119"/>
      <c r="H4" s="119"/>
      <c r="I4" s="119"/>
      <c r="J4" s="119"/>
      <c r="K4" s="119"/>
      <c r="L4" s="119"/>
    </row>
    <row r="5" spans="1:14" x14ac:dyDescent="0.3">
      <c r="B5" s="31"/>
      <c r="C5" s="31"/>
      <c r="D5" s="31"/>
      <c r="E5" s="31"/>
      <c r="F5" s="31"/>
      <c r="G5" s="31"/>
      <c r="H5" s="31"/>
      <c r="I5" s="31"/>
      <c r="J5" s="31"/>
      <c r="K5" s="31"/>
      <c r="L5" s="31"/>
    </row>
    <row r="6" spans="1:14" ht="23.1" customHeight="1" x14ac:dyDescent="0.3">
      <c r="B6" s="119" t="s">
        <v>434</v>
      </c>
      <c r="C6" s="119"/>
      <c r="D6" s="119" t="s">
        <v>435</v>
      </c>
      <c r="E6" s="112"/>
      <c r="F6" s="112" t="str">
        <f>IFERROR(IF(INDEX(기초자료입력!$B$44:$B$53,$N$3)=0,"",INDEX(기초자료입력!$B$44:$B$53,$N$3)),"")</f>
        <v/>
      </c>
      <c r="G6" s="112"/>
      <c r="H6" s="112"/>
      <c r="I6" s="29" t="s">
        <v>436</v>
      </c>
      <c r="J6" s="112"/>
      <c r="K6" s="112"/>
      <c r="L6" s="112"/>
    </row>
    <row r="7" spans="1:14" ht="23.1" customHeight="1" x14ac:dyDescent="0.3">
      <c r="B7" s="119"/>
      <c r="C7" s="119"/>
      <c r="D7" s="112" t="s">
        <v>437</v>
      </c>
      <c r="E7" s="112"/>
      <c r="F7" s="112"/>
      <c r="G7" s="112"/>
      <c r="H7" s="112"/>
      <c r="I7" s="29" t="s">
        <v>438</v>
      </c>
      <c r="J7" s="112"/>
      <c r="K7" s="112"/>
      <c r="L7" s="112"/>
    </row>
    <row r="8" spans="1:14" ht="23.1" customHeight="1" x14ac:dyDescent="0.3">
      <c r="B8" s="119"/>
      <c r="C8" s="119"/>
      <c r="D8" s="112" t="s">
        <v>386</v>
      </c>
      <c r="E8" s="112"/>
      <c r="F8" s="112"/>
      <c r="G8" s="112"/>
      <c r="H8" s="112"/>
      <c r="I8" s="29" t="s">
        <v>439</v>
      </c>
      <c r="J8" s="112"/>
      <c r="K8" s="112"/>
      <c r="L8" s="112"/>
    </row>
    <row r="9" spans="1:14" ht="23.1" customHeight="1" x14ac:dyDescent="0.3">
      <c r="B9" s="47"/>
      <c r="C9" s="47"/>
      <c r="D9" s="47"/>
      <c r="E9" s="47"/>
      <c r="F9" s="47"/>
      <c r="G9" s="47"/>
      <c r="H9" s="47"/>
      <c r="I9" s="47"/>
      <c r="J9" s="47"/>
      <c r="K9" s="47"/>
      <c r="L9" s="47"/>
    </row>
    <row r="10" spans="1:14" ht="23.1" customHeight="1" x14ac:dyDescent="0.3">
      <c r="B10" s="119" t="s">
        <v>440</v>
      </c>
      <c r="C10" s="119"/>
      <c r="D10" s="119" t="s">
        <v>441</v>
      </c>
      <c r="E10" s="112"/>
      <c r="F10" s="112" t="str">
        <f>IF(기초자료입력!$C$4="","",기초자료입력!$C$4&amp;" 공고 제20○○-00호")</f>
        <v/>
      </c>
      <c r="G10" s="112"/>
      <c r="H10" s="112"/>
      <c r="I10" s="29" t="s">
        <v>442</v>
      </c>
      <c r="J10" s="112"/>
      <c r="K10" s="112"/>
      <c r="L10" s="112"/>
    </row>
    <row r="11" spans="1:14" ht="23.1" customHeight="1" x14ac:dyDescent="0.3">
      <c r="B11" s="119"/>
      <c r="C11" s="119"/>
      <c r="D11" s="112" t="s">
        <v>443</v>
      </c>
      <c r="E11" s="112"/>
      <c r="F11" s="112" t="str">
        <f>IF(OR(기초자료입력!$C$4="",기초자료입력!$C$5=""),"",기초자료입력!$C$4&amp;" "&amp;기초자료입력!$C$5&amp;"학년도 교복 학교주관 구매 입찰")</f>
        <v/>
      </c>
      <c r="G11" s="112"/>
      <c r="H11" s="112"/>
      <c r="I11" s="112"/>
      <c r="J11" s="112"/>
      <c r="K11" s="112"/>
      <c r="L11" s="112"/>
    </row>
    <row r="12" spans="1:14" x14ac:dyDescent="0.3">
      <c r="B12" s="47"/>
      <c r="C12" s="47"/>
      <c r="D12" s="47"/>
      <c r="E12" s="47"/>
      <c r="F12" s="47"/>
      <c r="G12" s="47"/>
      <c r="H12" s="47"/>
      <c r="I12" s="47"/>
      <c r="J12" s="47"/>
      <c r="K12" s="47"/>
      <c r="L12" s="47"/>
    </row>
    <row r="13" spans="1:14" ht="39.950000000000003" customHeight="1" x14ac:dyDescent="0.3">
      <c r="B13" s="112" t="s">
        <v>444</v>
      </c>
      <c r="C13" s="112"/>
      <c r="D13" s="119" t="s">
        <v>445</v>
      </c>
      <c r="E13" s="119"/>
      <c r="F13" s="119"/>
      <c r="G13" s="119"/>
      <c r="H13" s="119"/>
      <c r="I13" s="119"/>
      <c r="J13" s="119"/>
      <c r="K13" s="119"/>
      <c r="L13" s="119"/>
    </row>
    <row r="14" spans="1:14" x14ac:dyDescent="0.3">
      <c r="B14" s="47"/>
      <c r="C14" s="47"/>
      <c r="D14" s="47"/>
      <c r="E14" s="47"/>
      <c r="F14" s="47"/>
      <c r="G14" s="47"/>
      <c r="H14" s="47"/>
      <c r="I14" s="47"/>
      <c r="J14" s="47"/>
      <c r="K14" s="47"/>
      <c r="L14" s="47"/>
    </row>
    <row r="15" spans="1:14" ht="21.95" customHeight="1" x14ac:dyDescent="0.3">
      <c r="B15" s="119" t="s">
        <v>446</v>
      </c>
      <c r="C15" s="119"/>
      <c r="D15" s="119" t="s">
        <v>447</v>
      </c>
      <c r="E15" s="119"/>
      <c r="F15" s="119"/>
      <c r="G15" s="119"/>
      <c r="H15" s="119"/>
      <c r="I15" s="119" t="s">
        <v>448</v>
      </c>
      <c r="J15" s="119"/>
      <c r="K15" s="119"/>
      <c r="L15" s="119"/>
    </row>
    <row r="16" spans="1:14" ht="21.95" customHeight="1" x14ac:dyDescent="0.3">
      <c r="B16" s="119"/>
      <c r="C16" s="119"/>
      <c r="D16" s="119"/>
      <c r="E16" s="119"/>
      <c r="F16" s="119"/>
      <c r="G16" s="119"/>
      <c r="H16" s="119"/>
      <c r="I16" s="119"/>
      <c r="J16" s="119"/>
      <c r="K16" s="119"/>
      <c r="L16" s="119"/>
    </row>
    <row r="17" spans="2:12" ht="21.95" customHeight="1" x14ac:dyDescent="0.3">
      <c r="B17" s="119"/>
      <c r="C17" s="119"/>
      <c r="D17" s="119"/>
      <c r="E17" s="119"/>
      <c r="F17" s="119"/>
      <c r="G17" s="119"/>
      <c r="H17" s="119"/>
      <c r="I17" s="119"/>
      <c r="J17" s="119"/>
      <c r="K17" s="119"/>
      <c r="L17" s="119"/>
    </row>
    <row r="18" spans="2:12" ht="21.95" customHeight="1" x14ac:dyDescent="0.3">
      <c r="B18" s="119"/>
      <c r="C18" s="119"/>
      <c r="D18" s="119"/>
      <c r="E18" s="119"/>
      <c r="F18" s="119"/>
      <c r="G18" s="119"/>
      <c r="H18" s="119"/>
      <c r="I18" s="119"/>
      <c r="J18" s="119"/>
      <c r="K18" s="119"/>
      <c r="L18" s="119"/>
    </row>
    <row r="19" spans="2:12" x14ac:dyDescent="0.3">
      <c r="B19" s="31"/>
      <c r="C19" s="31"/>
      <c r="D19" s="31"/>
      <c r="E19" s="31"/>
      <c r="F19" s="31"/>
      <c r="G19" s="31"/>
      <c r="H19" s="31"/>
      <c r="I19" s="31"/>
      <c r="J19" s="31"/>
      <c r="K19" s="31"/>
      <c r="L19" s="31"/>
    </row>
    <row r="20" spans="2:12" ht="42" customHeight="1" x14ac:dyDescent="0.3">
      <c r="B20" s="100" t="str">
        <f>"본인은 위의 번호로 공고한 "&amp;IF(기초자료입력!$C$4="","○○○○학교",기초자료입력!$C$4)&amp;"의 2단계 입찰(규격·가격 동시 입찰)에 참가하고자 지방자치단체 입찰 및 계약집행기준 제8장 입찰유의서, 제9장 계약일반조건 및 입찰공고 사항을 모두 승낙하고 별첨 서류를 첨부하여 입찰 참가 신청을 합니다."</f>
        <v>본인은 위의 번호로 공고한 ○○○○학교의 2단계 입찰(규격·가격 동시 입찰)에 참가하고자 지방자치단체 입찰 및 계약집행기준 제8장 입찰유의서, 제9장 계약일반조건 및 입찰공고 사항을 모두 승낙하고 별첨 서류를 첨부하여 입찰 참가 신청을 합니다.</v>
      </c>
      <c r="C20" s="100"/>
      <c r="D20" s="100"/>
      <c r="E20" s="100"/>
      <c r="F20" s="100"/>
      <c r="G20" s="100"/>
      <c r="H20" s="100"/>
      <c r="I20" s="100"/>
      <c r="J20" s="100"/>
      <c r="K20" s="100"/>
      <c r="L20" s="100"/>
    </row>
    <row r="21" spans="2:12" x14ac:dyDescent="0.3">
      <c r="B21" s="117" t="s">
        <v>449</v>
      </c>
      <c r="C21" s="117"/>
      <c r="D21" s="117"/>
      <c r="E21" s="117"/>
      <c r="F21" s="117"/>
      <c r="G21" s="117"/>
      <c r="H21" s="117"/>
      <c r="I21" s="117"/>
      <c r="J21" s="117"/>
      <c r="K21" s="117"/>
      <c r="L21" s="117"/>
    </row>
    <row r="22" spans="2:12" x14ac:dyDescent="0.3">
      <c r="B22" s="31"/>
      <c r="C22" s="31"/>
      <c r="D22" s="31"/>
      <c r="E22" s="31"/>
      <c r="F22" s="31"/>
      <c r="G22" s="31"/>
      <c r="H22" s="31"/>
      <c r="I22" s="31"/>
      <c r="J22" s="31"/>
      <c r="K22" s="31"/>
      <c r="L22" s="31"/>
    </row>
    <row r="23" spans="2:12" x14ac:dyDescent="0.3">
      <c r="B23" s="117" t="str">
        <f>IF(OR(기초자료입력!$C$4="",기초자료입력!$C$5=""),"","20"&amp;RIGHT(기초자료입력!$C$5,2)&amp;". . .")</f>
        <v/>
      </c>
      <c r="C23" s="117"/>
      <c r="D23" s="117"/>
      <c r="E23" s="117"/>
      <c r="F23" s="117"/>
      <c r="G23" s="117"/>
      <c r="H23" s="117"/>
      <c r="I23" s="117"/>
      <c r="J23" s="117"/>
      <c r="K23" s="117"/>
      <c r="L23" s="117"/>
    </row>
    <row r="24" spans="2:12" x14ac:dyDescent="0.3">
      <c r="B24" s="117" t="str">
        <f>"업체명: "&amp;IFERROR(IF(INDEX(기초자료입력!$B$44:$B$53,$N$3)=0,"",INDEX(기초자료입력!$B$44:$B$53,$N$3)),"")&amp;"                 대표자:                         (인)"</f>
        <v>업체명:                  대표자:                         (인)</v>
      </c>
      <c r="C24" s="117"/>
      <c r="D24" s="117"/>
      <c r="E24" s="117"/>
      <c r="F24" s="117"/>
      <c r="G24" s="117"/>
      <c r="H24" s="117"/>
      <c r="I24" s="117"/>
      <c r="J24" s="117"/>
      <c r="K24" s="117"/>
      <c r="L24" s="117"/>
    </row>
    <row r="25" spans="2:12" x14ac:dyDescent="0.3">
      <c r="B25" s="117" t="str">
        <f>IF(기초자료입력!$C$4="","○○○○학교장 귀하",기초자료입력!$C$4&amp;"장 귀하")</f>
        <v>○○○○학교장 귀하</v>
      </c>
      <c r="C25" s="117"/>
      <c r="D25" s="117"/>
      <c r="E25" s="117"/>
      <c r="F25" s="117"/>
      <c r="G25" s="117"/>
      <c r="H25" s="117"/>
      <c r="I25" s="117"/>
      <c r="J25" s="117"/>
      <c r="K25" s="117"/>
      <c r="L25" s="117"/>
    </row>
  </sheetData>
  <mergeCells count="28">
    <mergeCell ref="B21:L21"/>
    <mergeCell ref="B23:L23"/>
    <mergeCell ref="B24:L24"/>
    <mergeCell ref="B25:L25"/>
    <mergeCell ref="B13:C13"/>
    <mergeCell ref="D13:L13"/>
    <mergeCell ref="B15:C18"/>
    <mergeCell ref="D15:H18"/>
    <mergeCell ref="I15:L18"/>
    <mergeCell ref="B20:L20"/>
    <mergeCell ref="B10:C11"/>
    <mergeCell ref="D10:E10"/>
    <mergeCell ref="F10:H10"/>
    <mergeCell ref="J10:L10"/>
    <mergeCell ref="D11:E11"/>
    <mergeCell ref="F11:L11"/>
    <mergeCell ref="B3:J4"/>
    <mergeCell ref="K3:L4"/>
    <mergeCell ref="B6:C8"/>
    <mergeCell ref="D6:E6"/>
    <mergeCell ref="F6:H6"/>
    <mergeCell ref="J6:L6"/>
    <mergeCell ref="D7:E7"/>
    <mergeCell ref="F7:H7"/>
    <mergeCell ref="J7:L7"/>
    <mergeCell ref="D8:E8"/>
    <mergeCell ref="F8:H8"/>
    <mergeCell ref="J8:L8"/>
  </mergeCells>
  <phoneticPr fontId="6" type="noConversion"/>
  <pageMargins left="0.31496111111111108" right="0.31496111111111108" top="0.31496111111111108" bottom="0.31496111111111108"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104775</xdr:rowOff>
                  </to>
                </anchor>
              </controlPr>
            </control>
          </mc:Choice>
        </mc:AlternateContent>
        <mc:AlternateContent xmlns:mc="http://schemas.openxmlformats.org/markup-compatibility/2006">
          <mc:Choice Requires="x14">
            <control shapeId="25602"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104775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95BC8-80C6-4F03-A744-29A7ED37036B}">
  <sheetPr codeName="Sheet26"/>
  <dimension ref="A1:G20"/>
  <sheetViews>
    <sheetView workbookViewId="0"/>
  </sheetViews>
  <sheetFormatPr defaultRowHeight="16.5" x14ac:dyDescent="0.3"/>
  <cols>
    <col min="1" max="1" width="3.125" customWidth="1"/>
    <col min="2" max="2" width="24.625" customWidth="1"/>
    <col min="3" max="4" width="10.625" customWidth="1"/>
    <col min="5" max="5" width="25.625" customWidth="1"/>
  </cols>
  <sheetData>
    <row r="1" spans="1:7" ht="9.9499999999999993" customHeight="1" x14ac:dyDescent="0.3">
      <c r="A1" s="20" t="s">
        <v>450</v>
      </c>
    </row>
    <row r="2" spans="1:7" ht="9.9499999999999993" customHeight="1" x14ac:dyDescent="0.3">
      <c r="G2" s="36" t="s">
        <v>342</v>
      </c>
    </row>
    <row r="3" spans="1:7" ht="21.95" customHeight="1" x14ac:dyDescent="0.3">
      <c r="B3" s="106" t="s">
        <v>451</v>
      </c>
      <c r="C3" s="125"/>
      <c r="D3" s="125"/>
      <c r="E3" s="125"/>
      <c r="G3">
        <v>1</v>
      </c>
    </row>
    <row r="4" spans="1:7" ht="21.95" customHeight="1" x14ac:dyDescent="0.3">
      <c r="B4" s="125"/>
      <c r="C4" s="125"/>
      <c r="D4" s="125"/>
      <c r="E4" s="125"/>
    </row>
    <row r="5" spans="1:7" ht="27.95" customHeight="1" x14ac:dyDescent="0.3">
      <c r="B5" s="108" t="s">
        <v>452</v>
      </c>
      <c r="C5" s="108"/>
      <c r="D5" s="108"/>
      <c r="E5" s="108"/>
    </row>
    <row r="6" spans="1:7" ht="8.1" customHeight="1" x14ac:dyDescent="0.3">
      <c r="B6" s="21"/>
      <c r="C6" s="21"/>
      <c r="D6" s="21"/>
      <c r="E6" s="21"/>
    </row>
    <row r="7" spans="1:7" ht="20.100000000000001" customHeight="1" x14ac:dyDescent="0.3">
      <c r="B7" s="48" t="s">
        <v>453</v>
      </c>
      <c r="C7" s="126" t="str">
        <f>IFERROR(IF(INDEX(기초자료입력!$B$44:$B$53,$G$3)=0,"",INDEX(기초자료입력!$B$44:$B$53,$G$3)),"")</f>
        <v/>
      </c>
      <c r="D7" s="126"/>
      <c r="E7" s="126"/>
    </row>
    <row r="8" spans="1:7" ht="20.100000000000001" customHeight="1" x14ac:dyDescent="0.3">
      <c r="B8" s="48" t="s">
        <v>454</v>
      </c>
      <c r="C8" s="126"/>
      <c r="D8" s="126"/>
      <c r="E8" s="126"/>
    </row>
    <row r="9" spans="1:7" ht="20.100000000000001" customHeight="1" x14ac:dyDescent="0.3">
      <c r="B9" s="48" t="s">
        <v>455</v>
      </c>
      <c r="C9" s="126"/>
      <c r="D9" s="126"/>
      <c r="E9" s="126"/>
    </row>
    <row r="10" spans="1:7" ht="8.1" customHeight="1" x14ac:dyDescent="0.3">
      <c r="B10" s="21"/>
      <c r="C10" s="21"/>
      <c r="D10" s="21"/>
      <c r="E10" s="21"/>
    </row>
    <row r="11" spans="1:7" ht="18" customHeight="1" x14ac:dyDescent="0.3">
      <c r="B11" s="108" t="str">
        <f>"위 사업자는 전북특별자치도교육청의 교복 가격 안정화를 위한 교복 ‘학교주관구매’ 실시에 따라, "&amp;IF(기초자료입력!$C$4="","○○○○학교",기초자료입력!$C$4)&amp;"(주소지 전북 )가 시행하는 교복 ‘학교주관구매’가 원만히 추진될 수 있도록 20○○.00.00. 일자로 공고한 입찰에 참가하기에 신고합니다."</f>
        <v>위 사업자는 전북특별자치도교육청의 교복 가격 안정화를 위한 교복 ‘학교주관구매’ 실시에 따라, ○○○○학교(주소지 전북 )가 시행하는 교복 ‘학교주관구매’가 원만히 추진될 수 있도록 20○○.00.00. 일자로 공고한 입찰에 참가하기에 신고합니다.</v>
      </c>
      <c r="C11" s="108"/>
      <c r="D11" s="108"/>
      <c r="E11" s="108"/>
    </row>
    <row r="12" spans="1:7" ht="18" customHeight="1" x14ac:dyDescent="0.3">
      <c r="B12" s="108"/>
      <c r="C12" s="108"/>
      <c r="D12" s="108"/>
      <c r="E12" s="108"/>
    </row>
    <row r="13" spans="1:7" ht="18" customHeight="1" x14ac:dyDescent="0.3">
      <c r="B13" s="108"/>
      <c r="C13" s="108"/>
      <c r="D13" s="108"/>
      <c r="E13" s="108"/>
    </row>
    <row r="14" spans="1:7" ht="8.1" customHeight="1" x14ac:dyDescent="0.3">
      <c r="B14" s="49"/>
      <c r="C14" s="49"/>
      <c r="D14" s="49"/>
      <c r="E14" s="49"/>
    </row>
    <row r="15" spans="1:7" ht="21.95" customHeight="1" x14ac:dyDescent="0.3">
      <c r="B15" s="108" t="s">
        <v>456</v>
      </c>
      <c r="C15" s="108"/>
      <c r="D15" s="108"/>
      <c r="E15" s="108"/>
    </row>
    <row r="16" spans="1:7" ht="21.95" customHeight="1" x14ac:dyDescent="0.3">
      <c r="B16" s="108"/>
      <c r="C16" s="108"/>
      <c r="D16" s="108"/>
      <c r="E16" s="108"/>
    </row>
    <row r="17" spans="2:5" ht="8.1" customHeight="1" x14ac:dyDescent="0.3">
      <c r="B17" s="21"/>
      <c r="C17" s="21"/>
      <c r="D17" s="21"/>
      <c r="E17" s="21"/>
    </row>
    <row r="18" spans="2:5" ht="20.100000000000001" customHeight="1" x14ac:dyDescent="0.3">
      <c r="B18" s="125" t="str">
        <f>IF(기초자료입력!$C$5="","20○○. ○○. ○○","20"&amp;RIGHT(기초자료입력!$C$5,2)&amp;". ○○. ○○")</f>
        <v>20○○. ○○. ○○</v>
      </c>
      <c r="C18" s="125"/>
      <c r="D18" s="125"/>
      <c r="E18" s="125"/>
    </row>
    <row r="19" spans="2:5" ht="20.100000000000001" customHeight="1" x14ac:dyDescent="0.3">
      <c r="B19" s="125" t="s">
        <v>457</v>
      </c>
      <c r="C19" s="125"/>
      <c r="D19" s="125"/>
      <c r="E19" s="125"/>
    </row>
    <row r="20" spans="2:5" ht="20.100000000000001" customHeight="1" x14ac:dyDescent="0.3">
      <c r="B20" s="125" t="str">
        <f>IF(기초자료입력!$C$4="","○○○○학교장 귀하",기초자료입력!$C$4&amp;"장 귀하")</f>
        <v>○○○○학교장 귀하</v>
      </c>
      <c r="C20" s="125"/>
      <c r="D20" s="125"/>
      <c r="E20" s="125"/>
    </row>
  </sheetData>
  <mergeCells count="10">
    <mergeCell ref="B15:E16"/>
    <mergeCell ref="B18:E18"/>
    <mergeCell ref="B19:E19"/>
    <mergeCell ref="B20:E20"/>
    <mergeCell ref="B3:E4"/>
    <mergeCell ref="B5:E5"/>
    <mergeCell ref="C7:E7"/>
    <mergeCell ref="C8:E8"/>
    <mergeCell ref="C9:E9"/>
    <mergeCell ref="B11:E13"/>
  </mergeCells>
  <phoneticPr fontId="6" type="noConversion"/>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104775</xdr:rowOff>
                  </to>
                </anchor>
              </controlPr>
            </control>
          </mc:Choice>
        </mc:AlternateContent>
        <mc:AlternateContent xmlns:mc="http://schemas.openxmlformats.org/markup-compatibility/2006">
          <mc:Choice Requires="x14">
            <control shapeId="26626"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104775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EAB81-34C5-4FA6-A4E0-D834003DD994}">
  <sheetPr codeName="Sheet27"/>
  <dimension ref="B1:G31"/>
  <sheetViews>
    <sheetView workbookViewId="0"/>
  </sheetViews>
  <sheetFormatPr defaultRowHeight="16.5" x14ac:dyDescent="0.3"/>
  <cols>
    <col min="1" max="1" width="3.125" customWidth="1"/>
    <col min="2" max="2" width="19.625" customWidth="1"/>
    <col min="3" max="3" width="17.625" customWidth="1"/>
    <col min="4" max="4" width="14.625" customWidth="1"/>
    <col min="5" max="5" width="18.625" customWidth="1"/>
  </cols>
  <sheetData>
    <row r="1" spans="2:7" ht="12" customHeight="1" x14ac:dyDescent="0.3">
      <c r="B1" s="127" t="s">
        <v>458</v>
      </c>
      <c r="C1" s="128"/>
      <c r="D1" s="128"/>
      <c r="E1" s="128"/>
    </row>
    <row r="2" spans="2:7" ht="8.1" customHeight="1" x14ac:dyDescent="0.3">
      <c r="G2" s="36" t="s">
        <v>342</v>
      </c>
    </row>
    <row r="3" spans="2:7" ht="24.95" customHeight="1" x14ac:dyDescent="0.3">
      <c r="B3" s="129" t="str">
        <f>IF(기초자료입력!$C$5="","20○○학년도","20"&amp;RIGHT(기초자료입력!$C$5,2)&amp;"학년도")&amp;" "&amp;IF(기초자료입력!$C$4="","○○○○학교",기초자료입력!$C$4)&amp;" 교복(동·하복) 납품 제안서"</f>
        <v>20○○학년도 ○○○○학교 교복(동·하복) 납품 제안서</v>
      </c>
      <c r="C3" s="130"/>
      <c r="D3" s="130"/>
      <c r="E3" s="130"/>
      <c r="G3">
        <v>1</v>
      </c>
    </row>
    <row r="4" spans="2:7" ht="24.95" customHeight="1" x14ac:dyDescent="0.3">
      <c r="B4" s="130"/>
      <c r="C4" s="130"/>
      <c r="D4" s="130"/>
      <c r="E4" s="130"/>
    </row>
    <row r="5" spans="2:7" ht="27.95" customHeight="1" x14ac:dyDescent="0.3">
      <c r="B5" s="122" t="s">
        <v>459</v>
      </c>
      <c r="C5" s="95"/>
      <c r="D5" s="95"/>
      <c r="E5" s="95"/>
    </row>
    <row r="6" spans="2:7" ht="6" customHeight="1" x14ac:dyDescent="0.3">
      <c r="B6" s="21"/>
      <c r="C6" s="21"/>
      <c r="D6" s="21"/>
      <c r="E6" s="21"/>
    </row>
    <row r="7" spans="2:7" ht="18" customHeight="1" x14ac:dyDescent="0.3">
      <c r="B7" s="131" t="s">
        <v>460</v>
      </c>
      <c r="C7" s="126"/>
      <c r="D7" s="126"/>
      <c r="E7" s="126"/>
    </row>
    <row r="8" spans="2:7" ht="18" customHeight="1" x14ac:dyDescent="0.3">
      <c r="B8" s="48" t="s">
        <v>461</v>
      </c>
      <c r="C8" s="126" t="str">
        <f>IFERROR(IF(INDEX(기초자료입력!$B$44:$B$53,$G$3)=0,"",INDEX(기초자료입력!$B$44:$B$53,$G$3)),"")</f>
        <v/>
      </c>
      <c r="D8" s="126"/>
      <c r="E8" s="126"/>
    </row>
    <row r="9" spans="2:7" ht="18" customHeight="1" x14ac:dyDescent="0.3">
      <c r="B9" s="48" t="s">
        <v>386</v>
      </c>
      <c r="C9" s="126"/>
      <c r="D9" s="126"/>
      <c r="E9" s="126"/>
    </row>
    <row r="10" spans="2:7" ht="18" customHeight="1" x14ac:dyDescent="0.3">
      <c r="B10" s="48" t="s">
        <v>462</v>
      </c>
      <c r="C10" s="126"/>
      <c r="D10" s="126"/>
      <c r="E10" s="126"/>
    </row>
    <row r="11" spans="2:7" ht="18" customHeight="1" x14ac:dyDescent="0.3">
      <c r="B11" s="48" t="s">
        <v>312</v>
      </c>
      <c r="C11" s="126"/>
      <c r="D11" s="126"/>
      <c r="E11" s="126"/>
    </row>
    <row r="12" spans="2:7" ht="18" customHeight="1" x14ac:dyDescent="0.3">
      <c r="B12" s="48" t="s">
        <v>387</v>
      </c>
      <c r="C12" s="126" t="s">
        <v>466</v>
      </c>
      <c r="D12" s="126"/>
      <c r="E12" s="126"/>
    </row>
    <row r="13" spans="2:7" ht="18" customHeight="1" x14ac:dyDescent="0.3">
      <c r="B13" s="48" t="s">
        <v>463</v>
      </c>
      <c r="C13" s="126"/>
      <c r="D13" s="126"/>
      <c r="E13" s="126"/>
    </row>
    <row r="14" spans="2:7" ht="18" customHeight="1" x14ac:dyDescent="0.3">
      <c r="B14" s="48" t="s">
        <v>464</v>
      </c>
      <c r="C14" s="126"/>
      <c r="D14" s="126"/>
      <c r="E14" s="126"/>
    </row>
    <row r="15" spans="2:7" ht="18" customHeight="1" x14ac:dyDescent="0.3">
      <c r="B15" s="48" t="s">
        <v>465</v>
      </c>
      <c r="C15" s="126"/>
      <c r="D15" s="126"/>
      <c r="E15" s="126"/>
    </row>
    <row r="16" spans="2:7" ht="24" customHeight="1" x14ac:dyDescent="0.3">
      <c r="B16" s="126" t="s">
        <v>467</v>
      </c>
      <c r="C16" s="126"/>
      <c r="D16" s="126"/>
      <c r="E16" s="126"/>
    </row>
    <row r="17" spans="2:5" ht="24" customHeight="1" x14ac:dyDescent="0.3">
      <c r="B17" s="126"/>
      <c r="C17" s="126"/>
      <c r="D17" s="126"/>
      <c r="E17" s="126"/>
    </row>
    <row r="18" spans="2:5" ht="6" customHeight="1" x14ac:dyDescent="0.3">
      <c r="B18" s="49"/>
      <c r="C18" s="49"/>
      <c r="D18" s="49"/>
      <c r="E18" s="49"/>
    </row>
    <row r="19" spans="2:5" ht="18" customHeight="1" x14ac:dyDescent="0.3">
      <c r="B19" s="131" t="s">
        <v>468</v>
      </c>
      <c r="C19" s="126"/>
      <c r="D19" s="126"/>
      <c r="E19" s="126"/>
    </row>
    <row r="20" spans="2:5" ht="15.95" customHeight="1" x14ac:dyDescent="0.3">
      <c r="B20" s="108" t="s">
        <v>469</v>
      </c>
      <c r="C20" s="108"/>
      <c r="D20" s="108"/>
      <c r="E20" s="108"/>
    </row>
    <row r="21" spans="2:5" ht="15.95" customHeight="1" x14ac:dyDescent="0.3">
      <c r="B21" s="108"/>
      <c r="C21" s="108"/>
      <c r="D21" s="108"/>
      <c r="E21" s="108"/>
    </row>
    <row r="22" spans="2:5" ht="15.95" customHeight="1" x14ac:dyDescent="0.3">
      <c r="B22" s="108"/>
      <c r="C22" s="108"/>
      <c r="D22" s="108"/>
      <c r="E22" s="108"/>
    </row>
    <row r="23" spans="2:5" ht="15.95" customHeight="1" x14ac:dyDescent="0.3">
      <c r="B23" s="108"/>
      <c r="C23" s="108"/>
      <c r="D23" s="108"/>
      <c r="E23" s="108"/>
    </row>
    <row r="24" spans="2:5" ht="15.95" customHeight="1" x14ac:dyDescent="0.3">
      <c r="B24" s="108"/>
      <c r="C24" s="108"/>
      <c r="D24" s="108"/>
      <c r="E24" s="108"/>
    </row>
    <row r="25" spans="2:5" ht="15.95" customHeight="1" x14ac:dyDescent="0.3">
      <c r="B25" s="108"/>
      <c r="C25" s="108"/>
      <c r="D25" s="108"/>
      <c r="E25" s="108"/>
    </row>
    <row r="26" spans="2:5" ht="15.95" customHeight="1" x14ac:dyDescent="0.3">
      <c r="B26" s="108"/>
      <c r="C26" s="108"/>
      <c r="D26" s="108"/>
      <c r="E26" s="108"/>
    </row>
    <row r="27" spans="2:5" ht="15.95" customHeight="1" x14ac:dyDescent="0.3">
      <c r="B27" s="108"/>
      <c r="C27" s="108"/>
      <c r="D27" s="108"/>
      <c r="E27" s="108"/>
    </row>
    <row r="28" spans="2:5" ht="6" customHeight="1" x14ac:dyDescent="0.3">
      <c r="B28" s="49"/>
      <c r="C28" s="49"/>
      <c r="D28" s="49"/>
      <c r="E28" s="49"/>
    </row>
    <row r="29" spans="2:5" ht="18" customHeight="1" x14ac:dyDescent="0.3">
      <c r="B29" s="125" t="str">
        <f>IF(기초자료입력!$C$5="","20○○. ○○. ○○","20"&amp;RIGHT(기초자료입력!$C$5,2)&amp;". ○○. ○○")</f>
        <v>20○○. ○○. ○○</v>
      </c>
      <c r="C29" s="125"/>
      <c r="D29" s="125"/>
      <c r="E29" s="125"/>
    </row>
    <row r="30" spans="2:5" ht="18" customHeight="1" x14ac:dyDescent="0.3">
      <c r="B30" s="125" t="s">
        <v>470</v>
      </c>
      <c r="C30" s="125"/>
      <c r="D30" s="125"/>
      <c r="E30" s="125"/>
    </row>
    <row r="31" spans="2:5" ht="18" customHeight="1" x14ac:dyDescent="0.3">
      <c r="B31" s="125" t="str">
        <f>IF(기초자료입력!$C$4="","○○○○학교장 귀하",기초자료입력!$C$4&amp;"장 귀하")</f>
        <v>○○○○학교장 귀하</v>
      </c>
      <c r="C31" s="125"/>
      <c r="D31" s="125"/>
      <c r="E31" s="125"/>
    </row>
  </sheetData>
  <mergeCells count="18">
    <mergeCell ref="B31:E31"/>
    <mergeCell ref="C10:E10"/>
    <mergeCell ref="C11:E11"/>
    <mergeCell ref="C12:E12"/>
    <mergeCell ref="C13:E13"/>
    <mergeCell ref="C14:E14"/>
    <mergeCell ref="C15:E15"/>
    <mergeCell ref="B16:E17"/>
    <mergeCell ref="B19:E19"/>
    <mergeCell ref="B20:E27"/>
    <mergeCell ref="B29:E29"/>
    <mergeCell ref="B30:E30"/>
    <mergeCell ref="C9:E9"/>
    <mergeCell ref="B1:E1"/>
    <mergeCell ref="B3:E4"/>
    <mergeCell ref="B5:E5"/>
    <mergeCell ref="B7:E7"/>
    <mergeCell ref="C8:E8"/>
  </mergeCells>
  <phoneticPr fontId="6" type="noConversion"/>
  <pageMargins left="0.35433124999999999" right="0.35433124999999999" top="0.27559097222222223" bottom="0.27559097222222223"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76200</xdr:rowOff>
                  </to>
                </anchor>
              </controlPr>
            </control>
          </mc:Choice>
        </mc:AlternateContent>
        <mc:AlternateContent xmlns:mc="http://schemas.openxmlformats.org/markup-compatibility/2006">
          <mc:Choice Requires="x14">
            <control shapeId="27650"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76200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CDD0A-074C-4E35-B289-E58B0112CFF6}">
  <sheetPr codeName="Sheet28"/>
  <dimension ref="B1:I25"/>
  <sheetViews>
    <sheetView workbookViewId="0"/>
  </sheetViews>
  <sheetFormatPr defaultRowHeight="16.5" x14ac:dyDescent="0.3"/>
  <cols>
    <col min="1" max="1" width="3.125" customWidth="1"/>
    <col min="2" max="2" width="6.625" customWidth="1"/>
    <col min="3" max="3" width="20.625" customWidth="1"/>
    <col min="4" max="4" width="14.625" customWidth="1"/>
    <col min="5" max="5" width="12.625" customWidth="1"/>
    <col min="6" max="6" width="15.625" customWidth="1"/>
    <col min="7" max="7" width="13.625" customWidth="1"/>
  </cols>
  <sheetData>
    <row r="1" spans="2:9" ht="12" customHeight="1" x14ac:dyDescent="0.3">
      <c r="B1" s="127" t="s">
        <v>471</v>
      </c>
      <c r="C1" s="128"/>
      <c r="D1" s="128"/>
      <c r="E1" s="128"/>
      <c r="F1" s="128"/>
      <c r="G1" s="128"/>
    </row>
    <row r="2" spans="2:9" ht="8.1" customHeight="1" x14ac:dyDescent="0.3">
      <c r="I2" s="36" t="s">
        <v>342</v>
      </c>
    </row>
    <row r="3" spans="2:9" ht="24" customHeight="1" x14ac:dyDescent="0.3">
      <c r="B3" s="106" t="s">
        <v>201</v>
      </c>
      <c r="C3" s="125"/>
      <c r="D3" s="125"/>
      <c r="E3" s="125"/>
      <c r="F3" s="125"/>
      <c r="G3" s="125"/>
      <c r="I3">
        <v>1</v>
      </c>
    </row>
    <row r="4" spans="2:9" ht="24" customHeight="1" x14ac:dyDescent="0.3">
      <c r="B4" s="125"/>
      <c r="C4" s="125"/>
      <c r="D4" s="125"/>
      <c r="E4" s="125"/>
      <c r="F4" s="125"/>
      <c r="G4" s="125"/>
    </row>
    <row r="5" spans="2:9" ht="20.100000000000001" customHeight="1" x14ac:dyDescent="0.3">
      <c r="B5" s="125" t="str">
        <f>"(제안자: "&amp;IFERROR(IF(INDEX(기초자료입력!$B$44:$B$53,$I$3)=0,"",INDEX(기초자료입력!$B$44:$B$53,$I$3)),"")&amp;")"</f>
        <v>(제안자: )</v>
      </c>
      <c r="C5" s="125"/>
      <c r="D5" s="125"/>
      <c r="E5" s="125"/>
      <c r="F5" s="125"/>
      <c r="G5" s="125"/>
    </row>
    <row r="6" spans="2:9" ht="6" customHeight="1" x14ac:dyDescent="0.3">
      <c r="B6" s="49"/>
      <c r="C6" s="49"/>
      <c r="D6" s="49"/>
      <c r="E6" s="49"/>
      <c r="F6" s="49"/>
      <c r="G6" s="49"/>
    </row>
    <row r="7" spans="2:9" ht="20.100000000000001" customHeight="1" x14ac:dyDescent="0.3">
      <c r="B7" s="106" t="s">
        <v>472</v>
      </c>
      <c r="C7" s="125"/>
      <c r="D7" s="125"/>
      <c r="E7" s="125"/>
      <c r="F7" s="125"/>
      <c r="G7" s="125"/>
    </row>
    <row r="8" spans="2:9" ht="6" customHeight="1" x14ac:dyDescent="0.3">
      <c r="B8" s="49"/>
      <c r="C8" s="49"/>
      <c r="D8" s="49"/>
      <c r="E8" s="49"/>
      <c r="F8" s="49"/>
      <c r="G8" s="49"/>
    </row>
    <row r="9" spans="2:9" ht="30" customHeight="1" x14ac:dyDescent="0.3">
      <c r="B9" s="50" t="s">
        <v>92</v>
      </c>
      <c r="C9" s="50" t="s">
        <v>473</v>
      </c>
      <c r="D9" s="50" t="s">
        <v>474</v>
      </c>
      <c r="E9" s="50" t="s">
        <v>475</v>
      </c>
      <c r="F9" s="50" t="s">
        <v>476</v>
      </c>
      <c r="G9" s="50" t="s">
        <v>320</v>
      </c>
    </row>
    <row r="10" spans="2:9" ht="24" customHeight="1" x14ac:dyDescent="0.3">
      <c r="B10" s="51">
        <v>1</v>
      </c>
      <c r="C10" s="52"/>
      <c r="D10" s="52"/>
      <c r="E10" s="52"/>
      <c r="F10" s="52"/>
      <c r="G10" s="52"/>
    </row>
    <row r="11" spans="2:9" ht="24" customHeight="1" x14ac:dyDescent="0.3">
      <c r="B11" s="51">
        <v>2</v>
      </c>
      <c r="C11" s="52"/>
      <c r="D11" s="52"/>
      <c r="E11" s="52"/>
      <c r="F11" s="52"/>
      <c r="G11" s="52"/>
    </row>
    <row r="12" spans="2:9" ht="24" customHeight="1" x14ac:dyDescent="0.3">
      <c r="B12" s="51">
        <v>3</v>
      </c>
      <c r="C12" s="52"/>
      <c r="D12" s="52"/>
      <c r="E12" s="52"/>
      <c r="F12" s="52"/>
      <c r="G12" s="52"/>
    </row>
    <row r="13" spans="2:9" ht="24" customHeight="1" x14ac:dyDescent="0.3">
      <c r="B13" s="51">
        <v>4</v>
      </c>
      <c r="C13" s="52"/>
      <c r="D13" s="52"/>
      <c r="E13" s="52"/>
      <c r="F13" s="52"/>
      <c r="G13" s="52"/>
    </row>
    <row r="14" spans="2:9" ht="24" customHeight="1" x14ac:dyDescent="0.3">
      <c r="B14" s="51">
        <v>5</v>
      </c>
      <c r="C14" s="52"/>
      <c r="D14" s="52"/>
      <c r="E14" s="52"/>
      <c r="F14" s="52"/>
      <c r="G14" s="52"/>
    </row>
    <row r="15" spans="2:9" ht="24" customHeight="1" x14ac:dyDescent="0.3">
      <c r="B15" s="51">
        <v>6</v>
      </c>
      <c r="C15" s="52"/>
      <c r="D15" s="52"/>
      <c r="E15" s="52"/>
      <c r="F15" s="52"/>
      <c r="G15" s="52"/>
    </row>
    <row r="16" spans="2:9" ht="24" customHeight="1" x14ac:dyDescent="0.3">
      <c r="B16" s="51">
        <v>7</v>
      </c>
      <c r="C16" s="52"/>
      <c r="D16" s="52"/>
      <c r="E16" s="52"/>
      <c r="F16" s="52"/>
      <c r="G16" s="52"/>
    </row>
    <row r="17" spans="2:7" ht="24" customHeight="1" x14ac:dyDescent="0.3">
      <c r="B17" s="51">
        <v>8</v>
      </c>
      <c r="C17" s="52"/>
      <c r="D17" s="52"/>
      <c r="E17" s="52"/>
      <c r="F17" s="52"/>
      <c r="G17" s="52"/>
    </row>
    <row r="18" spans="2:7" ht="24" customHeight="1" x14ac:dyDescent="0.3">
      <c r="B18" s="51">
        <v>9</v>
      </c>
      <c r="C18" s="52"/>
      <c r="D18" s="52"/>
      <c r="E18" s="52"/>
      <c r="F18" s="52"/>
      <c r="G18" s="52"/>
    </row>
    <row r="19" spans="2:7" ht="6" customHeight="1" x14ac:dyDescent="0.3">
      <c r="B19" s="49"/>
      <c r="C19" s="49"/>
      <c r="D19" s="49"/>
      <c r="E19" s="49"/>
      <c r="F19" s="49"/>
      <c r="G19" s="49"/>
    </row>
    <row r="20" spans="2:7" ht="18" customHeight="1" x14ac:dyDescent="0.3">
      <c r="B20" s="126" t="s">
        <v>477</v>
      </c>
      <c r="C20" s="126"/>
      <c r="D20" s="126"/>
      <c r="E20" s="126"/>
      <c r="F20" s="126"/>
      <c r="G20" s="126"/>
    </row>
    <row r="21" spans="2:7" ht="18" customHeight="1" x14ac:dyDescent="0.3">
      <c r="B21" s="126" t="s">
        <v>478</v>
      </c>
      <c r="C21" s="126"/>
      <c r="D21" s="126"/>
      <c r="E21" s="126"/>
      <c r="F21" s="126"/>
      <c r="G21" s="126"/>
    </row>
    <row r="22" spans="2:7" ht="8.1" customHeight="1" x14ac:dyDescent="0.3">
      <c r="B22" s="49"/>
      <c r="C22" s="49"/>
      <c r="D22" s="49"/>
      <c r="E22" s="49"/>
      <c r="F22" s="49"/>
      <c r="G22" s="49"/>
    </row>
    <row r="23" spans="2:7" ht="18" customHeight="1" x14ac:dyDescent="0.3">
      <c r="B23" s="125" t="str">
        <f>IF(기초자료입력!$C$5="","20○○.  .  .","20"&amp;RIGHT(기초자료입력!$C$5,2)&amp;".  .  .")</f>
        <v>20○○.  .  .</v>
      </c>
      <c r="C23" s="125"/>
      <c r="D23" s="125"/>
      <c r="E23" s="125"/>
      <c r="F23" s="125"/>
      <c r="G23" s="125"/>
    </row>
    <row r="24" spans="2:7" ht="18" customHeight="1" x14ac:dyDescent="0.3">
      <c r="B24" s="125" t="s">
        <v>479</v>
      </c>
      <c r="C24" s="125"/>
      <c r="D24" s="125"/>
      <c r="E24" s="125"/>
      <c r="F24" s="125"/>
      <c r="G24" s="125"/>
    </row>
    <row r="25" spans="2:7" ht="18" customHeight="1" x14ac:dyDescent="0.3">
      <c r="B25" s="125" t="str">
        <f>IF(기초자료입력!$C$4="","○○○○학교장 귀하",기초자료입력!$C$4&amp;"장 귀하")</f>
        <v>○○○○학교장 귀하</v>
      </c>
      <c r="C25" s="125"/>
      <c r="D25" s="125"/>
      <c r="E25" s="125"/>
      <c r="F25" s="125"/>
      <c r="G25" s="125"/>
    </row>
  </sheetData>
  <mergeCells count="9">
    <mergeCell ref="B23:G23"/>
    <mergeCell ref="B24:G24"/>
    <mergeCell ref="B25:G25"/>
    <mergeCell ref="B1:G1"/>
    <mergeCell ref="B3:G4"/>
    <mergeCell ref="B5:G5"/>
    <mergeCell ref="B7:G7"/>
    <mergeCell ref="B20:G20"/>
    <mergeCell ref="B21:G21"/>
  </mergeCells>
  <phoneticPr fontId="6" type="noConversion"/>
  <pageMargins left="0.23622083333333332" right="0.23622083333333332"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76200</xdr:rowOff>
                  </to>
                </anchor>
              </controlPr>
            </control>
          </mc:Choice>
        </mc:AlternateContent>
        <mc:AlternateContent xmlns:mc="http://schemas.openxmlformats.org/markup-compatibility/2006">
          <mc:Choice Requires="x14">
            <control shapeId="28674"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76200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8CCF5-31DA-4617-84B2-914F55ABEBF5}">
  <sheetPr codeName="Sheet29"/>
  <dimension ref="B1:G21"/>
  <sheetViews>
    <sheetView workbookViewId="0"/>
  </sheetViews>
  <sheetFormatPr defaultRowHeight="16.5" x14ac:dyDescent="0.3"/>
  <cols>
    <col min="1" max="1" width="3.125" customWidth="1"/>
    <col min="2" max="2" width="10.625" customWidth="1"/>
    <col min="3" max="4" width="16.625" customWidth="1"/>
    <col min="5" max="5" width="24.625" customWidth="1"/>
  </cols>
  <sheetData>
    <row r="1" spans="2:7" ht="12" customHeight="1" x14ac:dyDescent="0.3">
      <c r="B1" s="127" t="s">
        <v>480</v>
      </c>
      <c r="C1" s="128"/>
      <c r="D1" s="128"/>
      <c r="E1" s="128"/>
    </row>
    <row r="2" spans="2:7" ht="8.1" customHeight="1" x14ac:dyDescent="0.3">
      <c r="G2" s="36" t="s">
        <v>342</v>
      </c>
    </row>
    <row r="3" spans="2:7" ht="24" customHeight="1" x14ac:dyDescent="0.3">
      <c r="B3" s="106" t="s">
        <v>481</v>
      </c>
      <c r="C3" s="125"/>
      <c r="D3" s="125"/>
      <c r="E3" s="125"/>
      <c r="G3">
        <v>1</v>
      </c>
    </row>
    <row r="4" spans="2:7" ht="24" customHeight="1" x14ac:dyDescent="0.3">
      <c r="B4" s="125"/>
      <c r="C4" s="125"/>
      <c r="D4" s="125"/>
      <c r="E4" s="125"/>
    </row>
    <row r="5" spans="2:7" ht="20.100000000000001" customHeight="1" x14ac:dyDescent="0.3">
      <c r="B5" s="125" t="str">
        <f>"(제안자: "&amp;IFERROR(IF(INDEX(기초자료입력!$B$44:$B$53,$G$3)=0,"",INDEX(기초자료입력!$B$44:$B$53,$G$3)),"")&amp;")"</f>
        <v>(제안자: )</v>
      </c>
      <c r="C5" s="125"/>
      <c r="D5" s="125"/>
      <c r="E5" s="125"/>
    </row>
    <row r="6" spans="2:7" ht="15.95" customHeight="1" x14ac:dyDescent="0.3">
      <c r="B6" s="125" t="s">
        <v>482</v>
      </c>
      <c r="C6" s="125"/>
      <c r="D6" s="125"/>
      <c r="E6" s="125"/>
    </row>
    <row r="7" spans="2:7" ht="18" customHeight="1" x14ac:dyDescent="0.3">
      <c r="B7" s="131" t="s">
        <v>483</v>
      </c>
      <c r="C7" s="126"/>
      <c r="D7" s="126"/>
      <c r="E7" s="126"/>
    </row>
    <row r="8" spans="2:7" ht="6" customHeight="1" x14ac:dyDescent="0.3">
      <c r="B8" s="49"/>
      <c r="C8" s="49"/>
      <c r="D8" s="49"/>
      <c r="E8" s="49"/>
    </row>
    <row r="9" spans="2:7" ht="21.95" customHeight="1" x14ac:dyDescent="0.3">
      <c r="B9" s="50" t="s">
        <v>331</v>
      </c>
      <c r="C9" s="50" t="s">
        <v>484</v>
      </c>
      <c r="D9" s="50" t="s">
        <v>485</v>
      </c>
      <c r="E9" s="50" t="s">
        <v>486</v>
      </c>
    </row>
    <row r="10" spans="2:7" ht="21.95" customHeight="1" x14ac:dyDescent="0.3">
      <c r="B10" s="125" t="s">
        <v>321</v>
      </c>
      <c r="C10" s="51" t="s">
        <v>487</v>
      </c>
      <c r="D10" s="51"/>
      <c r="E10" s="51"/>
    </row>
    <row r="11" spans="2:7" ht="21.95" customHeight="1" x14ac:dyDescent="0.3">
      <c r="B11" s="125"/>
      <c r="C11" s="51" t="s">
        <v>488</v>
      </c>
      <c r="D11" s="51"/>
      <c r="E11" s="51"/>
    </row>
    <row r="12" spans="2:7" ht="21.95" customHeight="1" x14ac:dyDescent="0.3">
      <c r="B12" s="125"/>
      <c r="C12" s="51" t="s">
        <v>489</v>
      </c>
      <c r="D12" s="51"/>
      <c r="E12" s="51"/>
    </row>
    <row r="13" spans="2:7" ht="21.95" customHeight="1" x14ac:dyDescent="0.3">
      <c r="B13" s="125"/>
      <c r="C13" s="51" t="s">
        <v>490</v>
      </c>
      <c r="D13" s="51"/>
      <c r="E13" s="51"/>
    </row>
    <row r="14" spans="2:7" ht="21.95" customHeight="1" x14ac:dyDescent="0.3">
      <c r="B14" s="125" t="s">
        <v>322</v>
      </c>
      <c r="C14" s="51" t="s">
        <v>491</v>
      </c>
      <c r="D14" s="51"/>
      <c r="E14" s="51"/>
    </row>
    <row r="15" spans="2:7" ht="21.95" customHeight="1" x14ac:dyDescent="0.3">
      <c r="B15" s="125"/>
      <c r="C15" s="51" t="s">
        <v>492</v>
      </c>
      <c r="D15" s="51"/>
      <c r="E15" s="51"/>
    </row>
    <row r="16" spans="2:7" ht="6" customHeight="1" x14ac:dyDescent="0.3">
      <c r="B16" s="49"/>
      <c r="C16" s="49"/>
      <c r="D16" s="49"/>
      <c r="E16" s="49"/>
    </row>
    <row r="17" spans="2:5" ht="20.100000000000001" customHeight="1" x14ac:dyDescent="0.3">
      <c r="B17" s="108" t="s">
        <v>493</v>
      </c>
      <c r="C17" s="108"/>
      <c r="D17" s="108"/>
      <c r="E17" s="108"/>
    </row>
    <row r="18" spans="2:5" ht="8.1" customHeight="1" x14ac:dyDescent="0.3">
      <c r="B18" s="49"/>
      <c r="C18" s="49"/>
      <c r="D18" s="49"/>
      <c r="E18" s="49"/>
    </row>
    <row r="19" spans="2:5" ht="18" customHeight="1" x14ac:dyDescent="0.3">
      <c r="B19" s="125" t="str">
        <f>IF(기초자료입력!$C$5="","20○○.  .  .","20"&amp;RIGHT(기초자료입력!$C$5,2)&amp;".  .  .")</f>
        <v>20○○.  .  .</v>
      </c>
      <c r="C19" s="125"/>
      <c r="D19" s="125"/>
      <c r="E19" s="125"/>
    </row>
    <row r="20" spans="2:5" ht="18" customHeight="1" x14ac:dyDescent="0.3">
      <c r="B20" s="125" t="s">
        <v>479</v>
      </c>
      <c r="C20" s="125"/>
      <c r="D20" s="125"/>
      <c r="E20" s="125"/>
    </row>
    <row r="21" spans="2:5" ht="18" customHeight="1" x14ac:dyDescent="0.3">
      <c r="B21" s="125" t="str">
        <f>IF(기초자료입력!$C$4="","○○○○학교장 귀하",기초자료입력!$C$4&amp;"장 귀하")</f>
        <v>○○○○학교장 귀하</v>
      </c>
      <c r="C21" s="125"/>
      <c r="D21" s="125"/>
      <c r="E21" s="125"/>
    </row>
  </sheetData>
  <mergeCells count="11">
    <mergeCell ref="B14:B15"/>
    <mergeCell ref="B17:E17"/>
    <mergeCell ref="B19:E19"/>
    <mergeCell ref="B20:E20"/>
    <mergeCell ref="B21:E21"/>
    <mergeCell ref="B10:B13"/>
    <mergeCell ref="B1:E1"/>
    <mergeCell ref="B3:E4"/>
    <mergeCell ref="B5:E5"/>
    <mergeCell ref="B6:E6"/>
    <mergeCell ref="B7:E7"/>
  </mergeCells>
  <phoneticPr fontId="6" type="noConversion"/>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76200</xdr:rowOff>
                  </to>
                </anchor>
              </controlPr>
            </control>
          </mc:Choice>
        </mc:AlternateContent>
        <mc:AlternateContent xmlns:mc="http://schemas.openxmlformats.org/markup-compatibility/2006">
          <mc:Choice Requires="x14">
            <control shapeId="29698"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76200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B7F38-6C91-4C15-8F50-8D899476ADE2}">
  <sheetPr codeName="Sheet30"/>
  <dimension ref="A1:G19"/>
  <sheetViews>
    <sheetView workbookViewId="0"/>
  </sheetViews>
  <sheetFormatPr defaultRowHeight="16.5" x14ac:dyDescent="0.3"/>
  <cols>
    <col min="1" max="1" width="3.125" customWidth="1"/>
    <col min="2" max="2" width="9.625" customWidth="1"/>
    <col min="3" max="3" width="16.625" customWidth="1"/>
    <col min="4" max="4" width="9.625" customWidth="1"/>
    <col min="5" max="5" width="14.625" customWidth="1"/>
    <col min="6" max="6" width="17.625" customWidth="1"/>
    <col min="7" max="7" width="10.625" customWidth="1"/>
  </cols>
  <sheetData>
    <row r="1" spans="1:7" x14ac:dyDescent="0.3">
      <c r="A1" s="20" t="s">
        <v>300</v>
      </c>
    </row>
    <row r="3" spans="1:7" ht="30" customHeight="1" x14ac:dyDescent="0.3">
      <c r="B3" s="104" t="s">
        <v>316</v>
      </c>
      <c r="C3" s="105"/>
      <c r="D3" s="105"/>
      <c r="E3" s="105"/>
      <c r="F3" s="105"/>
      <c r="G3" s="105"/>
    </row>
    <row r="4" spans="1:7" x14ac:dyDescent="0.3">
      <c r="B4" s="105" t="s">
        <v>317</v>
      </c>
      <c r="C4" s="105"/>
      <c r="D4" s="105"/>
      <c r="E4" s="105"/>
      <c r="F4" s="105"/>
      <c r="G4" s="105"/>
    </row>
    <row r="5" spans="1:7" x14ac:dyDescent="0.3">
      <c r="B5" s="21"/>
      <c r="C5" s="21"/>
      <c r="D5" s="21"/>
      <c r="E5" s="21"/>
      <c r="F5" s="21"/>
      <c r="G5" s="21"/>
    </row>
    <row r="6" spans="1:7" x14ac:dyDescent="0.3">
      <c r="B6" s="22" t="s">
        <v>93</v>
      </c>
      <c r="C6" s="22" t="str">
        <f>IF(기초자료입력!C4&lt;&gt;"",기초자료입력!C4,"")</f>
        <v/>
      </c>
      <c r="D6" s="22" t="s">
        <v>94</v>
      </c>
      <c r="E6" s="22" t="str">
        <f>IF(기초자료입력!C5&lt;&gt;"",기초자료입력!C5,"")</f>
        <v/>
      </c>
      <c r="F6" s="22" t="s">
        <v>97</v>
      </c>
      <c r="G6" s="22" t="str">
        <f>IF(기초자료입력!C12&lt;&gt;"",기초자료입력!C12,"")</f>
        <v/>
      </c>
    </row>
    <row r="7" spans="1:7" x14ac:dyDescent="0.3">
      <c r="B7" s="21"/>
      <c r="C7" s="21"/>
      <c r="D7" s="21"/>
      <c r="E7" s="21"/>
      <c r="F7" s="21"/>
      <c r="G7" s="21"/>
    </row>
    <row r="8" spans="1:7" x14ac:dyDescent="0.3">
      <c r="B8" s="106" t="s">
        <v>318</v>
      </c>
      <c r="C8" s="106"/>
      <c r="D8" s="26" t="s">
        <v>56</v>
      </c>
      <c r="E8" s="26" t="s">
        <v>319</v>
      </c>
      <c r="F8" s="106" t="s">
        <v>320</v>
      </c>
      <c r="G8" s="106"/>
    </row>
    <row r="9" spans="1:7" x14ac:dyDescent="0.3">
      <c r="B9" s="96" t="s">
        <v>321</v>
      </c>
      <c r="C9" s="22" t="str">
        <f>IF(기초자료입력!B29&lt;&gt;"",기초자료입력!B29,"후드 점퍼")</f>
        <v>후드 점퍼</v>
      </c>
      <c r="D9" s="22">
        <f>IF(기초자료입력!C29&lt;&gt;"",기초자료입력!C29,1)</f>
        <v>1</v>
      </c>
      <c r="E9" s="22" t="str">
        <f>IF(SUM(기초자료입력!$D$29:$D$34)=0,"",TEXT(기초자료입력!D29/SUM(기초자료입력!$D$29:$D$34)*100,"0.0")&amp;"%")</f>
        <v/>
      </c>
      <c r="F9" s="108" t="s">
        <v>323</v>
      </c>
      <c r="G9" s="108"/>
    </row>
    <row r="10" spans="1:7" x14ac:dyDescent="0.3">
      <c r="B10" s="96"/>
      <c r="C10" s="22" t="str">
        <f>IF(기초자료입력!B30&lt;&gt;"",기초자료입력!B30,"집업티")</f>
        <v>집업티</v>
      </c>
      <c r="D10" s="22">
        <f>IF(기초자료입력!C30&lt;&gt;"",기초자료입력!C30,1)</f>
        <v>1</v>
      </c>
      <c r="E10" s="22" t="str">
        <f>IF(SUM(기초자료입력!$D$29:$D$34)=0,"",TEXT(기초자료입력!D30/SUM(기초자료입력!$D$29:$D$34)*100,"0.0")&amp;"%")</f>
        <v/>
      </c>
      <c r="F10" s="108"/>
      <c r="G10" s="108"/>
    </row>
    <row r="11" spans="1:7" x14ac:dyDescent="0.3">
      <c r="B11" s="96"/>
      <c r="C11" s="22" t="str">
        <f>IF(기초자료입력!B31&lt;&gt;"",기초자료입력!B31,"맨투맨티")</f>
        <v>맨투맨티</v>
      </c>
      <c r="D11" s="22">
        <f>IF(기초자료입력!C31&lt;&gt;"",기초자료입력!C31,1)</f>
        <v>1</v>
      </c>
      <c r="E11" s="22" t="str">
        <f>IF(SUM(기초자료입력!$D$29:$D$34)=0,"",TEXT(기초자료입력!D31/SUM(기초자료입력!$D$29:$D$34)*100,"0.0")&amp;"%")</f>
        <v/>
      </c>
      <c r="F11" s="108"/>
      <c r="G11" s="108"/>
    </row>
    <row r="12" spans="1:7" x14ac:dyDescent="0.3">
      <c r="B12" s="96"/>
      <c r="C12" s="22" t="str">
        <f>IF(기초자료입력!B32&lt;&gt;"",기초자료입력!B32,"긴바지(치마)")</f>
        <v>긴바지(치마)</v>
      </c>
      <c r="D12" s="22">
        <f>IF(기초자료입력!C32&lt;&gt;"",기초자료입력!C32,1)</f>
        <v>1</v>
      </c>
      <c r="E12" s="22" t="str">
        <f>IF(SUM(기초자료입력!$D$29:$D$34)=0,"",TEXT(기초자료입력!D32/SUM(기초자료입력!$D$29:$D$34)*100,"0.0")&amp;"%")</f>
        <v/>
      </c>
      <c r="F12" s="108"/>
      <c r="G12" s="108"/>
    </row>
    <row r="13" spans="1:7" x14ac:dyDescent="0.3">
      <c r="B13" s="96" t="s">
        <v>322</v>
      </c>
      <c r="C13" s="22" t="str">
        <f>IF(기초자료입력!B33&lt;&gt;"",기초자료입력!B33,"반팔티")</f>
        <v>반팔티</v>
      </c>
      <c r="D13" s="22">
        <f>IF(기초자료입력!C33&lt;&gt;"",기초자료입력!C33,1)</f>
        <v>1</v>
      </c>
      <c r="E13" s="22" t="str">
        <f>IF(SUM(기초자료입력!$D$29:$D$34)=0,"",TEXT(기초자료입력!D33/SUM(기초자료입력!$D$29:$D$34)*100,"0.0")&amp;"%")</f>
        <v/>
      </c>
      <c r="F13" s="108"/>
      <c r="G13" s="108"/>
    </row>
    <row r="14" spans="1:7" x14ac:dyDescent="0.3">
      <c r="B14" s="96"/>
      <c r="C14" s="22" t="str">
        <f>IF(기초자료입력!B34&lt;&gt;"",기초자료입력!B34,"반바지")</f>
        <v>반바지</v>
      </c>
      <c r="D14" s="22">
        <f>IF(기초자료입력!C34&lt;&gt;"",기초자료입력!C34,1)</f>
        <v>1</v>
      </c>
      <c r="E14" s="22" t="str">
        <f>IF(SUM(기초자료입력!$D$29:$D$34)=0,"",TEXT(기초자료입력!D34/SUM(기초자료입력!$D$29:$D$34)*100,"0.0")&amp;"%")</f>
        <v/>
      </c>
      <c r="F14" s="108"/>
      <c r="G14" s="108"/>
    </row>
    <row r="15" spans="1:7" x14ac:dyDescent="0.3">
      <c r="B15" s="97" t="s">
        <v>299</v>
      </c>
      <c r="C15" s="97"/>
      <c r="D15" s="25">
        <f>SUM(D9:D14)</f>
        <v>6</v>
      </c>
      <c r="E15" s="25" t="str">
        <f>"100%"</f>
        <v>100%</v>
      </c>
      <c r="F15" s="97"/>
      <c r="G15" s="97"/>
    </row>
    <row r="16" spans="1:7" x14ac:dyDescent="0.3">
      <c r="B16" s="21"/>
      <c r="C16" s="21"/>
      <c r="D16" s="21"/>
      <c r="E16" s="21"/>
      <c r="F16" s="21"/>
      <c r="G16" s="21"/>
    </row>
    <row r="17" spans="2:7" x14ac:dyDescent="0.3">
      <c r="B17" s="98" t="s">
        <v>324</v>
      </c>
      <c r="C17" s="98"/>
      <c r="D17" s="98"/>
      <c r="E17" s="98"/>
      <c r="F17" s="98"/>
      <c r="G17" s="98"/>
    </row>
    <row r="18" spans="2:7" x14ac:dyDescent="0.3">
      <c r="B18" s="98" t="s">
        <v>325</v>
      </c>
      <c r="C18" s="98"/>
      <c r="D18" s="98"/>
      <c r="E18" s="98"/>
      <c r="F18" s="98"/>
      <c r="G18" s="98"/>
    </row>
    <row r="19" spans="2:7" x14ac:dyDescent="0.3">
      <c r="B19" s="98" t="str">
        <f>IF(기초자료입력!C4&lt;&gt;"",기초자료입력!C4,"○○○○학교")&amp;"장 귀하"</f>
        <v>○○○○학교장 귀하</v>
      </c>
      <c r="C19" s="98"/>
      <c r="D19" s="98"/>
      <c r="E19" s="98"/>
      <c r="F19" s="98"/>
      <c r="G19" s="98"/>
    </row>
  </sheetData>
  <mergeCells count="12">
    <mergeCell ref="B15:C15"/>
    <mergeCell ref="F15:G15"/>
    <mergeCell ref="B17:G17"/>
    <mergeCell ref="B18:G18"/>
    <mergeCell ref="B19:G19"/>
    <mergeCell ref="B13:B14"/>
    <mergeCell ref="F9:G14"/>
    <mergeCell ref="B3:G3"/>
    <mergeCell ref="B4:G4"/>
    <mergeCell ref="B8:C8"/>
    <mergeCell ref="F8:G8"/>
    <mergeCell ref="B9:B12"/>
  </mergeCells>
  <phoneticPr fontId="6" type="noConversion"/>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30722"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B01F3-1766-4581-9FDB-DAA88BF94E7E}">
  <sheetPr codeName="Sheet31"/>
  <dimension ref="B1:G31"/>
  <sheetViews>
    <sheetView workbookViewId="0"/>
  </sheetViews>
  <sheetFormatPr defaultRowHeight="16.5" x14ac:dyDescent="0.3"/>
  <cols>
    <col min="1" max="1" width="3.125" customWidth="1"/>
    <col min="2" max="5" width="20.625" customWidth="1"/>
  </cols>
  <sheetData>
    <row r="1" spans="2:7" ht="12" customHeight="1" x14ac:dyDescent="0.3">
      <c r="B1" s="127" t="s">
        <v>494</v>
      </c>
      <c r="C1" s="128"/>
      <c r="D1" s="128"/>
      <c r="E1" s="128"/>
    </row>
    <row r="2" spans="2:7" ht="8.1" customHeight="1" x14ac:dyDescent="0.3">
      <c r="G2" s="36" t="s">
        <v>342</v>
      </c>
    </row>
    <row r="3" spans="2:7" ht="26.1" customHeight="1" x14ac:dyDescent="0.3">
      <c r="B3" s="106" t="s">
        <v>210</v>
      </c>
      <c r="C3" s="125"/>
      <c r="D3" s="125"/>
      <c r="E3" s="125"/>
      <c r="G3">
        <v>1</v>
      </c>
    </row>
    <row r="4" spans="2:7" ht="26.1" customHeight="1" x14ac:dyDescent="0.3">
      <c r="B4" s="125"/>
      <c r="C4" s="125"/>
      <c r="D4" s="125"/>
      <c r="E4" s="125"/>
    </row>
    <row r="5" spans="2:7" ht="6" customHeight="1" x14ac:dyDescent="0.3">
      <c r="B5" s="49"/>
      <c r="C5" s="49"/>
      <c r="D5" s="49"/>
      <c r="E5" s="49"/>
    </row>
    <row r="6" spans="2:7" ht="18" customHeight="1" x14ac:dyDescent="0.3">
      <c r="B6" s="131" t="s">
        <v>495</v>
      </c>
      <c r="C6" s="126"/>
      <c r="D6" s="126"/>
      <c r="E6" s="126"/>
    </row>
    <row r="7" spans="2:7" ht="20.100000000000001" customHeight="1" x14ac:dyDescent="0.3">
      <c r="B7" s="108" t="s">
        <v>496</v>
      </c>
      <c r="C7" s="108"/>
      <c r="D7" s="108"/>
      <c r="E7" s="108"/>
    </row>
    <row r="8" spans="2:7" ht="6" customHeight="1" x14ac:dyDescent="0.3">
      <c r="B8" s="49"/>
      <c r="C8" s="49"/>
      <c r="D8" s="49"/>
      <c r="E8" s="49"/>
    </row>
    <row r="9" spans="2:7" ht="18" customHeight="1" x14ac:dyDescent="0.3">
      <c r="B9" s="131" t="s">
        <v>497</v>
      </c>
      <c r="C9" s="126"/>
      <c r="D9" s="126"/>
      <c r="E9" s="126"/>
    </row>
    <row r="10" spans="2:7" ht="20.100000000000001" customHeight="1" x14ac:dyDescent="0.3">
      <c r="B10" s="108" t="s">
        <v>498</v>
      </c>
      <c r="C10" s="108"/>
      <c r="D10" s="108"/>
      <c r="E10" s="108"/>
    </row>
    <row r="11" spans="2:7" ht="20.100000000000001" customHeight="1" x14ac:dyDescent="0.3">
      <c r="B11" s="108" t="s">
        <v>499</v>
      </c>
      <c r="C11" s="108"/>
      <c r="D11" s="108"/>
      <c r="E11" s="108"/>
    </row>
    <row r="12" spans="2:7" ht="20.100000000000001" customHeight="1" x14ac:dyDescent="0.3">
      <c r="B12" s="108" t="s">
        <v>500</v>
      </c>
      <c r="C12" s="108"/>
      <c r="D12" s="108"/>
      <c r="E12" s="108"/>
    </row>
    <row r="13" spans="2:7" ht="20.100000000000001" customHeight="1" x14ac:dyDescent="0.3">
      <c r="B13" s="108" t="s">
        <v>501</v>
      </c>
      <c r="C13" s="108"/>
      <c r="D13" s="108"/>
      <c r="E13" s="108"/>
    </row>
    <row r="14" spans="2:7" ht="6" customHeight="1" x14ac:dyDescent="0.3">
      <c r="B14" s="49"/>
      <c r="C14" s="49"/>
      <c r="D14" s="49"/>
      <c r="E14" s="49"/>
    </row>
    <row r="15" spans="2:7" ht="26.1" customHeight="1" x14ac:dyDescent="0.3">
      <c r="B15" s="132" t="s">
        <v>502</v>
      </c>
      <c r="C15" s="108"/>
      <c r="D15" s="108"/>
      <c r="E15" s="108"/>
    </row>
    <row r="16" spans="2:7" ht="18" customHeight="1" x14ac:dyDescent="0.3">
      <c r="B16" s="108" t="s">
        <v>503</v>
      </c>
      <c r="C16" s="108"/>
      <c r="D16" s="108"/>
      <c r="E16" s="108"/>
    </row>
    <row r="17" spans="2:5" ht="18" customHeight="1" x14ac:dyDescent="0.3">
      <c r="B17" s="108" t="s">
        <v>504</v>
      </c>
      <c r="C17" s="108"/>
      <c r="D17" s="108"/>
      <c r="E17" s="108"/>
    </row>
    <row r="18" spans="2:5" ht="20.100000000000001" customHeight="1" x14ac:dyDescent="0.3">
      <c r="B18" s="108" t="s">
        <v>505</v>
      </c>
      <c r="C18" s="108"/>
      <c r="D18" s="108"/>
      <c r="E18" s="108"/>
    </row>
    <row r="19" spans="2:5" ht="6" customHeight="1" x14ac:dyDescent="0.3">
      <c r="B19" s="49"/>
      <c r="C19" s="49"/>
      <c r="D19" s="49"/>
      <c r="E19" s="49"/>
    </row>
    <row r="20" spans="2:5" ht="18" customHeight="1" x14ac:dyDescent="0.3">
      <c r="B20" s="131" t="s">
        <v>506</v>
      </c>
      <c r="C20" s="126"/>
      <c r="D20" s="126"/>
      <c r="E20" s="126"/>
    </row>
    <row r="21" spans="2:5" ht="20.100000000000001" customHeight="1" x14ac:dyDescent="0.3">
      <c r="B21" s="108" t="s">
        <v>507</v>
      </c>
      <c r="C21" s="108"/>
      <c r="D21" s="108"/>
      <c r="E21" s="108"/>
    </row>
    <row r="22" spans="2:5" ht="18" customHeight="1" x14ac:dyDescent="0.3">
      <c r="B22" s="108" t="s">
        <v>508</v>
      </c>
      <c r="C22" s="108"/>
      <c r="D22" s="108"/>
      <c r="E22" s="108"/>
    </row>
    <row r="23" spans="2:5" ht="21.95" customHeight="1" x14ac:dyDescent="0.3">
      <c r="B23" s="108" t="s">
        <v>509</v>
      </c>
      <c r="C23" s="108"/>
      <c r="D23" s="108"/>
      <c r="E23" s="108"/>
    </row>
    <row r="24" spans="2:5" ht="21.95" customHeight="1" x14ac:dyDescent="0.3">
      <c r="B24" s="108"/>
      <c r="C24" s="108"/>
      <c r="D24" s="108"/>
      <c r="E24" s="108"/>
    </row>
    <row r="25" spans="2:5" ht="18" customHeight="1" x14ac:dyDescent="0.3">
      <c r="B25" s="108" t="s">
        <v>510</v>
      </c>
      <c r="C25" s="108"/>
      <c r="D25" s="108"/>
      <c r="E25" s="108"/>
    </row>
    <row r="26" spans="2:5" ht="18" customHeight="1" x14ac:dyDescent="0.3">
      <c r="B26" s="126" t="s">
        <v>511</v>
      </c>
      <c r="C26" s="126"/>
      <c r="D26" s="126"/>
      <c r="E26" s="126"/>
    </row>
    <row r="27" spans="2:5" ht="18" customHeight="1" x14ac:dyDescent="0.3">
      <c r="B27" s="126" t="s">
        <v>511</v>
      </c>
      <c r="C27" s="126"/>
      <c r="D27" s="126"/>
      <c r="E27" s="126"/>
    </row>
    <row r="28" spans="2:5" ht="8.1" customHeight="1" x14ac:dyDescent="0.3">
      <c r="B28" s="49"/>
      <c r="C28" s="49"/>
      <c r="D28" s="49"/>
      <c r="E28" s="49"/>
    </row>
    <row r="29" spans="2:5" ht="18" customHeight="1" x14ac:dyDescent="0.3">
      <c r="B29" s="125" t="str">
        <f>IF(기초자료입력!$C$5="","20○○년   월   일","20"&amp;RIGHT(기초자료입력!$C$5,2)&amp;"년   월   일")</f>
        <v>20○○년   월   일</v>
      </c>
      <c r="C29" s="125"/>
      <c r="D29" s="125"/>
      <c r="E29" s="125"/>
    </row>
    <row r="30" spans="2:5" ht="18" customHeight="1" x14ac:dyDescent="0.3">
      <c r="B30" s="125" t="s">
        <v>479</v>
      </c>
      <c r="C30" s="125"/>
      <c r="D30" s="125"/>
      <c r="E30" s="125"/>
    </row>
    <row r="31" spans="2:5" ht="18" customHeight="1" x14ac:dyDescent="0.3">
      <c r="B31" s="125" t="str">
        <f>IF(기초자료입력!$C$4="","○○○○학교장 귀하",기초자료입력!$C$4&amp;"장 귀하")</f>
        <v>○○○○학교장 귀하</v>
      </c>
      <c r="C31" s="125"/>
      <c r="D31" s="125"/>
      <c r="E31" s="125"/>
    </row>
  </sheetData>
  <mergeCells count="23">
    <mergeCell ref="B26:E26"/>
    <mergeCell ref="B27:E27"/>
    <mergeCell ref="B29:E29"/>
    <mergeCell ref="B30:E30"/>
    <mergeCell ref="B31:E31"/>
    <mergeCell ref="B25:E25"/>
    <mergeCell ref="B11:E11"/>
    <mergeCell ref="B12:E12"/>
    <mergeCell ref="B13:E13"/>
    <mergeCell ref="B15:E15"/>
    <mergeCell ref="B16:E16"/>
    <mergeCell ref="B17:E17"/>
    <mergeCell ref="B18:E18"/>
    <mergeCell ref="B20:E20"/>
    <mergeCell ref="B21:E21"/>
    <mergeCell ref="B22:E22"/>
    <mergeCell ref="B23:E24"/>
    <mergeCell ref="B10:E10"/>
    <mergeCell ref="B1:E1"/>
    <mergeCell ref="B3:E4"/>
    <mergeCell ref="B6:E6"/>
    <mergeCell ref="B7:E7"/>
    <mergeCell ref="B9:E9"/>
  </mergeCells>
  <phoneticPr fontId="6" type="noConversion"/>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76200</xdr:rowOff>
                  </to>
                </anchor>
              </controlPr>
            </control>
          </mc:Choice>
        </mc:AlternateContent>
        <mc:AlternateContent xmlns:mc="http://schemas.openxmlformats.org/markup-compatibility/2006">
          <mc:Choice Requires="x14">
            <control shapeId="31746"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76200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DD1FB-72B7-4B08-98F2-BC9625B975D6}">
  <sheetPr codeName="Sheet32"/>
  <dimension ref="A1:F24"/>
  <sheetViews>
    <sheetView workbookViewId="0"/>
  </sheetViews>
  <sheetFormatPr defaultRowHeight="16.5" x14ac:dyDescent="0.3"/>
  <cols>
    <col min="1" max="1" width="3.125" customWidth="1"/>
    <col min="2" max="3" width="16.625" customWidth="1"/>
    <col min="4" max="6" width="14.625" customWidth="1"/>
  </cols>
  <sheetData>
    <row r="1" spans="1:6" ht="12" customHeight="1" x14ac:dyDescent="0.3">
      <c r="A1" s="20" t="s">
        <v>849</v>
      </c>
    </row>
    <row r="3" spans="1:6" ht="24" customHeight="1" x14ac:dyDescent="0.3">
      <c r="B3" s="134" t="s">
        <v>850</v>
      </c>
      <c r="C3" s="135"/>
      <c r="D3" s="135"/>
      <c r="E3" s="135"/>
      <c r="F3" s="135"/>
    </row>
    <row r="4" spans="1:6" ht="24" customHeight="1" x14ac:dyDescent="0.3">
      <c r="B4" s="135"/>
      <c r="C4" s="135"/>
      <c r="D4" s="135"/>
      <c r="E4" s="135"/>
      <c r="F4" s="135"/>
    </row>
    <row r="5" spans="1:6" ht="9.9499999999999993" customHeight="1" x14ac:dyDescent="0.3">
      <c r="B5" s="55"/>
      <c r="C5" s="55"/>
      <c r="D5" s="55"/>
      <c r="E5" s="55"/>
      <c r="F5" s="55"/>
    </row>
    <row r="6" spans="1:6" ht="20.100000000000001" customHeight="1" x14ac:dyDescent="0.3">
      <c r="B6" s="133" t="s">
        <v>851</v>
      </c>
      <c r="C6" s="133"/>
      <c r="D6" s="133"/>
      <c r="E6" s="133"/>
      <c r="F6" s="133"/>
    </row>
    <row r="7" spans="1:6" ht="20.100000000000001" customHeight="1" x14ac:dyDescent="0.3">
      <c r="B7" s="133" t="s">
        <v>852</v>
      </c>
      <c r="C7" s="133"/>
      <c r="D7" s="133"/>
      <c r="E7" s="133"/>
      <c r="F7" s="133"/>
    </row>
    <row r="8" spans="1:6" ht="20.100000000000001" customHeight="1" x14ac:dyDescent="0.3">
      <c r="B8" s="133" t="s">
        <v>853</v>
      </c>
      <c r="C8" s="133"/>
      <c r="D8" s="133"/>
      <c r="E8" s="133"/>
      <c r="F8" s="133"/>
    </row>
    <row r="9" spans="1:6" ht="20.100000000000001" customHeight="1" x14ac:dyDescent="0.3">
      <c r="B9" s="133" t="s">
        <v>854</v>
      </c>
      <c r="C9" s="133"/>
      <c r="D9" s="133"/>
      <c r="E9" s="133"/>
      <c r="F9" s="133"/>
    </row>
    <row r="10" spans="1:6" ht="20.100000000000001" customHeight="1" x14ac:dyDescent="0.3">
      <c r="B10" s="133" t="s">
        <v>855</v>
      </c>
      <c r="C10" s="133"/>
      <c r="D10" s="133"/>
      <c r="E10" s="133"/>
      <c r="F10" s="133"/>
    </row>
    <row r="11" spans="1:6" ht="9.9499999999999993" customHeight="1" x14ac:dyDescent="0.3">
      <c r="B11" s="55"/>
      <c r="C11" s="55"/>
      <c r="D11" s="55"/>
      <c r="E11" s="55"/>
      <c r="F11" s="55"/>
    </row>
    <row r="12" spans="1:6" ht="78" customHeight="1" x14ac:dyDescent="0.3">
      <c r="B12" s="136" t="str">
        <f>"상기 본인은 「"&amp;IF(기초자료입력!C5&lt;&gt;"",기초자료입력!C5,"20○○")&amp;"학년도 "&amp;IF(기초자료입력!C4&lt;&gt;"",기초자료입력!C4,"◯◯◯◯학교")&amp;" 교복(동·하복) 학교주관구매」제안서를 제출함에 있어 일체의 권한을 다음의 사람에게 위임합니다."</f>
        <v>상기 본인은 「20○○학년도 ◯◯◯◯학교 교복(동·하복) 학교주관구매」제안서를 제출함에 있어 일체의 권한을 다음의 사람에게 위임합니다.</v>
      </c>
      <c r="C12" s="136"/>
      <c r="D12" s="136"/>
      <c r="E12" s="136"/>
      <c r="F12" s="136"/>
    </row>
    <row r="13" spans="1:6" ht="9.9499999999999993" customHeight="1" x14ac:dyDescent="0.3">
      <c r="B13" s="55"/>
      <c r="C13" s="55"/>
      <c r="D13" s="55"/>
      <c r="E13" s="55"/>
      <c r="F13" s="55"/>
    </row>
    <row r="14" spans="1:6" ht="9.9499999999999993" customHeight="1" x14ac:dyDescent="0.3">
      <c r="B14" s="55"/>
      <c r="C14" s="55"/>
      <c r="D14" s="55"/>
      <c r="E14" s="55"/>
      <c r="F14" s="55"/>
    </row>
    <row r="15" spans="1:6" ht="20.100000000000001" customHeight="1" x14ac:dyDescent="0.3">
      <c r="B15" s="28" t="s">
        <v>856</v>
      </c>
      <c r="C15" s="91"/>
      <c r="D15" s="91"/>
      <c r="E15" s="91"/>
      <c r="F15" s="91"/>
    </row>
    <row r="16" spans="1:6" ht="20.100000000000001" customHeight="1" x14ac:dyDescent="0.3">
      <c r="B16" s="28" t="s">
        <v>439</v>
      </c>
      <c r="C16" s="56"/>
      <c r="D16" s="28" t="s">
        <v>438</v>
      </c>
      <c r="E16" s="91"/>
      <c r="F16" s="91"/>
    </row>
    <row r="17" spans="2:6" ht="20.100000000000001" customHeight="1" x14ac:dyDescent="0.3">
      <c r="B17" s="28" t="s">
        <v>857</v>
      </c>
      <c r="C17" s="91"/>
      <c r="D17" s="91"/>
      <c r="E17" s="91"/>
      <c r="F17" s="91"/>
    </row>
    <row r="18" spans="2:6" ht="9.9499999999999993" customHeight="1" x14ac:dyDescent="0.3">
      <c r="B18" s="55"/>
      <c r="C18" s="55"/>
      <c r="D18" s="55"/>
      <c r="E18" s="55"/>
      <c r="F18" s="55"/>
    </row>
    <row r="19" spans="2:6" ht="15.95" customHeight="1" x14ac:dyDescent="0.3">
      <c r="B19" s="133" t="s">
        <v>858</v>
      </c>
      <c r="C19" s="133"/>
      <c r="D19" s="133"/>
      <c r="E19" s="133"/>
      <c r="F19" s="133"/>
    </row>
    <row r="20" spans="2:6" ht="15.95" customHeight="1" x14ac:dyDescent="0.3">
      <c r="B20" s="133" t="s">
        <v>859</v>
      </c>
      <c r="C20" s="133"/>
      <c r="D20" s="133"/>
      <c r="E20" s="133"/>
      <c r="F20" s="133"/>
    </row>
    <row r="21" spans="2:6" ht="9.9499999999999993" customHeight="1" x14ac:dyDescent="0.3">
      <c r="B21" s="55"/>
      <c r="C21" s="55"/>
      <c r="D21" s="55"/>
      <c r="E21" s="55"/>
      <c r="F21" s="55"/>
    </row>
    <row r="22" spans="2:6" ht="21.95" customHeight="1" x14ac:dyDescent="0.3">
      <c r="B22" s="133" t="s">
        <v>860</v>
      </c>
      <c r="C22" s="133"/>
      <c r="D22" s="133"/>
      <c r="E22" s="133"/>
      <c r="F22" s="133"/>
    </row>
    <row r="23" spans="2:6" ht="9.9499999999999993" customHeight="1" x14ac:dyDescent="0.3">
      <c r="B23" s="55"/>
      <c r="C23" s="55"/>
      <c r="D23" s="55"/>
      <c r="E23" s="55"/>
      <c r="F23" s="55"/>
    </row>
    <row r="24" spans="2:6" ht="20.100000000000001" customHeight="1" x14ac:dyDescent="0.3">
      <c r="B24" s="135" t="str">
        <f>IF(기초자료입력!$C$4="","◯◯◯◯학교장 귀하",기초자료입력!$C$4&amp;"장 귀하")</f>
        <v>◯◯◯◯학교장 귀하</v>
      </c>
      <c r="C24" s="135"/>
      <c r="D24" s="135"/>
      <c r="E24" s="135"/>
      <c r="F24" s="135"/>
    </row>
  </sheetData>
  <mergeCells count="14">
    <mergeCell ref="B22:F22"/>
    <mergeCell ref="B24:F24"/>
    <mergeCell ref="B12:F12"/>
    <mergeCell ref="C15:F15"/>
    <mergeCell ref="E16:F16"/>
    <mergeCell ref="C17:F17"/>
    <mergeCell ref="B19:F19"/>
    <mergeCell ref="B20:F20"/>
    <mergeCell ref="B10:F10"/>
    <mergeCell ref="B3:F4"/>
    <mergeCell ref="B6:F6"/>
    <mergeCell ref="B7:F7"/>
    <mergeCell ref="B8:F8"/>
    <mergeCell ref="B9:F9"/>
  </mergeCells>
  <phoneticPr fontId="6" type="noConversion"/>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76200</xdr:rowOff>
                  </to>
                </anchor>
              </controlPr>
            </control>
          </mc:Choice>
        </mc:AlternateContent>
        <mc:AlternateContent xmlns:mc="http://schemas.openxmlformats.org/markup-compatibility/2006">
          <mc:Choice Requires="x14">
            <control shapeId="32770"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EB682-A0F1-405C-A6BE-F4BF85B77053}">
  <sheetPr codeName="Sheet33"/>
  <dimension ref="A1:F25"/>
  <sheetViews>
    <sheetView workbookViewId="0"/>
  </sheetViews>
  <sheetFormatPr defaultRowHeight="16.5" x14ac:dyDescent="0.3"/>
  <cols>
    <col min="1" max="1" width="3.125" customWidth="1"/>
    <col min="2" max="2" width="16.625" customWidth="1"/>
    <col min="3" max="6" width="14.625" customWidth="1"/>
  </cols>
  <sheetData>
    <row r="1" spans="1:6" ht="12" customHeight="1" x14ac:dyDescent="0.3">
      <c r="A1" s="20" t="s">
        <v>861</v>
      </c>
    </row>
    <row r="3" spans="1:6" ht="24" customHeight="1" x14ac:dyDescent="0.3">
      <c r="B3" s="134" t="s">
        <v>221</v>
      </c>
      <c r="C3" s="135"/>
      <c r="D3" s="135"/>
      <c r="E3" s="135"/>
      <c r="F3" s="135"/>
    </row>
    <row r="4" spans="1:6" ht="24" customHeight="1" x14ac:dyDescent="0.3">
      <c r="B4" s="135"/>
      <c r="C4" s="135"/>
      <c r="D4" s="135"/>
      <c r="E4" s="135"/>
      <c r="F4" s="135"/>
    </row>
    <row r="5" spans="1:6" ht="9.9499999999999993" customHeight="1" x14ac:dyDescent="0.3">
      <c r="B5" s="55"/>
      <c r="C5" s="55"/>
      <c r="D5" s="55"/>
      <c r="E5" s="55"/>
      <c r="F5" s="55"/>
    </row>
    <row r="6" spans="1:6" ht="99.95" customHeight="1" x14ac:dyDescent="0.3">
      <c r="B6" s="136" t="str">
        <f>"상기 본인은 「"&amp;IF(기초자료입력!C5&lt;&gt;"",기초자료입력!C5,"20○○")&amp;"학년도 "&amp;IF(기초자료입력!C4&lt;&gt;"",기초자료입력!C4,"○○학교")&amp;" 교복(동복·하복) 학교주관구매 입찰」제안서를 제출함에 있어, 「개인정보보호법」제15조 및 같은 법 제17조에 의거하여 아래와 같이 정보수집·제공에 동의합니다."</f>
        <v>상기 본인은 「20○○학년도 ○○학교 교복(동복·하복) 학교주관구매 입찰」제안서를 제출함에 있어, 「개인정보보호법」제15조 및 같은 법 제17조에 의거하여 아래와 같이 정보수집·제공에 동의합니다.</v>
      </c>
      <c r="C6" s="136"/>
      <c r="D6" s="136"/>
      <c r="E6" s="136"/>
      <c r="F6" s="136"/>
    </row>
    <row r="7" spans="1:6" x14ac:dyDescent="0.3">
      <c r="B7" s="55"/>
      <c r="C7" s="55"/>
      <c r="D7" s="55"/>
      <c r="E7" s="55"/>
      <c r="F7" s="55"/>
    </row>
    <row r="8" spans="1:6" x14ac:dyDescent="0.3">
      <c r="B8" s="55"/>
      <c r="C8" s="55"/>
      <c r="D8" s="55"/>
      <c r="E8" s="55"/>
      <c r="F8" s="55"/>
    </row>
    <row r="9" spans="1:6" ht="18" customHeight="1" x14ac:dyDescent="0.3">
      <c r="B9" s="136" t="s">
        <v>862</v>
      </c>
      <c r="C9" s="133"/>
      <c r="D9" s="133"/>
      <c r="E9" s="133"/>
      <c r="F9" s="133"/>
    </row>
    <row r="10" spans="1:6" ht="18" customHeight="1" x14ac:dyDescent="0.3">
      <c r="B10" s="136" t="s">
        <v>863</v>
      </c>
      <c r="C10" s="133"/>
      <c r="D10" s="133"/>
      <c r="E10" s="133"/>
      <c r="F10" s="133"/>
    </row>
    <row r="11" spans="1:6" ht="18" customHeight="1" x14ac:dyDescent="0.3">
      <c r="B11" s="136" t="s">
        <v>864</v>
      </c>
      <c r="C11" s="133"/>
      <c r="D11" s="133"/>
      <c r="E11" s="133"/>
      <c r="F11" s="133"/>
    </row>
    <row r="12" spans="1:6" ht="78" customHeight="1" x14ac:dyDescent="0.3">
      <c r="B12" s="136" t="s">
        <v>865</v>
      </c>
      <c r="C12" s="136"/>
      <c r="D12" s="136"/>
      <c r="E12" s="136"/>
      <c r="F12" s="136"/>
    </row>
    <row r="13" spans="1:6" ht="9.9499999999999993" customHeight="1" x14ac:dyDescent="0.3">
      <c r="B13" s="55"/>
      <c r="C13" s="55"/>
      <c r="D13" s="55"/>
      <c r="E13" s="55"/>
      <c r="F13" s="55"/>
    </row>
    <row r="14" spans="1:6" ht="9.9499999999999993" customHeight="1" x14ac:dyDescent="0.3">
      <c r="B14" s="55"/>
      <c r="C14" s="55"/>
      <c r="D14" s="55"/>
      <c r="E14" s="55"/>
      <c r="F14" s="55"/>
    </row>
    <row r="15" spans="1:6" ht="9.9499999999999993" customHeight="1" x14ac:dyDescent="0.3">
      <c r="B15" s="55"/>
      <c r="C15" s="55"/>
      <c r="D15" s="55"/>
      <c r="E15" s="55"/>
      <c r="F15" s="55"/>
    </row>
    <row r="16" spans="1:6" ht="24" customHeight="1" x14ac:dyDescent="0.3">
      <c r="B16" s="134" t="s">
        <v>866</v>
      </c>
      <c r="C16" s="135"/>
      <c r="D16" s="135"/>
      <c r="E16" s="135"/>
      <c r="F16" s="135"/>
    </row>
    <row r="17" spans="2:6" ht="14.1" customHeight="1" x14ac:dyDescent="0.3">
      <c r="B17" s="137" t="s">
        <v>867</v>
      </c>
      <c r="C17" s="133"/>
      <c r="D17" s="133"/>
      <c r="E17" s="133"/>
      <c r="F17" s="133"/>
    </row>
    <row r="18" spans="2:6" ht="9.9499999999999993" customHeight="1" x14ac:dyDescent="0.3">
      <c r="B18" s="55"/>
      <c r="C18" s="55"/>
      <c r="D18" s="55"/>
      <c r="E18" s="55"/>
      <c r="F18" s="55"/>
    </row>
    <row r="19" spans="2:6" ht="20.100000000000001" customHeight="1" x14ac:dyDescent="0.3">
      <c r="B19" s="135" t="str">
        <f>IF(기초자료입력!C8&lt;&gt;"",TEXT(기초자료입력!C8,"yyyy. mm. dd."),"20○○.    .    .")</f>
        <v>20○○.    .    .</v>
      </c>
      <c r="C19" s="135"/>
      <c r="D19" s="135"/>
      <c r="E19" s="135"/>
      <c r="F19" s="135"/>
    </row>
    <row r="20" spans="2:6" ht="14.1" customHeight="1" x14ac:dyDescent="0.3">
      <c r="B20" s="55"/>
      <c r="C20" s="55"/>
      <c r="D20" s="55"/>
      <c r="E20" s="55"/>
      <c r="F20" s="55"/>
    </row>
    <row r="21" spans="2:6" ht="18" customHeight="1" x14ac:dyDescent="0.3">
      <c r="B21" s="133" t="s">
        <v>868</v>
      </c>
      <c r="C21" s="133"/>
      <c r="D21" s="133"/>
      <c r="E21" s="133"/>
      <c r="F21" s="133"/>
    </row>
    <row r="22" spans="2:6" ht="18" customHeight="1" x14ac:dyDescent="0.3">
      <c r="B22" s="133" t="s">
        <v>869</v>
      </c>
      <c r="C22" s="133"/>
      <c r="D22" s="133"/>
      <c r="E22" s="133"/>
      <c r="F22" s="133"/>
    </row>
    <row r="23" spans="2:6" ht="21.95" customHeight="1" x14ac:dyDescent="0.3">
      <c r="B23" s="133" t="s">
        <v>870</v>
      </c>
      <c r="C23" s="133"/>
      <c r="D23" s="133"/>
      <c r="E23" s="133"/>
      <c r="F23" s="133"/>
    </row>
    <row r="24" spans="2:6" ht="9.9499999999999993" customHeight="1" x14ac:dyDescent="0.3">
      <c r="B24" s="55"/>
      <c r="C24" s="55"/>
      <c r="D24" s="55"/>
      <c r="E24" s="55"/>
      <c r="F24" s="55"/>
    </row>
    <row r="25" spans="2:6" ht="20.100000000000001" customHeight="1" x14ac:dyDescent="0.3">
      <c r="B25" s="135" t="str">
        <f>IF(기초자료입력!$C$4="","○○학교장 귀하",기초자료입력!$C$4&amp;"장 귀하")</f>
        <v>○○학교장 귀하</v>
      </c>
      <c r="C25" s="135"/>
      <c r="D25" s="135"/>
      <c r="E25" s="135"/>
      <c r="F25" s="135"/>
    </row>
  </sheetData>
  <mergeCells count="13">
    <mergeCell ref="B25:F25"/>
    <mergeCell ref="B16:F16"/>
    <mergeCell ref="B17:F17"/>
    <mergeCell ref="B19:F19"/>
    <mergeCell ref="B21:F21"/>
    <mergeCell ref="B22:F22"/>
    <mergeCell ref="B23:F23"/>
    <mergeCell ref="B12:F12"/>
    <mergeCell ref="B3:F4"/>
    <mergeCell ref="B6:F6"/>
    <mergeCell ref="B9:F9"/>
    <mergeCell ref="B10:F10"/>
    <mergeCell ref="B11:F11"/>
  </mergeCells>
  <phoneticPr fontId="6" type="noConversion"/>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76200</xdr:rowOff>
                  </to>
                </anchor>
              </controlPr>
            </control>
          </mc:Choice>
        </mc:AlternateContent>
        <mc:AlternateContent xmlns:mc="http://schemas.openxmlformats.org/markup-compatibility/2006">
          <mc:Choice Requires="x14">
            <control shapeId="33794"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76200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562E3-476D-46B7-AEC1-F09C75A15BA9}">
  <sheetPr codeName="Sheet34"/>
  <dimension ref="A1:F19"/>
  <sheetViews>
    <sheetView workbookViewId="0"/>
  </sheetViews>
  <sheetFormatPr defaultRowHeight="16.5" x14ac:dyDescent="0.3"/>
  <cols>
    <col min="1" max="1" width="3.125" customWidth="1"/>
    <col min="2" max="2" width="16.625" customWidth="1"/>
    <col min="3" max="6" width="14.625" customWidth="1"/>
  </cols>
  <sheetData>
    <row r="1" spans="1:6" ht="9.9499999999999993" customHeight="1" x14ac:dyDescent="0.3">
      <c r="A1" s="20" t="s">
        <v>871</v>
      </c>
    </row>
    <row r="3" spans="1:6" ht="20.100000000000001" customHeight="1" x14ac:dyDescent="0.3">
      <c r="B3" s="134" t="s">
        <v>224</v>
      </c>
      <c r="C3" s="135"/>
      <c r="D3" s="135"/>
      <c r="E3" s="135"/>
      <c r="F3" s="135"/>
    </row>
    <row r="4" spans="1:6" ht="20.100000000000001" customHeight="1" x14ac:dyDescent="0.3">
      <c r="B4" s="135"/>
      <c r="C4" s="135"/>
      <c r="D4" s="135"/>
      <c r="E4" s="135"/>
      <c r="F4" s="135"/>
    </row>
    <row r="5" spans="1:6" ht="6" customHeight="1" x14ac:dyDescent="0.3">
      <c r="B5" s="55"/>
      <c r="C5" s="55"/>
      <c r="D5" s="55"/>
      <c r="E5" s="55"/>
      <c r="F5" s="55"/>
    </row>
    <row r="6" spans="1:6" ht="165.95" customHeight="1" x14ac:dyDescent="0.3">
      <c r="B6" s="136" t="s">
        <v>872</v>
      </c>
      <c r="C6" s="136"/>
      <c r="D6" s="136"/>
      <c r="E6" s="136"/>
      <c r="F6" s="136"/>
    </row>
    <row r="7" spans="1:6" ht="6" customHeight="1" x14ac:dyDescent="0.3">
      <c r="B7" s="55"/>
      <c r="C7" s="55"/>
      <c r="D7" s="55"/>
      <c r="E7" s="55"/>
      <c r="F7" s="55"/>
    </row>
    <row r="8" spans="1:6" ht="6" customHeight="1" x14ac:dyDescent="0.3">
      <c r="B8" s="55"/>
      <c r="C8" s="55"/>
      <c r="D8" s="55"/>
      <c r="E8" s="55"/>
      <c r="F8" s="55"/>
    </row>
    <row r="9" spans="1:6" ht="122.1" customHeight="1" x14ac:dyDescent="0.3">
      <c r="B9" s="136" t="s">
        <v>873</v>
      </c>
      <c r="C9" s="136"/>
      <c r="D9" s="136"/>
      <c r="E9" s="136"/>
      <c r="F9" s="136"/>
    </row>
    <row r="10" spans="1:6" ht="78" customHeight="1" x14ac:dyDescent="0.3">
      <c r="B10" s="136" t="s">
        <v>874</v>
      </c>
      <c r="C10" s="136"/>
      <c r="D10" s="136"/>
      <c r="E10" s="136"/>
      <c r="F10" s="136"/>
    </row>
    <row r="11" spans="1:6" ht="78" customHeight="1" x14ac:dyDescent="0.3">
      <c r="B11" s="136" t="s">
        <v>875</v>
      </c>
      <c r="C11" s="136"/>
      <c r="D11" s="136"/>
      <c r="E11" s="136"/>
      <c r="F11" s="136"/>
    </row>
    <row r="12" spans="1:6" ht="144" customHeight="1" x14ac:dyDescent="0.3">
      <c r="B12" s="136" t="s">
        <v>876</v>
      </c>
      <c r="C12" s="136"/>
      <c r="D12" s="136"/>
      <c r="E12" s="136"/>
      <c r="F12" s="136"/>
    </row>
    <row r="13" spans="1:6" ht="6" customHeight="1" x14ac:dyDescent="0.3">
      <c r="B13" s="55"/>
      <c r="C13" s="55"/>
      <c r="D13" s="55"/>
      <c r="E13" s="55"/>
      <c r="F13" s="55"/>
    </row>
    <row r="14" spans="1:6" ht="6" customHeight="1" x14ac:dyDescent="0.3">
      <c r="B14" s="55"/>
      <c r="C14" s="55"/>
      <c r="D14" s="55"/>
      <c r="E14" s="55"/>
      <c r="F14" s="55"/>
    </row>
    <row r="15" spans="1:6" ht="15.95" customHeight="1" x14ac:dyDescent="0.3">
      <c r="B15" s="135" t="s">
        <v>877</v>
      </c>
      <c r="C15" s="135"/>
      <c r="D15" s="135"/>
      <c r="E15" s="135"/>
      <c r="F15" s="135"/>
    </row>
    <row r="16" spans="1:6" ht="6" customHeight="1" x14ac:dyDescent="0.3">
      <c r="B16" s="55"/>
      <c r="C16" s="55"/>
      <c r="D16" s="55"/>
      <c r="E16" s="55"/>
      <c r="F16" s="55"/>
    </row>
    <row r="17" spans="2:6" ht="18" customHeight="1" x14ac:dyDescent="0.3">
      <c r="B17" s="133" t="s">
        <v>878</v>
      </c>
      <c r="C17" s="133"/>
      <c r="D17" s="133"/>
      <c r="E17" s="133"/>
      <c r="F17" s="133"/>
    </row>
    <row r="18" spans="2:6" ht="6" customHeight="1" x14ac:dyDescent="0.3">
      <c r="B18" s="55"/>
      <c r="C18" s="55"/>
      <c r="D18" s="55"/>
      <c r="E18" s="55"/>
      <c r="F18" s="55"/>
    </row>
    <row r="19" spans="2:6" ht="15.95" customHeight="1" x14ac:dyDescent="0.3">
      <c r="B19" s="135" t="str">
        <f>IF(기초자료입력!$C$4="","○○○학교장 귀하",기초자료입력!$C$4&amp;"장 귀하")</f>
        <v>○○○학교장 귀하</v>
      </c>
      <c r="C19" s="135"/>
      <c r="D19" s="135"/>
      <c r="E19" s="135"/>
      <c r="F19" s="135"/>
    </row>
  </sheetData>
  <mergeCells count="9">
    <mergeCell ref="B15:F15"/>
    <mergeCell ref="B17:F17"/>
    <mergeCell ref="B19:F19"/>
    <mergeCell ref="B3:F4"/>
    <mergeCell ref="B6:F6"/>
    <mergeCell ref="B9:F9"/>
    <mergeCell ref="B10:F10"/>
    <mergeCell ref="B11:F11"/>
    <mergeCell ref="B12:F12"/>
  </mergeCells>
  <phoneticPr fontId="6" type="noConversion"/>
  <pageMargins left="0.39370138888888889" right="0.39370138888888889" top="0.39370138888888889" bottom="0.39370138888888889"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104775</xdr:rowOff>
                  </to>
                </anchor>
              </controlPr>
            </control>
          </mc:Choice>
        </mc:AlternateContent>
        <mc:AlternateContent xmlns:mc="http://schemas.openxmlformats.org/markup-compatibility/2006">
          <mc:Choice Requires="x14">
            <control shapeId="34818"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104775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AA12-114A-4039-AE0E-5C3033D5BFC2}">
  <sheetPr codeName="Sheet35"/>
  <dimension ref="A1:G29"/>
  <sheetViews>
    <sheetView workbookViewId="0"/>
  </sheetViews>
  <sheetFormatPr defaultRowHeight="16.5" x14ac:dyDescent="0.3"/>
  <cols>
    <col min="1" max="1" width="3.125" customWidth="1"/>
    <col min="2" max="2" width="11.625" customWidth="1"/>
    <col min="3" max="3" width="8.625" customWidth="1"/>
    <col min="4" max="4" width="12.625" customWidth="1"/>
    <col min="5" max="6" width="10.625" customWidth="1"/>
    <col min="7" max="7" width="8.625" customWidth="1"/>
  </cols>
  <sheetData>
    <row r="1" spans="1:7" ht="12" customHeight="1" x14ac:dyDescent="0.3">
      <c r="A1" s="20" t="s">
        <v>879</v>
      </c>
    </row>
    <row r="3" spans="1:7" x14ac:dyDescent="0.3">
      <c r="B3" s="104" t="s">
        <v>880</v>
      </c>
      <c r="C3" s="105"/>
      <c r="D3" s="105"/>
      <c r="E3" s="105"/>
      <c r="F3" s="105"/>
      <c r="G3" s="105"/>
    </row>
    <row r="4" spans="1:7" ht="9.9499999999999993" customHeight="1" x14ac:dyDescent="0.3">
      <c r="B4" s="49"/>
      <c r="C4" s="49"/>
      <c r="D4" s="49"/>
      <c r="E4" s="49"/>
      <c r="F4" s="49"/>
      <c r="G4" s="49"/>
    </row>
    <row r="5" spans="1:7" x14ac:dyDescent="0.3">
      <c r="B5" s="138" t="str">
        <f>"1. 건  명 : "&amp;IF(기초자료입력!C12&lt;&gt;"",기초자료입력!C12,IF(기초자료입력!C5&lt;&gt;"",기초자료입력!C5,"20○○")&amp;"학년도 "&amp;IF(기초자료입력!C4&lt;&gt;"",기초자료입력!C4,"◯◯◯◯학교")&amp;" 교복(동·하복) 학교주관 구매")</f>
        <v>1. 건  명 : 20○○학년도 ◯◯◯◯학교 교복(동·하복) 학교주관 구매</v>
      </c>
      <c r="C5" s="138"/>
      <c r="D5" s="138"/>
      <c r="E5" s="138"/>
      <c r="F5" s="138"/>
      <c r="G5" s="138"/>
    </row>
    <row r="6" spans="1:7" x14ac:dyDescent="0.3">
      <c r="B6" s="95" t="s">
        <v>881</v>
      </c>
      <c r="C6" s="95"/>
      <c r="D6" s="95"/>
      <c r="E6" s="95"/>
      <c r="F6" s="95"/>
      <c r="G6" s="95"/>
    </row>
    <row r="7" spans="1:7" x14ac:dyDescent="0.3">
      <c r="B7" s="139" t="str">
        <f>"3. 낙찰금액(동/하복 한 벌 기준) : "&amp;IF(ISNUMBER('F-043_계약체결'!$C$16),TEXT('F-043_계약체결'!$C$16,"#,##0")&amp;"원","000,000원(F-043 계약체결 낙찰단가 미입력)")</f>
        <v>3. 낙찰금액(동/하복 한 벌 기준) : 000,000원(F-043 계약체결 낙찰단가 미입력)</v>
      </c>
      <c r="C7" s="138"/>
      <c r="D7" s="138"/>
      <c r="E7" s="138"/>
      <c r="F7" s="138"/>
      <c r="G7" s="138"/>
    </row>
    <row r="8" spans="1:7" ht="9.9499999999999993" customHeight="1" x14ac:dyDescent="0.3">
      <c r="B8" s="49"/>
      <c r="C8" s="49"/>
      <c r="D8" s="49"/>
      <c r="E8" s="49"/>
      <c r="F8" s="49"/>
      <c r="G8" s="49"/>
    </row>
    <row r="9" spans="1:7" x14ac:dyDescent="0.3">
      <c r="B9" s="139" t="s">
        <v>882</v>
      </c>
      <c r="C9" s="138"/>
      <c r="D9" s="138"/>
      <c r="E9" s="138"/>
      <c r="F9" s="138"/>
      <c r="G9" s="138"/>
    </row>
    <row r="10" spans="1:7" ht="9.9499999999999993" customHeight="1" x14ac:dyDescent="0.3">
      <c r="B10" s="49"/>
      <c r="C10" s="49"/>
      <c r="D10" s="49"/>
      <c r="E10" s="49"/>
      <c r="F10" s="49"/>
      <c r="G10" s="49"/>
    </row>
    <row r="11" spans="1:7" x14ac:dyDescent="0.3">
      <c r="B11" s="26" t="s">
        <v>318</v>
      </c>
      <c r="C11" s="26" t="s">
        <v>56</v>
      </c>
      <c r="D11" s="26" t="s">
        <v>883</v>
      </c>
      <c r="E11" s="106" t="s">
        <v>884</v>
      </c>
      <c r="F11" s="106"/>
      <c r="G11" s="26" t="s">
        <v>320</v>
      </c>
    </row>
    <row r="12" spans="1:7" ht="18" customHeight="1" x14ac:dyDescent="0.3">
      <c r="B12" s="51" t="str">
        <f>IF(기초자료입력!B29&lt;&gt;"",기초자료입력!B29,"후드 점퍼")</f>
        <v>후드 점퍼</v>
      </c>
      <c r="C12" s="51">
        <v>1</v>
      </c>
      <c r="D12" s="51" t="str">
        <f>IF(SUM(기초자료입력!$D$29:$D$34)=0,"",TEXT(기초자료입력!D29/SUM(기초자료입력!$D$29:$D$34)*100,"0.0")&amp;"%")</f>
        <v/>
      </c>
      <c r="E12" s="66">
        <f>IF(OR(SUM(기초자료입력!$D$29:$D$34)=0,NOT(ISNUMBER('F-043_계약체결'!$C$16))),0,ROUNDDOWN('F-043_계약체결'!$C$16*(기초자료입력!D29/SUM(기초자료입력!$D$29:$D$34)),0))</f>
        <v>0</v>
      </c>
      <c r="F12" s="52"/>
      <c r="G12" s="52"/>
    </row>
    <row r="13" spans="1:7" ht="18" customHeight="1" x14ac:dyDescent="0.3">
      <c r="B13" s="51" t="str">
        <f>IF(기초자료입력!B30&lt;&gt;"",기초자료입력!B30,"집업티")</f>
        <v>집업티</v>
      </c>
      <c r="C13" s="51">
        <v>1</v>
      </c>
      <c r="D13" s="51" t="str">
        <f>IF(SUM(기초자료입력!$D$29:$D$34)=0,"",TEXT(기초자료입력!D30/SUM(기초자료입력!$D$29:$D$34)*100,"0.0")&amp;"%")</f>
        <v/>
      </c>
      <c r="E13" s="66">
        <f>IF(OR(SUM(기초자료입력!$D$29:$D$34)=0,NOT(ISNUMBER('F-043_계약체결'!$C$16))),0,ROUNDDOWN('F-043_계약체결'!$C$16*(기초자료입력!D30/SUM(기초자료입력!$D$29:$D$34)),0))</f>
        <v>0</v>
      </c>
      <c r="F13" s="52"/>
      <c r="G13" s="52"/>
    </row>
    <row r="14" spans="1:7" ht="18" customHeight="1" x14ac:dyDescent="0.3">
      <c r="B14" s="51" t="str">
        <f>IF(기초자료입력!B31&lt;&gt;"",기초자료입력!B31,"맨투맨티")</f>
        <v>맨투맨티</v>
      </c>
      <c r="C14" s="51">
        <v>1</v>
      </c>
      <c r="D14" s="51" t="str">
        <f>IF(SUM(기초자료입력!$D$29:$D$34)=0,"",TEXT(기초자료입력!D31/SUM(기초자료입력!$D$29:$D$34)*100,"0.0")&amp;"%")</f>
        <v/>
      </c>
      <c r="E14" s="66">
        <f>IF(OR(SUM(기초자료입력!$D$29:$D$34)=0,NOT(ISNUMBER('F-043_계약체결'!$C$16))),0,ROUNDDOWN('F-043_계약체결'!$C$16*(기초자료입력!D31/SUM(기초자료입력!$D$29:$D$34)),0))</f>
        <v>0</v>
      </c>
      <c r="F14" s="52"/>
      <c r="G14" s="52"/>
    </row>
    <row r="15" spans="1:7" ht="18" customHeight="1" x14ac:dyDescent="0.3">
      <c r="B15" s="51" t="str">
        <f>IF(기초자료입력!B32&lt;&gt;"",기초자료입력!B32,"긴바지")</f>
        <v>긴바지</v>
      </c>
      <c r="C15" s="51">
        <v>1</v>
      </c>
      <c r="D15" s="51" t="str">
        <f>IF(SUM(기초자료입력!$D$29:$D$34)=0,"",TEXT(기초자료입력!D32/SUM(기초자료입력!$D$29:$D$34)*100,"0.0")&amp;"%")</f>
        <v/>
      </c>
      <c r="E15" s="66">
        <f>IF(OR(SUM(기초자료입력!$D$29:$D$34)=0,NOT(ISNUMBER('F-043_계약체결'!$C$16))),0,ROUNDDOWN('F-043_계약체결'!$C$16*(기초자료입력!D32/SUM(기초자료입력!$D$29:$D$34)),0))</f>
        <v>0</v>
      </c>
      <c r="F15" s="52"/>
      <c r="G15" s="52"/>
    </row>
    <row r="16" spans="1:7" ht="18" customHeight="1" x14ac:dyDescent="0.3">
      <c r="B16" s="51" t="str">
        <f>IF(기초자료입력!B33&lt;&gt;"",기초자료입력!B33,"반팔티")</f>
        <v>반팔티</v>
      </c>
      <c r="C16" s="51">
        <v>1</v>
      </c>
      <c r="D16" s="51" t="str">
        <f>IF(SUM(기초자료입력!$D$29:$D$34)=0,"",TEXT(기초자료입력!D33/SUM(기초자료입력!$D$29:$D$34)*100,"0.0")&amp;"%")</f>
        <v/>
      </c>
      <c r="E16" s="66">
        <f>IF(OR(SUM(기초자료입력!$D$29:$D$34)=0,NOT(ISNUMBER('F-043_계약체결'!$C$16))),0,ROUNDDOWN('F-043_계약체결'!$C$16*(기초자료입력!D33/SUM(기초자료입력!$D$29:$D$34)),0))</f>
        <v>0</v>
      </c>
      <c r="F16" s="52"/>
      <c r="G16" s="52"/>
    </row>
    <row r="17" spans="2:7" ht="18" customHeight="1" x14ac:dyDescent="0.3">
      <c r="B17" s="51" t="str">
        <f>IF(기초자료입력!B34&lt;&gt;"",기초자료입력!B34,"반바지")</f>
        <v>반바지</v>
      </c>
      <c r="C17" s="51">
        <v>1</v>
      </c>
      <c r="D17" s="51" t="str">
        <f>IF(SUM(기초자료입력!$D$29:$D$34)=0,"",TEXT(기초자료입력!D34/SUM(기초자료입력!$D$29:$D$34)*100,"0.0")&amp;"%")</f>
        <v/>
      </c>
      <c r="E17" s="66">
        <f>IF(OR(SUM(기초자료입력!$D$29:$D$34)=0,NOT(ISNUMBER('F-043_계약체결'!$C$16))),0,ROUNDDOWN('F-043_계약체결'!$C$16*(기초자료입력!D34/SUM(기초자료입력!$D$29:$D$34)),0))</f>
        <v>0</v>
      </c>
      <c r="F17" s="52"/>
      <c r="G17" s="52"/>
    </row>
    <row r="18" spans="2:7" ht="18" customHeight="1" x14ac:dyDescent="0.3">
      <c r="B18" s="26" t="s">
        <v>299</v>
      </c>
      <c r="C18" s="51">
        <f>SUM(C12:C17)</f>
        <v>6</v>
      </c>
      <c r="D18" s="26" t="str">
        <f>"100%"</f>
        <v>100%</v>
      </c>
      <c r="E18" s="140">
        <f>SUM(E12:E17)</f>
        <v>0</v>
      </c>
      <c r="F18" s="126"/>
      <c r="G18" s="52" t="s">
        <v>885</v>
      </c>
    </row>
    <row r="19" spans="2:7" ht="9.9499999999999993" customHeight="1" x14ac:dyDescent="0.3">
      <c r="B19" s="49"/>
      <c r="C19" s="49"/>
      <c r="D19" s="49"/>
      <c r="E19" s="49"/>
      <c r="F19" s="49"/>
      <c r="G19" s="49"/>
    </row>
    <row r="20" spans="2:7" ht="30" customHeight="1" x14ac:dyDescent="0.3">
      <c r="B20" s="95" t="s">
        <v>886</v>
      </c>
      <c r="C20" s="95"/>
      <c r="D20" s="95"/>
      <c r="E20" s="95"/>
      <c r="F20" s="95"/>
      <c r="G20" s="95"/>
    </row>
    <row r="21" spans="2:7" ht="0.95" customHeight="1" x14ac:dyDescent="0.3">
      <c r="B21" s="95"/>
      <c r="C21" s="95"/>
      <c r="D21" s="95"/>
      <c r="E21" s="95"/>
      <c r="F21" s="95"/>
      <c r="G21" s="95"/>
    </row>
    <row r="22" spans="2:7" ht="9.9499999999999993" customHeight="1" x14ac:dyDescent="0.3">
      <c r="B22" s="49"/>
      <c r="C22" s="49"/>
      <c r="D22" s="49"/>
      <c r="E22" s="49"/>
      <c r="F22" s="49"/>
      <c r="G22" s="49"/>
    </row>
    <row r="23" spans="2:7" x14ac:dyDescent="0.3">
      <c r="B23" s="105" t="s">
        <v>887</v>
      </c>
      <c r="C23" s="105"/>
      <c r="D23" s="105"/>
      <c r="E23" s="105"/>
      <c r="F23" s="105"/>
      <c r="G23" s="105"/>
    </row>
    <row r="24" spans="2:7" ht="9.9499999999999993" customHeight="1" x14ac:dyDescent="0.3">
      <c r="B24" s="49"/>
      <c r="C24" s="49"/>
      <c r="D24" s="49"/>
      <c r="E24" s="49"/>
      <c r="F24" s="49"/>
      <c r="G24" s="49"/>
    </row>
    <row r="25" spans="2:7" x14ac:dyDescent="0.3">
      <c r="B25" s="138" t="s">
        <v>888</v>
      </c>
      <c r="C25" s="138"/>
      <c r="D25" s="138"/>
      <c r="E25" s="138"/>
      <c r="F25" s="138"/>
      <c r="G25" s="138"/>
    </row>
    <row r="26" spans="2:7" ht="9.9499999999999993" customHeight="1" x14ac:dyDescent="0.3">
      <c r="B26" s="49"/>
      <c r="C26" s="49"/>
      <c r="D26" s="49"/>
      <c r="E26" s="49"/>
      <c r="F26" s="49"/>
      <c r="G26" s="49"/>
    </row>
    <row r="27" spans="2:7" x14ac:dyDescent="0.3">
      <c r="B27" s="105" t="str">
        <f>IF(기초자료입력!$C$4="","◯◯◯◯학교장 귀하",기초자료입력!$C$4&amp;"장 귀하")</f>
        <v>◯◯◯◯학교장 귀하</v>
      </c>
      <c r="C27" s="105"/>
      <c r="D27" s="105"/>
      <c r="E27" s="105"/>
      <c r="F27" s="105"/>
      <c r="G27" s="105"/>
    </row>
    <row r="28" spans="2:7" ht="9.9499999999999993" customHeight="1" x14ac:dyDescent="0.3">
      <c r="B28" s="49"/>
      <c r="C28" s="49"/>
      <c r="D28" s="49"/>
      <c r="E28" s="49"/>
      <c r="F28" s="49"/>
      <c r="G28" s="49"/>
    </row>
    <row r="29" spans="2:7" x14ac:dyDescent="0.3">
      <c r="B29" s="138" t="s">
        <v>889</v>
      </c>
      <c r="C29" s="138"/>
      <c r="D29" s="138"/>
      <c r="E29" s="138"/>
      <c r="F29" s="138"/>
      <c r="G29" s="138"/>
    </row>
  </sheetData>
  <mergeCells count="12">
    <mergeCell ref="B29:G29"/>
    <mergeCell ref="B3:G3"/>
    <mergeCell ref="B5:G5"/>
    <mergeCell ref="B6:G6"/>
    <mergeCell ref="B7:G7"/>
    <mergeCell ref="B9:G9"/>
    <mergeCell ref="E11:F11"/>
    <mergeCell ref="E18:F18"/>
    <mergeCell ref="B20:G21"/>
    <mergeCell ref="B23:G23"/>
    <mergeCell ref="B25:G25"/>
    <mergeCell ref="B27:G27"/>
  </mergeCells>
  <phoneticPr fontId="6" type="noConversion"/>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76200</xdr:rowOff>
                  </to>
                </anchor>
              </controlPr>
            </control>
          </mc:Choice>
        </mc:AlternateContent>
        <mc:AlternateContent xmlns:mc="http://schemas.openxmlformats.org/markup-compatibility/2006">
          <mc:Choice Requires="x14">
            <control shapeId="35842"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76200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93F47-7297-4FDE-B836-91742537139B}">
  <sheetPr codeName="Sheet36"/>
  <dimension ref="A1:H36"/>
  <sheetViews>
    <sheetView workbookViewId="0"/>
  </sheetViews>
  <sheetFormatPr defaultRowHeight="16.5" x14ac:dyDescent="0.3"/>
  <cols>
    <col min="1" max="1" width="3.125" customWidth="1"/>
    <col min="2" max="2" width="11.625" customWidth="1"/>
    <col min="3" max="3" width="14.625" customWidth="1"/>
    <col min="4" max="4" width="13.625" customWidth="1"/>
    <col min="5" max="5" width="10.625" customWidth="1"/>
    <col min="6" max="8" width="8.625" customWidth="1"/>
  </cols>
  <sheetData>
    <row r="1" spans="1:8" x14ac:dyDescent="0.3">
      <c r="A1" s="20" t="s">
        <v>890</v>
      </c>
    </row>
    <row r="3" spans="1:8" x14ac:dyDescent="0.3">
      <c r="B3" s="83" t="str">
        <f>IF(기초자료입력!C4&lt;&gt;"",기초자료입력!C4,"○○학교")&amp;" 교복구매 제안서 접수 결과"</f>
        <v>○○학교 교복구매 제안서 접수 결과</v>
      </c>
      <c r="C3" s="84"/>
      <c r="D3" s="84"/>
      <c r="E3" s="84"/>
      <c r="F3" s="84"/>
      <c r="G3" s="84"/>
      <c r="H3" s="84"/>
    </row>
    <row r="4" spans="1:8" x14ac:dyDescent="0.3">
      <c r="B4" s="84"/>
      <c r="C4" s="84"/>
      <c r="D4" s="84"/>
      <c r="E4" s="84"/>
      <c r="F4" s="84"/>
      <c r="G4" s="84"/>
      <c r="H4" s="84"/>
    </row>
    <row r="5" spans="1:8" x14ac:dyDescent="0.3">
      <c r="B5" s="54" t="s">
        <v>26</v>
      </c>
      <c r="C5" s="37" t="str">
        <f>IF(기초자료입력!C9&lt;&gt;"",기초자료입력!C9,"")</f>
        <v/>
      </c>
      <c r="D5" s="37"/>
      <c r="E5" s="54" t="s">
        <v>293</v>
      </c>
      <c r="F5" s="37" t="str">
        <f>IF(기초자료입력!C8&lt;&gt;"",TEXT(기초자료입력!C8,"yyyy-mm-dd"),"")</f>
        <v/>
      </c>
      <c r="G5" s="37"/>
      <c r="H5" s="37"/>
    </row>
    <row r="6" spans="1:8" x14ac:dyDescent="0.3">
      <c r="B6" s="37"/>
      <c r="C6" s="37"/>
      <c r="D6" s="37"/>
      <c r="E6" s="37"/>
      <c r="F6" s="37"/>
      <c r="G6" s="37"/>
      <c r="H6" s="37"/>
    </row>
    <row r="7" spans="1:8" x14ac:dyDescent="0.3">
      <c r="B7" s="54" t="s">
        <v>294</v>
      </c>
      <c r="C7" s="82" t="s">
        <v>514</v>
      </c>
      <c r="D7" s="82"/>
      <c r="E7" s="82"/>
      <c r="F7" s="82"/>
      <c r="G7" s="82"/>
      <c r="H7" s="82"/>
    </row>
    <row r="8" spans="1:8" x14ac:dyDescent="0.3">
      <c r="B8" s="54" t="s">
        <v>301</v>
      </c>
      <c r="C8" s="82"/>
      <c r="D8" s="82"/>
      <c r="E8" s="82"/>
      <c r="F8" s="82"/>
      <c r="G8" s="82"/>
      <c r="H8" s="82"/>
    </row>
    <row r="9" spans="1:8" x14ac:dyDescent="0.3">
      <c r="B9" s="54" t="s">
        <v>295</v>
      </c>
      <c r="C9" s="85" t="str">
        <f>IF(기초자료입력!C22&lt;&gt;"",기초자료입력!C22,IF(기초자료입력!C5&lt;&gt;"",기초자료입력!C5,"20○○")&amp;"학년도 교복 학교주관구매 제안서 접수 결과 보고")</f>
        <v>20○○학년도 교복 학교주관구매 제안서 접수 결과 보고</v>
      </c>
      <c r="D9" s="82"/>
      <c r="E9" s="82"/>
      <c r="F9" s="82"/>
      <c r="G9" s="82"/>
      <c r="H9" s="82"/>
    </row>
    <row r="10" spans="1:8" x14ac:dyDescent="0.3">
      <c r="B10" s="38"/>
      <c r="C10" s="38"/>
      <c r="D10" s="38"/>
      <c r="E10" s="38"/>
      <c r="F10" s="38"/>
      <c r="G10" s="38"/>
      <c r="H10" s="38"/>
    </row>
    <row r="11" spans="1:8" x14ac:dyDescent="0.3">
      <c r="B11" s="90" t="str">
        <f>"1. "&amp;IF(기초자료입력!C23&lt;&gt;"",기초자료입력!C23,"관련 문서를 확인하십시오.")</f>
        <v>1. 관련 문서를 확인하십시오.</v>
      </c>
      <c r="C11" s="89"/>
      <c r="D11" s="89"/>
      <c r="E11" s="89"/>
      <c r="F11" s="89"/>
      <c r="G11" s="89"/>
      <c r="H11" s="89"/>
    </row>
    <row r="12" spans="1:8" x14ac:dyDescent="0.3">
      <c r="B12" s="38"/>
      <c r="C12" s="38"/>
      <c r="D12" s="38"/>
      <c r="E12" s="38"/>
      <c r="F12" s="38"/>
      <c r="G12" s="38"/>
      <c r="H12" s="38"/>
    </row>
    <row r="13" spans="1:8" ht="32.1" customHeight="1" x14ac:dyDescent="0.3">
      <c r="B13" s="100" t="str">
        <f>"2. "&amp;IF(기초자료입력!C5&lt;&gt;"",기초자료입력!C5,"20○○")&amp;"학년도 "&amp;IF(기초자료입력!C12&lt;&gt;"",기초자료입력!C12,"교복 학교주관구매")&amp;" 2단계 입찰(규격·가격 동시) 공고와 관련하여 제안서 접수 결과를 아래와 같이 보고합니다."</f>
        <v>2. 20○○학년도 교복 학교주관구매 2단계 입찰(규격·가격 동시) 공고와 관련하여 제안서 접수 결과를 아래와 같이 보고합니다.</v>
      </c>
      <c r="C13" s="100"/>
      <c r="D13" s="100"/>
      <c r="E13" s="100"/>
      <c r="F13" s="100"/>
      <c r="G13" s="100"/>
      <c r="H13" s="100"/>
    </row>
    <row r="14" spans="1:8" x14ac:dyDescent="0.3">
      <c r="B14" s="100"/>
      <c r="C14" s="100"/>
      <c r="D14" s="100"/>
      <c r="E14" s="100"/>
      <c r="F14" s="100"/>
      <c r="G14" s="100"/>
      <c r="H14" s="100"/>
    </row>
    <row r="15" spans="1:8" x14ac:dyDescent="0.3">
      <c r="B15" s="38"/>
      <c r="C15" s="38"/>
      <c r="D15" s="38"/>
      <c r="E15" s="38"/>
      <c r="F15" s="38"/>
      <c r="G15" s="38"/>
      <c r="H15" s="38"/>
    </row>
    <row r="16" spans="1:8" x14ac:dyDescent="0.3">
      <c r="B16" s="90" t="s">
        <v>891</v>
      </c>
      <c r="C16" s="89"/>
      <c r="D16" s="89"/>
      <c r="E16" s="89"/>
      <c r="F16" s="89"/>
      <c r="G16" s="89"/>
      <c r="H16" s="89"/>
    </row>
    <row r="17" spans="2:8" x14ac:dyDescent="0.3">
      <c r="B17" s="110" t="s">
        <v>892</v>
      </c>
      <c r="C17" s="110" t="s">
        <v>893</v>
      </c>
      <c r="D17" s="110" t="s">
        <v>894</v>
      </c>
      <c r="E17" s="110"/>
      <c r="F17" s="38"/>
      <c r="G17" s="38"/>
      <c r="H17" s="38"/>
    </row>
    <row r="18" spans="2:8" x14ac:dyDescent="0.3">
      <c r="B18" s="110"/>
      <c r="C18" s="110"/>
      <c r="D18" s="61" t="s">
        <v>61</v>
      </c>
      <c r="E18" s="61" t="s">
        <v>386</v>
      </c>
      <c r="F18" s="38"/>
      <c r="G18" s="38"/>
      <c r="H18" s="38"/>
    </row>
    <row r="19" spans="2:8" x14ac:dyDescent="0.3">
      <c r="B19" s="29" t="str">
        <f>IF(기초자료입력!B44&lt;&gt;"",1,"")</f>
        <v/>
      </c>
      <c r="C19" s="67"/>
      <c r="D19" s="29" t="str">
        <f>IF(기초자료입력!B44&lt;&gt;"",기초자료입력!B44,"")</f>
        <v/>
      </c>
      <c r="E19" s="67"/>
      <c r="F19" s="38"/>
      <c r="G19" s="38"/>
      <c r="H19" s="38"/>
    </row>
    <row r="20" spans="2:8" x14ac:dyDescent="0.3">
      <c r="B20" s="29" t="str">
        <f>IF(기초자료입력!B45&lt;&gt;"",2,"")</f>
        <v/>
      </c>
      <c r="C20" s="67"/>
      <c r="D20" s="29" t="str">
        <f>IF(기초자료입력!B45&lt;&gt;"",기초자료입력!B45,"")</f>
        <v/>
      </c>
      <c r="E20" s="67"/>
      <c r="F20" s="38"/>
      <c r="G20" s="38"/>
      <c r="H20" s="38"/>
    </row>
    <row r="21" spans="2:8" x14ac:dyDescent="0.3">
      <c r="B21" s="29" t="str">
        <f>IF(기초자료입력!B46&lt;&gt;"",3,"")</f>
        <v/>
      </c>
      <c r="C21" s="67"/>
      <c r="D21" s="29" t="str">
        <f>IF(기초자료입력!B46&lt;&gt;"",기초자료입력!B46,"")</f>
        <v/>
      </c>
      <c r="E21" s="67"/>
      <c r="F21" s="38"/>
      <c r="G21" s="38"/>
      <c r="H21" s="38"/>
    </row>
    <row r="22" spans="2:8" x14ac:dyDescent="0.3">
      <c r="B22" s="29" t="str">
        <f>IF(기초자료입력!B47&lt;&gt;"",4,"")</f>
        <v/>
      </c>
      <c r="C22" s="67"/>
      <c r="D22" s="29" t="str">
        <f>IF(기초자료입력!B47&lt;&gt;"",기초자료입력!B47,"")</f>
        <v/>
      </c>
      <c r="E22" s="67"/>
      <c r="F22" s="38"/>
      <c r="G22" s="38"/>
      <c r="H22" s="38"/>
    </row>
    <row r="23" spans="2:8" x14ac:dyDescent="0.3">
      <c r="B23" s="29" t="str">
        <f>IF(기초자료입력!B48&lt;&gt;"",5,"")</f>
        <v/>
      </c>
      <c r="C23" s="67"/>
      <c r="D23" s="29" t="str">
        <f>IF(기초자료입력!B48&lt;&gt;"",기초자료입력!B48,"")</f>
        <v/>
      </c>
      <c r="E23" s="67"/>
      <c r="F23" s="38"/>
      <c r="G23" s="38"/>
      <c r="H23" s="38"/>
    </row>
    <row r="24" spans="2:8" x14ac:dyDescent="0.3">
      <c r="B24" s="29" t="str">
        <f>IF(기초자료입력!B49&lt;&gt;"",6,"")</f>
        <v/>
      </c>
      <c r="C24" s="67"/>
      <c r="D24" s="29" t="str">
        <f>IF(기초자료입력!B49&lt;&gt;"",기초자료입력!B49,"")</f>
        <v/>
      </c>
      <c r="E24" s="67"/>
      <c r="F24" s="38"/>
      <c r="G24" s="38"/>
      <c r="H24" s="38"/>
    </row>
    <row r="25" spans="2:8" x14ac:dyDescent="0.3">
      <c r="B25" s="29" t="str">
        <f>IF(기초자료입력!B50&lt;&gt;"",7,"")</f>
        <v/>
      </c>
      <c r="C25" s="67"/>
      <c r="D25" s="29" t="str">
        <f>IF(기초자료입력!B50&lt;&gt;"",기초자료입력!B50,"")</f>
        <v/>
      </c>
      <c r="E25" s="67"/>
      <c r="F25" s="38"/>
      <c r="G25" s="38"/>
      <c r="H25" s="38"/>
    </row>
    <row r="26" spans="2:8" x14ac:dyDescent="0.3">
      <c r="B26" s="29" t="str">
        <f>IF(기초자료입력!B51&lt;&gt;"",8,"")</f>
        <v/>
      </c>
      <c r="C26" s="67"/>
      <c r="D26" s="29" t="str">
        <f>IF(기초자료입력!B51&lt;&gt;"",기초자료입력!B51,"")</f>
        <v/>
      </c>
      <c r="E26" s="67"/>
      <c r="F26" s="38"/>
      <c r="G26" s="38"/>
      <c r="H26" s="38"/>
    </row>
    <row r="27" spans="2:8" x14ac:dyDescent="0.3">
      <c r="B27" s="29" t="str">
        <f>IF(기초자료입력!B52&lt;&gt;"",9,"")</f>
        <v/>
      </c>
      <c r="C27" s="67"/>
      <c r="D27" s="29" t="str">
        <f>IF(기초자료입력!B52&lt;&gt;"",기초자료입력!B52,"")</f>
        <v/>
      </c>
      <c r="E27" s="67"/>
      <c r="F27" s="38"/>
      <c r="G27" s="38"/>
      <c r="H27" s="38"/>
    </row>
    <row r="28" spans="2:8" x14ac:dyDescent="0.3">
      <c r="B28" s="29" t="str">
        <f>IF(기초자료입력!B53&lt;&gt;"",10,"")</f>
        <v/>
      </c>
      <c r="C28" s="67"/>
      <c r="D28" s="29" t="str">
        <f>IF(기초자료입력!B53&lt;&gt;"",기초자료입력!B53,"")</f>
        <v/>
      </c>
      <c r="E28" s="67"/>
      <c r="F28" s="38"/>
      <c r="G28" s="38"/>
      <c r="H28" s="38"/>
    </row>
    <row r="29" spans="2:8" x14ac:dyDescent="0.3">
      <c r="B29" s="38"/>
      <c r="C29" s="38"/>
      <c r="D29" s="38"/>
      <c r="E29" s="38"/>
      <c r="F29" s="38"/>
      <c r="G29" s="38"/>
      <c r="H29" s="38"/>
    </row>
    <row r="30" spans="2:8" x14ac:dyDescent="0.3">
      <c r="B30" s="89" t="str">
        <f>"붙임  "&amp;IF(기초자료입력!C5&lt;&gt;"",기초자료입력!C5,"20○○")&amp;"학년도 교복 학교주관구매 제안서 접수대장 1부.  끝."</f>
        <v>붙임  20○○학년도 교복 학교주관구매 제안서 접수대장 1부.  끝.</v>
      </c>
      <c r="C30" s="89"/>
      <c r="D30" s="89"/>
      <c r="E30" s="89"/>
      <c r="F30" s="89"/>
      <c r="G30" s="89"/>
      <c r="H30" s="89"/>
    </row>
    <row r="31" spans="2:8" x14ac:dyDescent="0.3">
      <c r="B31" s="38"/>
      <c r="C31" s="38"/>
      <c r="D31" s="38"/>
      <c r="E31" s="38"/>
      <c r="F31" s="38"/>
      <c r="G31" s="38"/>
      <c r="H31" s="38"/>
    </row>
    <row r="32" spans="2:8" x14ac:dyDescent="0.3">
      <c r="B32" s="38"/>
      <c r="C32" s="38"/>
      <c r="D32" s="38"/>
      <c r="E32" s="38"/>
      <c r="F32" s="38"/>
      <c r="G32" s="38"/>
      <c r="H32" s="38"/>
    </row>
    <row r="33" spans="2:8" x14ac:dyDescent="0.3">
      <c r="B33" s="38"/>
      <c r="C33" s="38"/>
      <c r="D33" s="38"/>
      <c r="E33" s="38"/>
      <c r="F33" s="54" t="s">
        <v>297</v>
      </c>
      <c r="G33" s="54" t="s">
        <v>308</v>
      </c>
      <c r="H33" s="54" t="s">
        <v>298</v>
      </c>
    </row>
    <row r="34" spans="2:8" x14ac:dyDescent="0.3">
      <c r="B34" s="53" t="s">
        <v>309</v>
      </c>
      <c r="C34" s="89" t="str">
        <f>IF(기초자료입력!C9&lt;&gt;"",기초자료입력!C9,"")</f>
        <v/>
      </c>
      <c r="D34" s="89"/>
      <c r="E34" s="89"/>
      <c r="F34" s="54" t="s">
        <v>310</v>
      </c>
      <c r="G34" s="82"/>
      <c r="H34" s="82"/>
    </row>
    <row r="35" spans="2:8" x14ac:dyDescent="0.3">
      <c r="B35" s="53" t="s">
        <v>311</v>
      </c>
      <c r="C35" s="38"/>
      <c r="D35" s="53" t="s">
        <v>312</v>
      </c>
      <c r="E35" s="89"/>
      <c r="F35" s="82"/>
      <c r="G35" s="82"/>
      <c r="H35" s="82"/>
    </row>
    <row r="36" spans="2:8" x14ac:dyDescent="0.3">
      <c r="B36" s="53" t="s">
        <v>313</v>
      </c>
      <c r="C36" s="38"/>
      <c r="D36" s="53" t="s">
        <v>314</v>
      </c>
      <c r="E36" s="38"/>
      <c r="F36" s="54" t="s">
        <v>315</v>
      </c>
      <c r="G36" s="82"/>
      <c r="H36" s="82"/>
    </row>
  </sheetData>
  <mergeCells count="15">
    <mergeCell ref="E35:H35"/>
    <mergeCell ref="G36:H36"/>
    <mergeCell ref="B16:H16"/>
    <mergeCell ref="D17:E17"/>
    <mergeCell ref="B17:B18"/>
    <mergeCell ref="C17:C18"/>
    <mergeCell ref="B30:H30"/>
    <mergeCell ref="C34:E34"/>
    <mergeCell ref="G34:H34"/>
    <mergeCell ref="B13:H14"/>
    <mergeCell ref="B3:H4"/>
    <mergeCell ref="C7:H7"/>
    <mergeCell ref="C8:H8"/>
    <mergeCell ref="C9:H9"/>
    <mergeCell ref="B11:H11"/>
  </mergeCells>
  <phoneticPr fontId="6" type="noConversion"/>
  <pageMargins left="0.29527604166666666" right="0.29527604166666666"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36866"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0E257-E32B-4ECF-8124-888A52638638}">
  <sheetPr codeName="Sheet37"/>
  <dimension ref="A1:Q21"/>
  <sheetViews>
    <sheetView workbookViewId="0"/>
  </sheetViews>
  <sheetFormatPr defaultRowHeight="16.5" x14ac:dyDescent="0.3"/>
  <cols>
    <col min="1" max="1" width="3.125" customWidth="1"/>
    <col min="2" max="3" width="8.625" customWidth="1"/>
    <col min="4" max="4" width="16.625" customWidth="1"/>
    <col min="5" max="12" width="8.625" customWidth="1"/>
  </cols>
  <sheetData>
    <row r="1" spans="1:17" x14ac:dyDescent="0.3">
      <c r="A1" s="20" t="s">
        <v>895</v>
      </c>
    </row>
    <row r="3" spans="1:17" x14ac:dyDescent="0.3">
      <c r="B3" s="115" t="str">
        <f>IF(기초자료입력!C5&lt;&gt;"",기초자료입력!C5,"20○○")&amp;"학년도 교복 학교주관구매 제안서 접수대장"</f>
        <v>20○○학년도 교복 학교주관구매 제안서 접수대장</v>
      </c>
      <c r="C3" s="109"/>
      <c r="D3" s="109"/>
      <c r="E3" s="109"/>
      <c r="F3" s="109"/>
      <c r="G3" s="109"/>
      <c r="H3" s="109"/>
      <c r="I3" s="109"/>
      <c r="J3" s="109"/>
      <c r="K3" s="109"/>
      <c r="L3" s="109"/>
    </row>
    <row r="4" spans="1:17" x14ac:dyDescent="0.3">
      <c r="B4" s="109" t="str">
        <f>IF(기초자료입력!C4&lt;&gt;"",기초자료입력!C4,"○○학교")</f>
        <v>○○학교</v>
      </c>
      <c r="C4" s="109"/>
      <c r="D4" s="109"/>
      <c r="E4" s="109"/>
      <c r="F4" s="109"/>
      <c r="G4" s="109"/>
      <c r="H4" s="109"/>
      <c r="I4" s="109"/>
      <c r="J4" s="109"/>
      <c r="K4" s="109"/>
      <c r="L4" s="109"/>
    </row>
    <row r="5" spans="1:17" x14ac:dyDescent="0.3">
      <c r="B5" s="38"/>
      <c r="C5" s="38"/>
      <c r="D5" s="38"/>
      <c r="E5" s="38"/>
      <c r="F5" s="38"/>
      <c r="G5" s="38"/>
      <c r="H5" s="38"/>
      <c r="I5" s="38"/>
      <c r="J5" s="38"/>
      <c r="K5" s="38"/>
      <c r="L5" s="38"/>
    </row>
    <row r="6" spans="1:17" ht="30" customHeight="1" x14ac:dyDescent="0.3">
      <c r="B6" s="141" t="s">
        <v>896</v>
      </c>
      <c r="C6" s="141" t="s">
        <v>897</v>
      </c>
      <c r="D6" s="141" t="s">
        <v>898</v>
      </c>
      <c r="E6" s="141"/>
      <c r="F6" s="141"/>
      <c r="G6" s="141" t="s">
        <v>899</v>
      </c>
      <c r="H6" s="141"/>
      <c r="I6" s="141"/>
      <c r="J6" s="141" t="s">
        <v>900</v>
      </c>
      <c r="K6" s="141"/>
      <c r="L6" s="141" t="s">
        <v>320</v>
      </c>
    </row>
    <row r="7" spans="1:17" ht="30" customHeight="1" x14ac:dyDescent="0.3">
      <c r="B7" s="141"/>
      <c r="C7" s="141"/>
      <c r="D7" s="68" t="s">
        <v>61</v>
      </c>
      <c r="E7" s="68" t="s">
        <v>386</v>
      </c>
      <c r="F7" s="68" t="s">
        <v>313</v>
      </c>
      <c r="G7" s="68" t="s">
        <v>901</v>
      </c>
      <c r="H7" s="68" t="s">
        <v>902</v>
      </c>
      <c r="I7" s="68" t="s">
        <v>624</v>
      </c>
      <c r="J7" s="68" t="s">
        <v>903</v>
      </c>
      <c r="K7" s="68" t="s">
        <v>901</v>
      </c>
      <c r="L7" s="141"/>
      <c r="M7" t="s">
        <v>313</v>
      </c>
      <c r="N7" s="27" t="s">
        <v>901</v>
      </c>
      <c r="O7" t="s">
        <v>902</v>
      </c>
      <c r="P7" t="s">
        <v>904</v>
      </c>
      <c r="Q7" t="s">
        <v>905</v>
      </c>
    </row>
    <row r="8" spans="1:17" x14ac:dyDescent="0.3">
      <c r="B8" s="69"/>
      <c r="C8" s="70" t="str">
        <f>IF(기초자료입력!B44&lt;&gt;"",1,"")</f>
        <v/>
      </c>
      <c r="D8" s="70" t="str">
        <f>IF(기초자료입력!B44&lt;&gt;"",기초자료입력!B44,"")</f>
        <v/>
      </c>
      <c r="E8" s="69"/>
      <c r="F8" s="69"/>
      <c r="G8" s="69"/>
      <c r="H8" s="69"/>
      <c r="I8" s="69"/>
      <c r="J8" s="69"/>
      <c r="K8" s="69"/>
      <c r="L8" s="69"/>
    </row>
    <row r="9" spans="1:17" x14ac:dyDescent="0.3">
      <c r="B9" s="69"/>
      <c r="C9" s="70" t="str">
        <f>IF(기초자료입력!B45&lt;&gt;"",2,"")</f>
        <v/>
      </c>
      <c r="D9" s="70" t="str">
        <f>IF(기초자료입력!B45&lt;&gt;"",기초자료입력!B45,"")</f>
        <v/>
      </c>
      <c r="E9" s="69"/>
      <c r="F9" s="69"/>
      <c r="G9" s="69"/>
      <c r="H9" s="69"/>
      <c r="I9" s="69"/>
      <c r="J9" s="69"/>
      <c r="K9" s="69"/>
      <c r="L9" s="69"/>
    </row>
    <row r="10" spans="1:17" x14ac:dyDescent="0.3">
      <c r="B10" s="69"/>
      <c r="C10" s="70" t="str">
        <f>IF(기초자료입력!B46&lt;&gt;"",3,"")</f>
        <v/>
      </c>
      <c r="D10" s="70" t="str">
        <f>IF(기초자료입력!B46&lt;&gt;"",기초자료입력!B46,"")</f>
        <v/>
      </c>
      <c r="E10" s="69"/>
      <c r="F10" s="69"/>
      <c r="G10" s="69"/>
      <c r="H10" s="69"/>
      <c r="I10" s="69"/>
      <c r="J10" s="69"/>
      <c r="K10" s="69"/>
      <c r="L10" s="69"/>
    </row>
    <row r="11" spans="1:17" x14ac:dyDescent="0.3">
      <c r="B11" s="69"/>
      <c r="C11" s="70" t="str">
        <f>IF(기초자료입력!B47&lt;&gt;"",4,"")</f>
        <v/>
      </c>
      <c r="D11" s="70" t="str">
        <f>IF(기초자료입력!B47&lt;&gt;"",기초자료입력!B47,"")</f>
        <v/>
      </c>
      <c r="E11" s="69"/>
      <c r="F11" s="69"/>
      <c r="G11" s="69"/>
      <c r="H11" s="69"/>
      <c r="I11" s="69"/>
      <c r="J11" s="69"/>
      <c r="K11" s="69"/>
      <c r="L11" s="69"/>
    </row>
    <row r="12" spans="1:17" x14ac:dyDescent="0.3">
      <c r="B12" s="69"/>
      <c r="C12" s="70" t="str">
        <f>IF(기초자료입력!B48&lt;&gt;"",5,"")</f>
        <v/>
      </c>
      <c r="D12" s="70" t="str">
        <f>IF(기초자료입력!B48&lt;&gt;"",기초자료입력!B48,"")</f>
        <v/>
      </c>
      <c r="E12" s="69"/>
      <c r="F12" s="69"/>
      <c r="G12" s="69"/>
      <c r="H12" s="69"/>
      <c r="I12" s="69"/>
      <c r="J12" s="69"/>
      <c r="K12" s="69"/>
      <c r="L12" s="69"/>
    </row>
    <row r="13" spans="1:17" x14ac:dyDescent="0.3">
      <c r="B13" s="69"/>
      <c r="C13" s="70" t="str">
        <f>IF(기초자료입력!B49&lt;&gt;"",6,"")</f>
        <v/>
      </c>
      <c r="D13" s="70" t="str">
        <f>IF(기초자료입력!B49&lt;&gt;"",기초자료입력!B49,"")</f>
        <v/>
      </c>
      <c r="E13" s="69"/>
      <c r="F13" s="69"/>
      <c r="G13" s="69"/>
      <c r="H13" s="69"/>
      <c r="I13" s="69"/>
      <c r="J13" s="69"/>
      <c r="K13" s="69"/>
      <c r="L13" s="69"/>
    </row>
    <row r="14" spans="1:17" x14ac:dyDescent="0.3">
      <c r="B14" s="69"/>
      <c r="C14" s="70" t="str">
        <f>IF(기초자료입력!B50&lt;&gt;"",7,"")</f>
        <v/>
      </c>
      <c r="D14" s="70" t="str">
        <f>IF(기초자료입력!B50&lt;&gt;"",기초자료입력!B50,"")</f>
        <v/>
      </c>
      <c r="E14" s="69"/>
      <c r="F14" s="69"/>
      <c r="G14" s="69"/>
      <c r="H14" s="69"/>
      <c r="I14" s="69"/>
      <c r="J14" s="69"/>
      <c r="K14" s="69"/>
      <c r="L14" s="69"/>
    </row>
    <row r="15" spans="1:17" x14ac:dyDescent="0.3">
      <c r="B15" s="69"/>
      <c r="C15" s="70" t="str">
        <f>IF(기초자료입력!B51&lt;&gt;"",8,"")</f>
        <v/>
      </c>
      <c r="D15" s="70" t="str">
        <f>IF(기초자료입력!B51&lt;&gt;"",기초자료입력!B51,"")</f>
        <v/>
      </c>
      <c r="E15" s="69"/>
      <c r="F15" s="69"/>
      <c r="G15" s="69"/>
      <c r="H15" s="69"/>
      <c r="I15" s="69"/>
      <c r="J15" s="69"/>
      <c r="K15" s="69"/>
      <c r="L15" s="69"/>
    </row>
    <row r="16" spans="1:17" x14ac:dyDescent="0.3">
      <c r="B16" s="69"/>
      <c r="C16" s="70" t="str">
        <f>IF(기초자료입력!B52&lt;&gt;"",9,"")</f>
        <v/>
      </c>
      <c r="D16" s="70" t="str">
        <f>IF(기초자료입력!B52&lt;&gt;"",기초자료입력!B52,"")</f>
        <v/>
      </c>
      <c r="E16" s="69"/>
      <c r="F16" s="69"/>
      <c r="G16" s="69"/>
      <c r="H16" s="69"/>
      <c r="I16" s="69"/>
      <c r="J16" s="69"/>
      <c r="K16" s="69"/>
      <c r="L16" s="69"/>
    </row>
    <row r="17" spans="2:12" x14ac:dyDescent="0.3">
      <c r="B17" s="69"/>
      <c r="C17" s="70" t="str">
        <f>IF(기초자료입력!B53&lt;&gt;"",10,"")</f>
        <v/>
      </c>
      <c r="D17" s="70" t="str">
        <f>IF(기초자료입력!B53&lt;&gt;"",기초자료입력!B53,"")</f>
        <v/>
      </c>
      <c r="E17" s="69"/>
      <c r="F17" s="69"/>
      <c r="G17" s="69"/>
      <c r="H17" s="69"/>
      <c r="I17" s="69"/>
      <c r="J17" s="69"/>
      <c r="K17" s="69"/>
      <c r="L17" s="69"/>
    </row>
    <row r="18" spans="2:12" x14ac:dyDescent="0.3">
      <c r="B18" s="38"/>
      <c r="C18" s="38"/>
      <c r="D18" s="38"/>
      <c r="E18" s="38"/>
      <c r="F18" s="38"/>
      <c r="G18" s="38"/>
      <c r="H18" s="38"/>
      <c r="I18" s="38"/>
      <c r="J18" s="38"/>
      <c r="K18" s="38"/>
      <c r="L18" s="38"/>
    </row>
    <row r="19" spans="2:12" x14ac:dyDescent="0.3">
      <c r="B19" s="38"/>
      <c r="C19" s="38"/>
      <c r="D19" s="38"/>
      <c r="E19" s="38"/>
      <c r="F19" s="38"/>
      <c r="G19" s="38"/>
      <c r="H19" s="38"/>
      <c r="I19" s="38"/>
      <c r="J19" s="38"/>
      <c r="K19" s="38"/>
      <c r="L19" s="38"/>
    </row>
    <row r="20" spans="2:12" x14ac:dyDescent="0.3">
      <c r="B20" s="89" t="s">
        <v>906</v>
      </c>
      <c r="C20" s="89"/>
      <c r="D20" s="89"/>
      <c r="E20" s="89"/>
      <c r="F20" s="89"/>
      <c r="G20" s="89"/>
      <c r="H20" s="89"/>
      <c r="I20" s="89"/>
      <c r="J20" s="89"/>
      <c r="K20" s="89"/>
      <c r="L20" s="89"/>
    </row>
    <row r="21" spans="2:12" x14ac:dyDescent="0.3">
      <c r="B21" s="89" t="s">
        <v>907</v>
      </c>
      <c r="C21" s="89"/>
      <c r="D21" s="89"/>
      <c r="E21" s="89"/>
      <c r="F21" s="89"/>
      <c r="G21" s="89"/>
      <c r="H21" s="89"/>
      <c r="I21" s="89"/>
      <c r="J21" s="89"/>
      <c r="K21" s="89"/>
      <c r="L21" s="89"/>
    </row>
  </sheetData>
  <mergeCells count="10">
    <mergeCell ref="B20:L20"/>
    <mergeCell ref="B21:L21"/>
    <mergeCell ref="B3:L3"/>
    <mergeCell ref="B4:L4"/>
    <mergeCell ref="D6:F6"/>
    <mergeCell ref="G6:I6"/>
    <mergeCell ref="J6:K6"/>
    <mergeCell ref="L6:L7"/>
    <mergeCell ref="B6:B7"/>
    <mergeCell ref="C6:C7"/>
  </mergeCells>
  <phoneticPr fontId="6" type="noConversion"/>
  <pageMargins left="0.39370138888888889" right="0.39370138888888889" top="0.39370138888888889" bottom="0.39370138888888889"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37890"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C8D67-C148-40FB-A3BB-345AFF9AE5EA}">
  <sheetPr codeName="Sheet38"/>
  <dimension ref="A1:H38"/>
  <sheetViews>
    <sheetView workbookViewId="0"/>
  </sheetViews>
  <sheetFormatPr defaultRowHeight="16.5" x14ac:dyDescent="0.3"/>
  <cols>
    <col min="1" max="1" width="3.125" customWidth="1"/>
    <col min="2" max="2" width="9.625" customWidth="1"/>
    <col min="3" max="3" width="14.625" customWidth="1"/>
    <col min="4" max="4" width="16.625" customWidth="1"/>
    <col min="5" max="5" width="12.625" customWidth="1"/>
    <col min="6" max="8" width="8.625" customWidth="1"/>
  </cols>
  <sheetData>
    <row r="1" spans="1:8" x14ac:dyDescent="0.3">
      <c r="A1" s="20" t="s">
        <v>908</v>
      </c>
    </row>
    <row r="3" spans="1:8" x14ac:dyDescent="0.3">
      <c r="B3" s="83" t="str">
        <f>IF(기초자료입력!C4&lt;&gt;"",기초자료입력!C4,"○○학교")&amp;" 교복 제안서 평가위원회 개최"</f>
        <v>○○학교 교복 제안서 평가위원회 개최</v>
      </c>
      <c r="C3" s="84"/>
      <c r="D3" s="84"/>
      <c r="E3" s="84"/>
      <c r="F3" s="84"/>
      <c r="G3" s="84"/>
      <c r="H3" s="84"/>
    </row>
    <row r="4" spans="1:8" x14ac:dyDescent="0.3">
      <c r="B4" s="84"/>
      <c r="C4" s="84"/>
      <c r="D4" s="84"/>
      <c r="E4" s="84"/>
      <c r="F4" s="84"/>
      <c r="G4" s="84"/>
      <c r="H4" s="84"/>
    </row>
    <row r="5" spans="1:8" x14ac:dyDescent="0.3">
      <c r="B5" s="54" t="s">
        <v>26</v>
      </c>
      <c r="C5" s="37" t="str">
        <f>IF(기초자료입력!C9&lt;&gt;"",기초자료입력!C9,"")</f>
        <v/>
      </c>
      <c r="D5" s="37"/>
      <c r="E5" s="54" t="s">
        <v>293</v>
      </c>
      <c r="F5" s="37" t="str">
        <f>IF(기초자료입력!C8&lt;&gt;"",TEXT(기초자료입력!C8,"yyyy-mm-dd"),"")</f>
        <v/>
      </c>
      <c r="G5" s="37"/>
      <c r="H5" s="37"/>
    </row>
    <row r="6" spans="1:8" x14ac:dyDescent="0.3">
      <c r="B6" s="37"/>
      <c r="C6" s="37"/>
      <c r="D6" s="37"/>
      <c r="E6" s="37"/>
      <c r="F6" s="37"/>
      <c r="G6" s="37"/>
      <c r="H6" s="37"/>
    </row>
    <row r="7" spans="1:8" x14ac:dyDescent="0.3">
      <c r="B7" s="54" t="s">
        <v>294</v>
      </c>
      <c r="C7" s="82" t="s">
        <v>514</v>
      </c>
      <c r="D7" s="82"/>
      <c r="E7" s="82"/>
      <c r="F7" s="82"/>
      <c r="G7" s="82"/>
      <c r="H7" s="82"/>
    </row>
    <row r="8" spans="1:8" x14ac:dyDescent="0.3">
      <c r="B8" s="54" t="s">
        <v>301</v>
      </c>
      <c r="C8" s="82"/>
      <c r="D8" s="82"/>
      <c r="E8" s="82"/>
      <c r="F8" s="82"/>
      <c r="G8" s="82"/>
      <c r="H8" s="82"/>
    </row>
    <row r="9" spans="1:8" x14ac:dyDescent="0.3">
      <c r="B9" s="54" t="s">
        <v>295</v>
      </c>
      <c r="C9" s="85" t="str">
        <f>IF(기초자료입력!C22&lt;&gt;"",기초자료입력!C22,IF(기초자료입력!C5&lt;&gt;"",기초자료입력!C5,"20○○")&amp;"학년도 교복 학교주관구매 제안서 평가위원회 개최")</f>
        <v>20○○학년도 교복 학교주관구매 제안서 평가위원회 개최</v>
      </c>
      <c r="D9" s="82"/>
      <c r="E9" s="82"/>
      <c r="F9" s="82"/>
      <c r="G9" s="82"/>
      <c r="H9" s="82"/>
    </row>
    <row r="10" spans="1:8" x14ac:dyDescent="0.3">
      <c r="B10" s="38"/>
      <c r="C10" s="38"/>
      <c r="D10" s="38"/>
      <c r="E10" s="38"/>
      <c r="F10" s="38"/>
      <c r="G10" s="38"/>
      <c r="H10" s="38"/>
    </row>
    <row r="11" spans="1:8" x14ac:dyDescent="0.3">
      <c r="B11" s="90" t="str">
        <f>"1. "&amp;IF(기초자료입력!C23&lt;&gt;"",기초자료입력!C23,"관련 문서를 확인하십시오.")</f>
        <v>1. 관련 문서를 확인하십시오.</v>
      </c>
      <c r="C11" s="89"/>
      <c r="D11" s="89"/>
      <c r="E11" s="89"/>
      <c r="F11" s="89"/>
      <c r="G11" s="89"/>
      <c r="H11" s="89"/>
    </row>
    <row r="12" spans="1:8" x14ac:dyDescent="0.3">
      <c r="B12" s="38"/>
      <c r="C12" s="38"/>
      <c r="D12" s="38"/>
      <c r="E12" s="38"/>
      <c r="F12" s="38"/>
      <c r="G12" s="38"/>
      <c r="H12" s="38"/>
    </row>
    <row r="13" spans="1:8" ht="27.95" customHeight="1" x14ac:dyDescent="0.3">
      <c r="B13" s="100" t="str">
        <f>"2. "&amp;IF(기초자료입력!C5&lt;&gt;"",기초자료입력!C5,"20○○")&amp;"학년도 교복 학교주관구매 제안서 평가위원회를 아래와 같이 개최하고자 합니다."</f>
        <v>2. 20○○학년도 교복 학교주관구매 제안서 평가위원회를 아래와 같이 개최하고자 합니다.</v>
      </c>
      <c r="C13" s="100"/>
      <c r="D13" s="100"/>
      <c r="E13" s="100"/>
      <c r="F13" s="100"/>
      <c r="G13" s="100"/>
      <c r="H13" s="100"/>
    </row>
    <row r="14" spans="1:8" x14ac:dyDescent="0.3">
      <c r="B14" s="100"/>
      <c r="C14" s="100"/>
      <c r="D14" s="100"/>
      <c r="E14" s="100"/>
      <c r="F14" s="100"/>
      <c r="G14" s="100"/>
      <c r="H14" s="100"/>
    </row>
    <row r="15" spans="1:8" x14ac:dyDescent="0.3">
      <c r="B15" s="38"/>
      <c r="C15" s="38"/>
      <c r="D15" s="38"/>
      <c r="E15" s="38"/>
      <c r="F15" s="38"/>
      <c r="G15" s="38"/>
      <c r="H15" s="38"/>
    </row>
    <row r="16" spans="1:8" x14ac:dyDescent="0.3">
      <c r="B16" s="53" t="s">
        <v>909</v>
      </c>
      <c r="C16" s="142"/>
      <c r="D16" s="89"/>
      <c r="E16" s="89"/>
      <c r="F16" s="89"/>
      <c r="G16" s="89"/>
      <c r="H16" s="89"/>
    </row>
    <row r="17" spans="2:8" x14ac:dyDescent="0.3">
      <c r="B17" s="53" t="s">
        <v>910</v>
      </c>
      <c r="C17" s="142"/>
      <c r="D17" s="89"/>
      <c r="E17" s="89"/>
      <c r="F17" s="89"/>
      <c r="G17" s="89"/>
      <c r="H17" s="89"/>
    </row>
    <row r="18" spans="2:8" x14ac:dyDescent="0.3">
      <c r="B18" s="53" t="s">
        <v>911</v>
      </c>
      <c r="C18" s="89" t="str">
        <f>IF(COUNTA(기초자료입력!B58:B67)&gt;0,"평가위원 "&amp;COUNTA(기초자료입력!B58:B67)&amp;"명","")</f>
        <v/>
      </c>
      <c r="D18" s="89"/>
      <c r="E18" s="89"/>
      <c r="F18" s="89"/>
      <c r="G18" s="89"/>
      <c r="H18" s="89"/>
    </row>
    <row r="19" spans="2:8" x14ac:dyDescent="0.3">
      <c r="B19" s="38"/>
      <c r="C19" s="38"/>
      <c r="D19" s="38"/>
      <c r="E19" s="38"/>
      <c r="F19" s="38"/>
      <c r="G19" s="38"/>
      <c r="H19" s="38"/>
    </row>
    <row r="20" spans="2:8" x14ac:dyDescent="0.3">
      <c r="B20" s="61" t="s">
        <v>524</v>
      </c>
      <c r="C20" s="61" t="s">
        <v>331</v>
      </c>
      <c r="D20" s="61" t="s">
        <v>526</v>
      </c>
      <c r="E20" s="61" t="s">
        <v>320</v>
      </c>
      <c r="F20" s="38"/>
      <c r="G20" s="38"/>
      <c r="H20" s="38"/>
    </row>
    <row r="21" spans="2:8" x14ac:dyDescent="0.3">
      <c r="B21" s="29" t="str">
        <f>IF(기초자료입력!B58&lt;&gt;"",1,"")</f>
        <v/>
      </c>
      <c r="C21" s="29" t="str">
        <f>IF(기초자료입력!B58&lt;&gt;"","위원장","")</f>
        <v/>
      </c>
      <c r="D21" s="29" t="str">
        <f>IF(기초자료입력!C58&lt;&gt;"",기초자료입력!C58,"")</f>
        <v/>
      </c>
      <c r="E21" s="29"/>
      <c r="F21" s="38"/>
      <c r="G21" s="38"/>
      <c r="H21" s="38"/>
    </row>
    <row r="22" spans="2:8" x14ac:dyDescent="0.3">
      <c r="B22" s="29" t="str">
        <f>IF(기초자료입력!B59&lt;&gt;"",2,"")</f>
        <v/>
      </c>
      <c r="C22" s="29" t="str">
        <f>IF(기초자료입력!B59&lt;&gt;"","부위원장","")</f>
        <v/>
      </c>
      <c r="D22" s="29" t="str">
        <f>IF(기초자료입력!C59&lt;&gt;"",기초자료입력!C59,"")</f>
        <v/>
      </c>
      <c r="E22" s="29"/>
      <c r="F22" s="38"/>
      <c r="G22" s="38"/>
      <c r="H22" s="38"/>
    </row>
    <row r="23" spans="2:8" x14ac:dyDescent="0.3">
      <c r="B23" s="29" t="str">
        <f>IF(기초자료입력!B60&lt;&gt;"",3,"")</f>
        <v/>
      </c>
      <c r="C23" s="29" t="str">
        <f>IF(기초자료입력!B60&lt;&gt;"","위원","")</f>
        <v/>
      </c>
      <c r="D23" s="29" t="str">
        <f>IF(기초자료입력!C60&lt;&gt;"",기초자료입력!C60,"")</f>
        <v/>
      </c>
      <c r="E23" s="29"/>
      <c r="F23" s="38"/>
      <c r="G23" s="38"/>
      <c r="H23" s="38"/>
    </row>
    <row r="24" spans="2:8" x14ac:dyDescent="0.3">
      <c r="B24" s="29" t="str">
        <f>IF(기초자료입력!B61&lt;&gt;"",4,"")</f>
        <v/>
      </c>
      <c r="C24" s="29" t="str">
        <f>IF(기초자료입력!B61&lt;&gt;"","위원","")</f>
        <v/>
      </c>
      <c r="D24" s="29" t="str">
        <f>IF(기초자료입력!C61&lt;&gt;"",기초자료입력!C61,"")</f>
        <v/>
      </c>
      <c r="E24" s="29"/>
      <c r="F24" s="38"/>
      <c r="G24" s="38"/>
      <c r="H24" s="38"/>
    </row>
    <row r="25" spans="2:8" x14ac:dyDescent="0.3">
      <c r="B25" s="29" t="str">
        <f>IF(기초자료입력!B62&lt;&gt;"",5,"")</f>
        <v/>
      </c>
      <c r="C25" s="29" t="str">
        <f>IF(기초자료입력!B62&lt;&gt;"","위원","")</f>
        <v/>
      </c>
      <c r="D25" s="29" t="str">
        <f>IF(기초자료입력!C62&lt;&gt;"",기초자료입력!C62,"")</f>
        <v/>
      </c>
      <c r="E25" s="29"/>
      <c r="F25" s="38"/>
      <c r="G25" s="38"/>
      <c r="H25" s="38"/>
    </row>
    <row r="26" spans="2:8" x14ac:dyDescent="0.3">
      <c r="B26" s="29" t="str">
        <f>IF(기초자료입력!B63&lt;&gt;"",6,"")</f>
        <v/>
      </c>
      <c r="C26" s="29" t="str">
        <f>IF(기초자료입력!B63&lt;&gt;"","위원","")</f>
        <v/>
      </c>
      <c r="D26" s="29" t="str">
        <f>IF(기초자료입력!C63&lt;&gt;"",기초자료입력!C63,"")</f>
        <v/>
      </c>
      <c r="E26" s="29"/>
      <c r="F26" s="38"/>
      <c r="G26" s="38"/>
      <c r="H26" s="38"/>
    </row>
    <row r="27" spans="2:8" x14ac:dyDescent="0.3">
      <c r="B27" s="29" t="str">
        <f>IF(기초자료입력!B64&lt;&gt;"",7,"")</f>
        <v/>
      </c>
      <c r="C27" s="29" t="str">
        <f>IF(기초자료입력!B64&lt;&gt;"","위원","")</f>
        <v/>
      </c>
      <c r="D27" s="29" t="str">
        <f>IF(기초자료입력!C64&lt;&gt;"",기초자료입력!C64,"")</f>
        <v/>
      </c>
      <c r="E27" s="29"/>
      <c r="F27" s="38"/>
      <c r="G27" s="38"/>
      <c r="H27" s="38"/>
    </row>
    <row r="28" spans="2:8" x14ac:dyDescent="0.3">
      <c r="B28" s="29" t="str">
        <f>IF(기초자료입력!B65&lt;&gt;"",8,"")</f>
        <v/>
      </c>
      <c r="C28" s="29" t="str">
        <f>IF(기초자료입력!B65&lt;&gt;"","위원","")</f>
        <v/>
      </c>
      <c r="D28" s="29" t="str">
        <f>IF(기초자료입력!C65&lt;&gt;"",기초자료입력!C65,"")</f>
        <v/>
      </c>
      <c r="E28" s="29"/>
      <c r="F28" s="38"/>
      <c r="G28" s="38"/>
      <c r="H28" s="38"/>
    </row>
    <row r="29" spans="2:8" x14ac:dyDescent="0.3">
      <c r="B29" s="29" t="str">
        <f>IF(기초자료입력!B66&lt;&gt;"",9,"")</f>
        <v/>
      </c>
      <c r="C29" s="29" t="str">
        <f>IF(기초자료입력!B66&lt;&gt;"","위원","")</f>
        <v/>
      </c>
      <c r="D29" s="29" t="str">
        <f>IF(기초자료입력!C66&lt;&gt;"",기초자료입력!C66,"")</f>
        <v/>
      </c>
      <c r="E29" s="29"/>
      <c r="F29" s="38"/>
      <c r="G29" s="38"/>
      <c r="H29" s="38"/>
    </row>
    <row r="30" spans="2:8" x14ac:dyDescent="0.3">
      <c r="B30" s="29" t="str">
        <f>IF(기초자료입력!B67&lt;&gt;"",10,"")</f>
        <v/>
      </c>
      <c r="C30" s="29" t="str">
        <f>IF(기초자료입력!B67&lt;&gt;"","위원","")</f>
        <v/>
      </c>
      <c r="D30" s="29" t="str">
        <f>IF(기초자료입력!C67&lt;&gt;"",기초자료입력!C67,"")</f>
        <v/>
      </c>
      <c r="E30" s="29"/>
      <c r="F30" s="38"/>
      <c r="G30" s="38"/>
      <c r="H30" s="38"/>
    </row>
    <row r="31" spans="2:8" x14ac:dyDescent="0.3">
      <c r="B31" s="38"/>
      <c r="C31" s="38"/>
      <c r="D31" s="38"/>
      <c r="E31" s="38"/>
      <c r="F31" s="38"/>
      <c r="G31" s="38"/>
      <c r="H31" s="38"/>
    </row>
    <row r="32" spans="2:8" x14ac:dyDescent="0.3">
      <c r="B32" s="89" t="s">
        <v>912</v>
      </c>
      <c r="C32" s="89"/>
      <c r="D32" s="89"/>
      <c r="E32" s="89"/>
      <c r="F32" s="89"/>
      <c r="G32" s="89"/>
      <c r="H32" s="89"/>
    </row>
    <row r="33" spans="2:8" x14ac:dyDescent="0.3">
      <c r="B33" s="38"/>
      <c r="C33" s="38"/>
      <c r="D33" s="38"/>
      <c r="E33" s="38"/>
      <c r="F33" s="38"/>
      <c r="G33" s="38"/>
      <c r="H33" s="38"/>
    </row>
    <row r="34" spans="2:8" x14ac:dyDescent="0.3">
      <c r="B34" s="38"/>
      <c r="C34" s="38"/>
      <c r="D34" s="38"/>
      <c r="E34" s="38"/>
      <c r="F34" s="38"/>
      <c r="G34" s="38"/>
      <c r="H34" s="38"/>
    </row>
    <row r="35" spans="2:8" x14ac:dyDescent="0.3">
      <c r="B35" s="38"/>
      <c r="C35" s="38"/>
      <c r="D35" s="38"/>
      <c r="E35" s="38"/>
      <c r="F35" s="54" t="s">
        <v>297</v>
      </c>
      <c r="G35" s="54" t="s">
        <v>308</v>
      </c>
      <c r="H35" s="54" t="s">
        <v>298</v>
      </c>
    </row>
    <row r="36" spans="2:8" x14ac:dyDescent="0.3">
      <c r="B36" s="53" t="s">
        <v>309</v>
      </c>
      <c r="C36" s="89" t="str">
        <f>IF(기초자료입력!C9&lt;&gt;"",기초자료입력!C9,"")</f>
        <v/>
      </c>
      <c r="D36" s="89"/>
      <c r="E36" s="89"/>
      <c r="F36" s="54" t="s">
        <v>310</v>
      </c>
      <c r="G36" s="82"/>
      <c r="H36" s="82"/>
    </row>
    <row r="37" spans="2:8" x14ac:dyDescent="0.3">
      <c r="B37" s="53" t="s">
        <v>311</v>
      </c>
      <c r="C37" s="38"/>
      <c r="D37" s="53" t="s">
        <v>312</v>
      </c>
      <c r="E37" s="89"/>
      <c r="F37" s="82"/>
      <c r="G37" s="82"/>
      <c r="H37" s="82"/>
    </row>
    <row r="38" spans="2:8" x14ac:dyDescent="0.3">
      <c r="B38" s="53" t="s">
        <v>313</v>
      </c>
      <c r="C38" s="38"/>
      <c r="D38" s="53" t="s">
        <v>314</v>
      </c>
      <c r="E38" s="38"/>
      <c r="F38" s="54" t="s">
        <v>315</v>
      </c>
      <c r="G38" s="82"/>
      <c r="H38" s="82"/>
    </row>
  </sheetData>
  <mergeCells count="14">
    <mergeCell ref="E37:H37"/>
    <mergeCell ref="G38:H38"/>
    <mergeCell ref="C16:H16"/>
    <mergeCell ref="C17:H17"/>
    <mergeCell ref="C18:H18"/>
    <mergeCell ref="B32:H32"/>
    <mergeCell ref="C36:E36"/>
    <mergeCell ref="G36:H36"/>
    <mergeCell ref="B13:H14"/>
    <mergeCell ref="B3:H4"/>
    <mergeCell ref="C7:H7"/>
    <mergeCell ref="C8:H8"/>
    <mergeCell ref="C9:H9"/>
    <mergeCell ref="B11:H11"/>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38914"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E8F6E-87AC-4C80-B49E-14DFCB482AD7}">
  <sheetPr codeName="Sheet39"/>
  <dimension ref="A1:H36"/>
  <sheetViews>
    <sheetView workbookViewId="0"/>
  </sheetViews>
  <sheetFormatPr defaultRowHeight="16.5" x14ac:dyDescent="0.3"/>
  <cols>
    <col min="1" max="1" width="3.125" customWidth="1"/>
    <col min="2" max="2" width="6.625" customWidth="1"/>
    <col min="3" max="3" width="16.625" customWidth="1"/>
    <col min="4" max="8" width="10.625" customWidth="1"/>
  </cols>
  <sheetData>
    <row r="1" spans="1:8" x14ac:dyDescent="0.3">
      <c r="A1" s="20" t="s">
        <v>913</v>
      </c>
    </row>
    <row r="3" spans="1:8" x14ac:dyDescent="0.3">
      <c r="B3" s="83" t="str">
        <f>IF(기초자료입력!C4&lt;&gt;"",기초자료입력!C4,"○○학교")&amp;" 교복 구매 제안서 정량평가 결과"</f>
        <v>○○학교 교복 구매 제안서 정량평가 결과</v>
      </c>
      <c r="C3" s="84"/>
      <c r="D3" s="84"/>
      <c r="E3" s="84"/>
      <c r="F3" s="84"/>
      <c r="G3" s="84"/>
      <c r="H3" s="84"/>
    </row>
    <row r="4" spans="1:8" x14ac:dyDescent="0.3">
      <c r="B4" s="84"/>
      <c r="C4" s="84"/>
      <c r="D4" s="84"/>
      <c r="E4" s="84"/>
      <c r="F4" s="84"/>
      <c r="G4" s="84"/>
      <c r="H4" s="84"/>
    </row>
    <row r="5" spans="1:8" x14ac:dyDescent="0.3">
      <c r="B5" s="54" t="s">
        <v>26</v>
      </c>
      <c r="C5" s="37" t="str">
        <f>IF(기초자료입력!C9&lt;&gt;"",기초자료입력!C9,"")</f>
        <v/>
      </c>
      <c r="D5" s="37"/>
      <c r="E5" s="54" t="s">
        <v>293</v>
      </c>
      <c r="F5" s="37" t="str">
        <f>IF(기초자료입력!C8&lt;&gt;"",TEXT(기초자료입력!C8,"yyyy-mm-dd"),"")</f>
        <v/>
      </c>
      <c r="G5" s="37"/>
      <c r="H5" s="37"/>
    </row>
    <row r="6" spans="1:8" x14ac:dyDescent="0.3">
      <c r="B6" s="37"/>
      <c r="C6" s="37"/>
      <c r="D6" s="37"/>
      <c r="E6" s="37"/>
      <c r="F6" s="37"/>
      <c r="G6" s="37"/>
      <c r="H6" s="37"/>
    </row>
    <row r="7" spans="1:8" x14ac:dyDescent="0.3">
      <c r="B7" s="54" t="s">
        <v>294</v>
      </c>
      <c r="C7" s="82" t="s">
        <v>514</v>
      </c>
      <c r="D7" s="82"/>
      <c r="E7" s="82"/>
      <c r="F7" s="82"/>
      <c r="G7" s="82"/>
      <c r="H7" s="82"/>
    </row>
    <row r="8" spans="1:8" x14ac:dyDescent="0.3">
      <c r="B8" s="54" t="s">
        <v>301</v>
      </c>
      <c r="C8" s="82"/>
      <c r="D8" s="82"/>
      <c r="E8" s="82"/>
      <c r="F8" s="82"/>
      <c r="G8" s="82"/>
      <c r="H8" s="82"/>
    </row>
    <row r="9" spans="1:8" x14ac:dyDescent="0.3">
      <c r="B9" s="54" t="s">
        <v>295</v>
      </c>
      <c r="C9" s="85" t="str">
        <f>IF(기초자료입력!C22&lt;&gt;"",기초자료입력!C22,IF(기초자료입력!C5&lt;&gt;"",기초자료입력!C5,"20○○")&amp;"학년도 교복 학교주관구매 제안서 정량평가 결과 보고")</f>
        <v>20○○학년도 교복 학교주관구매 제안서 정량평가 결과 보고</v>
      </c>
      <c r="D9" s="82"/>
      <c r="E9" s="82"/>
      <c r="F9" s="82"/>
      <c r="G9" s="82"/>
      <c r="H9" s="82"/>
    </row>
    <row r="10" spans="1:8" x14ac:dyDescent="0.3">
      <c r="B10" s="38"/>
      <c r="C10" s="38"/>
      <c r="D10" s="38"/>
      <c r="E10" s="38"/>
      <c r="F10" s="38"/>
      <c r="G10" s="38"/>
      <c r="H10" s="38"/>
    </row>
    <row r="11" spans="1:8" x14ac:dyDescent="0.3">
      <c r="B11" s="90" t="str">
        <f>"1. "&amp;IF(기초자료입력!C23&lt;&gt;"",기초자료입력!C23,"관련 문서를 확인하십시오.")</f>
        <v>1. 관련 문서를 확인하십시오.</v>
      </c>
      <c r="C11" s="89"/>
      <c r="D11" s="89"/>
      <c r="E11" s="89"/>
      <c r="F11" s="89"/>
      <c r="G11" s="89"/>
      <c r="H11" s="89"/>
    </row>
    <row r="12" spans="1:8" x14ac:dyDescent="0.3">
      <c r="B12" s="38"/>
      <c r="C12" s="38"/>
      <c r="D12" s="38"/>
      <c r="E12" s="38"/>
      <c r="F12" s="38"/>
      <c r="G12" s="38"/>
      <c r="H12" s="38"/>
    </row>
    <row r="13" spans="1:8" ht="32.1" customHeight="1" x14ac:dyDescent="0.3">
      <c r="B13" s="100" t="str">
        <f>"2. "&amp;IF(기초자료입력!C5&lt;&gt;"",기초자료입력!C5,"20○○")&amp;"학년도 "&amp;IF(기초자료입력!C12&lt;&gt;"",기초자료입력!C12,"교복 학교주관구매")&amp;" 2단계 입찰(규격가격동시) 공고와 관련하여 접수된 제안서에 대한 정량평가를 실시하고, 그 결과를 아래와 같이 보고합니다."</f>
        <v>2. 20○○학년도 교복 학교주관구매 2단계 입찰(규격가격동시) 공고와 관련하여 접수된 제안서에 대한 정량평가를 실시하고, 그 결과를 아래와 같이 보고합니다.</v>
      </c>
      <c r="C13" s="100"/>
      <c r="D13" s="100"/>
      <c r="E13" s="100"/>
      <c r="F13" s="100"/>
      <c r="G13" s="100"/>
      <c r="H13" s="100"/>
    </row>
    <row r="14" spans="1:8" x14ac:dyDescent="0.3">
      <c r="B14" s="100"/>
      <c r="C14" s="100"/>
      <c r="D14" s="100"/>
      <c r="E14" s="100"/>
      <c r="F14" s="100"/>
      <c r="G14" s="100"/>
      <c r="H14" s="100"/>
    </row>
    <row r="15" spans="1:8" x14ac:dyDescent="0.3">
      <c r="B15" s="38"/>
      <c r="C15" s="38"/>
      <c r="D15" s="38"/>
      <c r="E15" s="38"/>
      <c r="F15" s="38"/>
      <c r="G15" s="38"/>
      <c r="H15" s="38"/>
    </row>
    <row r="16" spans="1:8" x14ac:dyDescent="0.3">
      <c r="B16" s="90" t="s">
        <v>914</v>
      </c>
      <c r="C16" s="89"/>
      <c r="D16" s="89"/>
      <c r="E16" s="89"/>
      <c r="F16" s="89"/>
      <c r="G16" s="89"/>
      <c r="H16" s="89"/>
    </row>
    <row r="17" spans="2:8" x14ac:dyDescent="0.3">
      <c r="B17" s="110" t="s">
        <v>524</v>
      </c>
      <c r="C17" s="110" t="s">
        <v>61</v>
      </c>
      <c r="D17" s="110" t="s">
        <v>333</v>
      </c>
      <c r="E17" s="110"/>
      <c r="F17" s="110"/>
      <c r="G17" s="110"/>
      <c r="H17" s="110"/>
    </row>
    <row r="18" spans="2:8" x14ac:dyDescent="0.3">
      <c r="B18" s="110"/>
      <c r="C18" s="110"/>
      <c r="D18" s="61" t="s">
        <v>915</v>
      </c>
      <c r="E18" s="61" t="s">
        <v>916</v>
      </c>
      <c r="F18" s="61" t="s">
        <v>917</v>
      </c>
      <c r="G18" s="61" t="s">
        <v>918</v>
      </c>
      <c r="H18" s="61" t="s">
        <v>299</v>
      </c>
    </row>
    <row r="19" spans="2:8" x14ac:dyDescent="0.3">
      <c r="B19" s="29" t="str">
        <f>IF(기초자료입력!B44&lt;&gt;"",1,"")</f>
        <v/>
      </c>
      <c r="C19" s="29" t="str">
        <f>IF(기초자료입력!B44&lt;&gt;"",기초자료입력!B44,"")</f>
        <v/>
      </c>
      <c r="D19" s="29" t="str">
        <f>IF(OR(기초자료입력!B44="",기초자료입력!C44=""),"",기초자료입력!C44)</f>
        <v/>
      </c>
      <c r="E19" s="29" t="str">
        <f>IF(OR(기초자료입력!B44="",기초자료입력!D44=""),"",기초자료입력!D44)</f>
        <v/>
      </c>
      <c r="F19" s="29" t="str">
        <f>IF(OR(기초자료입력!B44="",기초자료입력!E44=""),"",기초자료입력!E44)</f>
        <v/>
      </c>
      <c r="G19" s="29" t="str">
        <f>IF(OR(기초자료입력!B44="",기초자료입력!F44=""),"",기초자료입력!F44)</f>
        <v/>
      </c>
      <c r="H19" s="29" t="str">
        <f>IF(기초자료입력!B44="","",IF(OR(D19="",E19="",F19="",G19=""),"",D19+E19+F19+G19))</f>
        <v/>
      </c>
    </row>
    <row r="20" spans="2:8" x14ac:dyDescent="0.3">
      <c r="B20" s="29" t="str">
        <f>IF(기초자료입력!B45&lt;&gt;"",2,"")</f>
        <v/>
      </c>
      <c r="C20" s="29" t="str">
        <f>IF(기초자료입력!B45&lt;&gt;"",기초자료입력!B45,"")</f>
        <v/>
      </c>
      <c r="D20" s="29" t="str">
        <f>IF(OR(기초자료입력!B45="",기초자료입력!C45=""),"",기초자료입력!C45)</f>
        <v/>
      </c>
      <c r="E20" s="29" t="str">
        <f>IF(OR(기초자료입력!B45="",기초자료입력!D45=""),"",기초자료입력!D45)</f>
        <v/>
      </c>
      <c r="F20" s="29" t="str">
        <f>IF(OR(기초자료입력!B45="",기초자료입력!E45=""),"",기초자료입력!E45)</f>
        <v/>
      </c>
      <c r="G20" s="29" t="str">
        <f>IF(OR(기초자료입력!B45="",기초자료입력!F45=""),"",기초자료입력!F45)</f>
        <v/>
      </c>
      <c r="H20" s="29" t="str">
        <f>IF(기초자료입력!B45="","",IF(OR(D20="",E20="",F20="",G20=""),"",D20+E20+F20+G20))</f>
        <v/>
      </c>
    </row>
    <row r="21" spans="2:8" x14ac:dyDescent="0.3">
      <c r="B21" s="29" t="str">
        <f>IF(기초자료입력!B46&lt;&gt;"",3,"")</f>
        <v/>
      </c>
      <c r="C21" s="29" t="str">
        <f>IF(기초자료입력!B46&lt;&gt;"",기초자료입력!B46,"")</f>
        <v/>
      </c>
      <c r="D21" s="29" t="str">
        <f>IF(OR(기초자료입력!B46="",기초자료입력!C46=""),"",기초자료입력!C46)</f>
        <v/>
      </c>
      <c r="E21" s="29" t="str">
        <f>IF(OR(기초자료입력!B46="",기초자료입력!D46=""),"",기초자료입력!D46)</f>
        <v/>
      </c>
      <c r="F21" s="29" t="str">
        <f>IF(OR(기초자료입력!B46="",기초자료입력!E46=""),"",기초자료입력!E46)</f>
        <v/>
      </c>
      <c r="G21" s="29" t="str">
        <f>IF(OR(기초자료입력!B46="",기초자료입력!F46=""),"",기초자료입력!F46)</f>
        <v/>
      </c>
      <c r="H21" s="29" t="str">
        <f>IF(기초자료입력!B46="","",IF(OR(D21="",E21="",F21="",G21=""),"",D21+E21+F21+G21))</f>
        <v/>
      </c>
    </row>
    <row r="22" spans="2:8" x14ac:dyDescent="0.3">
      <c r="B22" s="29" t="str">
        <f>IF(기초자료입력!B47&lt;&gt;"",4,"")</f>
        <v/>
      </c>
      <c r="C22" s="29" t="str">
        <f>IF(기초자료입력!B47&lt;&gt;"",기초자료입력!B47,"")</f>
        <v/>
      </c>
      <c r="D22" s="29" t="str">
        <f>IF(OR(기초자료입력!B47="",기초자료입력!C47=""),"",기초자료입력!C47)</f>
        <v/>
      </c>
      <c r="E22" s="29" t="str">
        <f>IF(OR(기초자료입력!B47="",기초자료입력!D47=""),"",기초자료입력!D47)</f>
        <v/>
      </c>
      <c r="F22" s="29" t="str">
        <f>IF(OR(기초자료입력!B47="",기초자료입력!E47=""),"",기초자료입력!E47)</f>
        <v/>
      </c>
      <c r="G22" s="29" t="str">
        <f>IF(OR(기초자료입력!B47="",기초자료입력!F47=""),"",기초자료입력!F47)</f>
        <v/>
      </c>
      <c r="H22" s="29" t="str">
        <f>IF(기초자료입력!B47="","",IF(OR(D22="",E22="",F22="",G22=""),"",D22+E22+F22+G22))</f>
        <v/>
      </c>
    </row>
    <row r="23" spans="2:8" x14ac:dyDescent="0.3">
      <c r="B23" s="29" t="str">
        <f>IF(기초자료입력!B48&lt;&gt;"",5,"")</f>
        <v/>
      </c>
      <c r="C23" s="29" t="str">
        <f>IF(기초자료입력!B48&lt;&gt;"",기초자료입력!B48,"")</f>
        <v/>
      </c>
      <c r="D23" s="29" t="str">
        <f>IF(OR(기초자료입력!B48="",기초자료입력!C48=""),"",기초자료입력!C48)</f>
        <v/>
      </c>
      <c r="E23" s="29" t="str">
        <f>IF(OR(기초자료입력!B48="",기초자료입력!D48=""),"",기초자료입력!D48)</f>
        <v/>
      </c>
      <c r="F23" s="29" t="str">
        <f>IF(OR(기초자료입력!B48="",기초자료입력!E48=""),"",기초자료입력!E48)</f>
        <v/>
      </c>
      <c r="G23" s="29" t="str">
        <f>IF(OR(기초자료입력!B48="",기초자료입력!F48=""),"",기초자료입력!F48)</f>
        <v/>
      </c>
      <c r="H23" s="29" t="str">
        <f>IF(기초자료입력!B48="","",IF(OR(D23="",E23="",F23="",G23=""),"",D23+E23+F23+G23))</f>
        <v/>
      </c>
    </row>
    <row r="24" spans="2:8" x14ac:dyDescent="0.3">
      <c r="B24" s="29" t="str">
        <f>IF(기초자료입력!B49&lt;&gt;"",6,"")</f>
        <v/>
      </c>
      <c r="C24" s="29" t="str">
        <f>IF(기초자료입력!B49&lt;&gt;"",기초자료입력!B49,"")</f>
        <v/>
      </c>
      <c r="D24" s="29" t="str">
        <f>IF(OR(기초자료입력!B49="",기초자료입력!C49=""),"",기초자료입력!C49)</f>
        <v/>
      </c>
      <c r="E24" s="29" t="str">
        <f>IF(OR(기초자료입력!B49="",기초자료입력!D49=""),"",기초자료입력!D49)</f>
        <v/>
      </c>
      <c r="F24" s="29" t="str">
        <f>IF(OR(기초자료입력!B49="",기초자료입력!E49=""),"",기초자료입력!E49)</f>
        <v/>
      </c>
      <c r="G24" s="29" t="str">
        <f>IF(OR(기초자료입력!B49="",기초자료입력!F49=""),"",기초자료입력!F49)</f>
        <v/>
      </c>
      <c r="H24" s="29" t="str">
        <f>IF(기초자료입력!B49="","",IF(OR(D24="",E24="",F24="",G24=""),"",D24+E24+F24+G24))</f>
        <v/>
      </c>
    </row>
    <row r="25" spans="2:8" x14ac:dyDescent="0.3">
      <c r="B25" s="29" t="str">
        <f>IF(기초자료입력!B50&lt;&gt;"",7,"")</f>
        <v/>
      </c>
      <c r="C25" s="29" t="str">
        <f>IF(기초자료입력!B50&lt;&gt;"",기초자료입력!B50,"")</f>
        <v/>
      </c>
      <c r="D25" s="29" t="str">
        <f>IF(OR(기초자료입력!B50="",기초자료입력!C50=""),"",기초자료입력!C50)</f>
        <v/>
      </c>
      <c r="E25" s="29" t="str">
        <f>IF(OR(기초자료입력!B50="",기초자료입력!D50=""),"",기초자료입력!D50)</f>
        <v/>
      </c>
      <c r="F25" s="29" t="str">
        <f>IF(OR(기초자료입력!B50="",기초자료입력!E50=""),"",기초자료입력!E50)</f>
        <v/>
      </c>
      <c r="G25" s="29" t="str">
        <f>IF(OR(기초자료입력!B50="",기초자료입력!F50=""),"",기초자료입력!F50)</f>
        <v/>
      </c>
      <c r="H25" s="29" t="str">
        <f>IF(기초자료입력!B50="","",IF(OR(D25="",E25="",F25="",G25=""),"",D25+E25+F25+G25))</f>
        <v/>
      </c>
    </row>
    <row r="26" spans="2:8" x14ac:dyDescent="0.3">
      <c r="B26" s="29" t="str">
        <f>IF(기초자료입력!B51&lt;&gt;"",8,"")</f>
        <v/>
      </c>
      <c r="C26" s="29" t="str">
        <f>IF(기초자료입력!B51&lt;&gt;"",기초자료입력!B51,"")</f>
        <v/>
      </c>
      <c r="D26" s="29" t="str">
        <f>IF(OR(기초자료입력!B51="",기초자료입력!C51=""),"",기초자료입력!C51)</f>
        <v/>
      </c>
      <c r="E26" s="29" t="str">
        <f>IF(OR(기초자료입력!B51="",기초자료입력!D51=""),"",기초자료입력!D51)</f>
        <v/>
      </c>
      <c r="F26" s="29" t="str">
        <f>IF(OR(기초자료입력!B51="",기초자료입력!E51=""),"",기초자료입력!E51)</f>
        <v/>
      </c>
      <c r="G26" s="29" t="str">
        <f>IF(OR(기초자료입력!B51="",기초자료입력!F51=""),"",기초자료입력!F51)</f>
        <v/>
      </c>
      <c r="H26" s="29" t="str">
        <f>IF(기초자료입력!B51="","",IF(OR(D26="",E26="",F26="",G26=""),"",D26+E26+F26+G26))</f>
        <v/>
      </c>
    </row>
    <row r="27" spans="2:8" x14ac:dyDescent="0.3">
      <c r="B27" s="29" t="str">
        <f>IF(기초자료입력!B52&lt;&gt;"",9,"")</f>
        <v/>
      </c>
      <c r="C27" s="29" t="str">
        <f>IF(기초자료입력!B52&lt;&gt;"",기초자료입력!B52,"")</f>
        <v/>
      </c>
      <c r="D27" s="29" t="str">
        <f>IF(OR(기초자료입력!B52="",기초자료입력!C52=""),"",기초자료입력!C52)</f>
        <v/>
      </c>
      <c r="E27" s="29" t="str">
        <f>IF(OR(기초자료입력!B52="",기초자료입력!D52=""),"",기초자료입력!D52)</f>
        <v/>
      </c>
      <c r="F27" s="29" t="str">
        <f>IF(OR(기초자료입력!B52="",기초자료입력!E52=""),"",기초자료입력!E52)</f>
        <v/>
      </c>
      <c r="G27" s="29" t="str">
        <f>IF(OR(기초자료입력!B52="",기초자료입력!F52=""),"",기초자료입력!F52)</f>
        <v/>
      </c>
      <c r="H27" s="29" t="str">
        <f>IF(기초자료입력!B52="","",IF(OR(D27="",E27="",F27="",G27=""),"",D27+E27+F27+G27))</f>
        <v/>
      </c>
    </row>
    <row r="28" spans="2:8" x14ac:dyDescent="0.3">
      <c r="B28" s="29" t="str">
        <f>IF(기초자료입력!B53&lt;&gt;"",10,"")</f>
        <v/>
      </c>
      <c r="C28" s="29" t="str">
        <f>IF(기초자료입력!B53&lt;&gt;"",기초자료입력!B53,"")</f>
        <v/>
      </c>
      <c r="D28" s="29" t="str">
        <f>IF(OR(기초자료입력!B53="",기초자료입력!C53=""),"",기초자료입력!C53)</f>
        <v/>
      </c>
      <c r="E28" s="29" t="str">
        <f>IF(OR(기초자료입력!B53="",기초자료입력!D53=""),"",기초자료입력!D53)</f>
        <v/>
      </c>
      <c r="F28" s="29" t="str">
        <f>IF(OR(기초자료입력!B53="",기초자료입력!E53=""),"",기초자료입력!E53)</f>
        <v/>
      </c>
      <c r="G28" s="29" t="str">
        <f>IF(OR(기초자료입력!B53="",기초자료입력!F53=""),"",기초자료입력!F53)</f>
        <v/>
      </c>
      <c r="H28" s="29" t="str">
        <f>IF(기초자료입력!B53="","",IF(OR(D28="",E28="",F28="",G28=""),"",D28+E28+F28+G28))</f>
        <v/>
      </c>
    </row>
    <row r="29" spans="2:8" x14ac:dyDescent="0.3">
      <c r="B29" s="38"/>
      <c r="C29" s="38"/>
      <c r="D29" s="38"/>
      <c r="E29" s="38"/>
      <c r="F29" s="38"/>
      <c r="G29" s="38"/>
      <c r="H29" s="38"/>
    </row>
    <row r="30" spans="2:8" x14ac:dyDescent="0.3">
      <c r="B30" s="100" t="s">
        <v>919</v>
      </c>
      <c r="C30" s="100"/>
      <c r="D30" s="100"/>
      <c r="E30" s="100"/>
      <c r="F30" s="100"/>
      <c r="G30" s="100"/>
      <c r="H30" s="100"/>
    </row>
    <row r="31" spans="2:8" x14ac:dyDescent="0.3">
      <c r="B31" s="38"/>
      <c r="C31" s="38"/>
      <c r="D31" s="38"/>
      <c r="E31" s="38"/>
      <c r="F31" s="38"/>
      <c r="G31" s="38"/>
      <c r="H31" s="38"/>
    </row>
    <row r="32" spans="2:8" x14ac:dyDescent="0.3">
      <c r="B32" s="38"/>
      <c r="C32" s="38"/>
      <c r="D32" s="38"/>
      <c r="E32" s="38"/>
      <c r="F32" s="38"/>
      <c r="G32" s="38"/>
      <c r="H32" s="38"/>
    </row>
    <row r="33" spans="2:8" x14ac:dyDescent="0.3">
      <c r="B33" s="38"/>
      <c r="C33" s="38"/>
      <c r="D33" s="38"/>
      <c r="E33" s="38"/>
      <c r="F33" s="54" t="s">
        <v>297</v>
      </c>
      <c r="G33" s="54" t="s">
        <v>308</v>
      </c>
      <c r="H33" s="54" t="s">
        <v>298</v>
      </c>
    </row>
    <row r="34" spans="2:8" x14ac:dyDescent="0.3">
      <c r="B34" s="53" t="s">
        <v>309</v>
      </c>
      <c r="C34" s="89" t="str">
        <f>IF(기초자료입력!C9&lt;&gt;"",기초자료입력!C9,"")</f>
        <v/>
      </c>
      <c r="D34" s="89"/>
      <c r="E34" s="89"/>
      <c r="F34" s="54" t="s">
        <v>310</v>
      </c>
      <c r="G34" s="82"/>
      <c r="H34" s="82"/>
    </row>
    <row r="35" spans="2:8" x14ac:dyDescent="0.3">
      <c r="B35" s="53" t="s">
        <v>311</v>
      </c>
      <c r="C35" s="38"/>
      <c r="D35" s="53" t="s">
        <v>312</v>
      </c>
      <c r="E35" s="89"/>
      <c r="F35" s="82"/>
      <c r="G35" s="82"/>
      <c r="H35" s="82"/>
    </row>
    <row r="36" spans="2:8" x14ac:dyDescent="0.3">
      <c r="B36" s="53" t="s">
        <v>313</v>
      </c>
      <c r="C36" s="38"/>
      <c r="D36" s="53" t="s">
        <v>314</v>
      </c>
      <c r="E36" s="38"/>
      <c r="F36" s="54" t="s">
        <v>315</v>
      </c>
      <c r="G36" s="82"/>
      <c r="H36" s="82"/>
    </row>
  </sheetData>
  <mergeCells count="15">
    <mergeCell ref="E35:H35"/>
    <mergeCell ref="G36:H36"/>
    <mergeCell ref="B16:H16"/>
    <mergeCell ref="B17:B18"/>
    <mergeCell ref="C17:C18"/>
    <mergeCell ref="D17:H17"/>
    <mergeCell ref="B30:H30"/>
    <mergeCell ref="C34:E34"/>
    <mergeCell ref="G34:H34"/>
    <mergeCell ref="B13:H14"/>
    <mergeCell ref="B3:H4"/>
    <mergeCell ref="C7:H7"/>
    <mergeCell ref="C8:H8"/>
    <mergeCell ref="C9:H9"/>
    <mergeCell ref="B11:H11"/>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39938"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80D04-7937-47C4-8F0A-6BBB85A02D93}">
  <sheetPr codeName="Sheet40"/>
  <dimension ref="A1:H38"/>
  <sheetViews>
    <sheetView workbookViewId="0"/>
  </sheetViews>
  <sheetFormatPr defaultRowHeight="16.5" x14ac:dyDescent="0.3"/>
  <cols>
    <col min="1" max="1" width="3.125" customWidth="1"/>
    <col min="2" max="2" width="16.625" customWidth="1"/>
    <col min="3" max="6" width="10.625" customWidth="1"/>
    <col min="7" max="7" width="14.625" customWidth="1"/>
  </cols>
  <sheetData>
    <row r="1" spans="1:8" x14ac:dyDescent="0.3">
      <c r="A1" s="20" t="s">
        <v>920</v>
      </c>
    </row>
    <row r="3" spans="1:8" x14ac:dyDescent="0.3">
      <c r="B3" s="83" t="str">
        <f>IF(기초자료입력!C4&lt;&gt;"",기초자료입력!C4,"○○학교")&amp;" 교복 구매 제안서 평가 결과"</f>
        <v>○○학교 교복 구매 제안서 평가 결과</v>
      </c>
      <c r="C3" s="84"/>
      <c r="D3" s="84"/>
      <c r="E3" s="84"/>
      <c r="F3" s="84"/>
      <c r="G3" s="84"/>
      <c r="H3" s="84"/>
    </row>
    <row r="4" spans="1:8" x14ac:dyDescent="0.3">
      <c r="B4" s="84"/>
      <c r="C4" s="84"/>
      <c r="D4" s="84"/>
      <c r="E4" s="84"/>
      <c r="F4" s="84"/>
      <c r="G4" s="84"/>
      <c r="H4" s="84"/>
    </row>
    <row r="5" spans="1:8" x14ac:dyDescent="0.3">
      <c r="B5" s="54" t="s">
        <v>26</v>
      </c>
      <c r="C5" s="37" t="str">
        <f>IF(기초자료입력!C9&lt;&gt;"",기초자료입력!C9,"")</f>
        <v/>
      </c>
      <c r="D5" s="37"/>
      <c r="E5" s="54" t="s">
        <v>293</v>
      </c>
      <c r="F5" s="37" t="str">
        <f>IF(기초자료입력!C8&lt;&gt;"",TEXT(기초자료입력!C8,"yyyy-mm-dd"),"")</f>
        <v/>
      </c>
      <c r="G5" s="37"/>
    </row>
    <row r="6" spans="1:8" x14ac:dyDescent="0.3">
      <c r="B6" s="37"/>
      <c r="C6" s="37"/>
      <c r="D6" s="37"/>
      <c r="E6" s="37"/>
      <c r="F6" s="37"/>
      <c r="G6" s="37"/>
    </row>
    <row r="7" spans="1:8" x14ac:dyDescent="0.3">
      <c r="B7" s="54" t="s">
        <v>294</v>
      </c>
      <c r="C7" s="82" t="s">
        <v>514</v>
      </c>
      <c r="D7" s="82"/>
      <c r="E7" s="82"/>
      <c r="F7" s="82"/>
      <c r="G7" s="82"/>
      <c r="H7" s="77"/>
    </row>
    <row r="8" spans="1:8" x14ac:dyDescent="0.3">
      <c r="B8" s="54" t="s">
        <v>301</v>
      </c>
      <c r="C8" s="82"/>
      <c r="D8" s="82"/>
      <c r="E8" s="82"/>
      <c r="F8" s="82"/>
      <c r="G8" s="82"/>
      <c r="H8" s="77"/>
    </row>
    <row r="9" spans="1:8" x14ac:dyDescent="0.3">
      <c r="B9" s="54" t="s">
        <v>295</v>
      </c>
      <c r="C9" s="85" t="str">
        <f>IF(기초자료입력!C22&lt;&gt;"",기초자료입력!C22,IF(기초자료입력!C5&lt;&gt;"",기초자료입력!C5,"20○○")&amp;"학년도 교복 업체 선정을 위한 제안서 평가 집계결과 보고")</f>
        <v>20○○학년도 교복 업체 선정을 위한 제안서 평가 집계결과 보고</v>
      </c>
      <c r="D9" s="82"/>
      <c r="E9" s="82"/>
      <c r="F9" s="82"/>
      <c r="G9" s="82"/>
      <c r="H9" s="77"/>
    </row>
    <row r="10" spans="1:8" x14ac:dyDescent="0.3">
      <c r="B10" s="38"/>
      <c r="C10" s="38"/>
      <c r="D10" s="38"/>
      <c r="E10" s="38"/>
      <c r="F10" s="38"/>
      <c r="G10" s="38"/>
    </row>
    <row r="11" spans="1:8" x14ac:dyDescent="0.3">
      <c r="B11" s="90" t="str">
        <f>"1. 관련："&amp;IF(기초자료입력!C23&lt;&gt;"",기초자료입력!C23,"관련 문서를 확인하십시오.")</f>
        <v>1. 관련：관련 문서를 확인하십시오.</v>
      </c>
      <c r="C11" s="89"/>
      <c r="D11" s="89"/>
      <c r="E11" s="89"/>
      <c r="F11" s="89"/>
      <c r="G11" s="89"/>
      <c r="H11" s="77"/>
    </row>
    <row r="12" spans="1:8" x14ac:dyDescent="0.3">
      <c r="B12" s="38"/>
      <c r="C12" s="38"/>
      <c r="D12" s="38"/>
      <c r="E12" s="38"/>
      <c r="F12" s="38"/>
      <c r="G12" s="38"/>
    </row>
    <row r="13" spans="1:8" ht="27.95" customHeight="1" x14ac:dyDescent="0.3">
      <c r="B13" s="100" t="str">
        <f>"2. "&amp;IF(기초자료입력!C5&lt;&gt;"",기초자료입력!C5,"20○○")&amp;"학년도 교복업체 선정을 위한 제안서 평가위원회 실시 결과를 아래와 같이 보고합니다."</f>
        <v>2. 20○○학년도 교복업체 선정을 위한 제안서 평가위원회 실시 결과를 아래와 같이 보고합니다.</v>
      </c>
      <c r="C13" s="100"/>
      <c r="D13" s="100"/>
      <c r="E13" s="100"/>
      <c r="F13" s="100"/>
      <c r="G13" s="100"/>
      <c r="H13" s="81"/>
    </row>
    <row r="14" spans="1:8" x14ac:dyDescent="0.3">
      <c r="B14" s="100"/>
      <c r="C14" s="100"/>
      <c r="D14" s="100"/>
      <c r="E14" s="100"/>
      <c r="F14" s="100"/>
      <c r="G14" s="100"/>
      <c r="H14" s="81"/>
    </row>
    <row r="15" spans="1:8" x14ac:dyDescent="0.3">
      <c r="B15" s="38"/>
      <c r="C15" s="38"/>
      <c r="D15" s="38"/>
      <c r="E15" s="38"/>
      <c r="F15" s="38"/>
      <c r="G15" s="38"/>
    </row>
    <row r="16" spans="1:8" x14ac:dyDescent="0.3">
      <c r="B16" s="38"/>
      <c r="C16" s="38"/>
      <c r="D16" s="38"/>
      <c r="E16" s="38"/>
      <c r="F16" s="38"/>
      <c r="G16" s="38"/>
    </row>
    <row r="17" spans="2:7" x14ac:dyDescent="0.3">
      <c r="B17" s="110" t="s">
        <v>61</v>
      </c>
      <c r="C17" s="110" t="s">
        <v>921</v>
      </c>
      <c r="D17" s="110"/>
      <c r="E17" s="110"/>
      <c r="F17" s="110" t="s">
        <v>924</v>
      </c>
      <c r="G17" s="110" t="s">
        <v>925</v>
      </c>
    </row>
    <row r="18" spans="2:7" x14ac:dyDescent="0.3">
      <c r="B18" s="110"/>
      <c r="C18" s="61" t="s">
        <v>922</v>
      </c>
      <c r="D18" s="61" t="s">
        <v>923</v>
      </c>
      <c r="E18" s="61" t="s">
        <v>299</v>
      </c>
      <c r="F18" s="110"/>
      <c r="G18" s="110"/>
    </row>
    <row r="19" spans="2:7" x14ac:dyDescent="0.3">
      <c r="B19" s="29" t="str">
        <f>IF(기초자료입력!B44&lt;&gt;"",기초자료입력!B44,"")</f>
        <v/>
      </c>
      <c r="C19" s="29" t="str">
        <f>IF(기초자료입력!B44="","",IF(OR(기초자료입력!C44="",기초자료입력!D44="",기초자료입력!E44="",기초자료입력!F44=""),"",기초자료입력!C44+기초자료입력!D44+기초자료입력!E44+기초자료입력!F44))</f>
        <v/>
      </c>
      <c r="D19" s="29" t="str">
        <f>IF(기초자료입력!B44="","",IF(OR(기초자료입력!H44="",기초자료입력!I44="",기초자료입력!J44="",기초자료입력!K44="",기초자료입력!L44=""),"",기초자료입력!H44+기초자료입력!I44+기초자료입력!J44+기초자료입력!K44+기초자료입력!L44))</f>
        <v/>
      </c>
      <c r="E19" s="29" t="str">
        <f t="shared" ref="E19:E28" si="0">IF(OR(C19="",D19=""),"",C19+D19)</f>
        <v/>
      </c>
      <c r="F19" s="29" t="str">
        <f t="shared" ref="F19:F28" si="1">IF(E19="","",IF(E19&gt;=80,"적격","부적격"))</f>
        <v/>
      </c>
      <c r="G19" s="29" t="str">
        <f t="shared" ref="G19:G28" si="2">IF(F19="적격","가격개찰대상","")</f>
        <v/>
      </c>
    </row>
    <row r="20" spans="2:7" x14ac:dyDescent="0.3">
      <c r="B20" s="29" t="str">
        <f>IF(기초자료입력!B45&lt;&gt;"",기초자료입력!B45,"")</f>
        <v/>
      </c>
      <c r="C20" s="29" t="str">
        <f>IF(기초자료입력!B45="","",IF(OR(기초자료입력!C45="",기초자료입력!D45="",기초자료입력!E45="",기초자료입력!F45=""),"",기초자료입력!C45+기초자료입력!D45+기초자료입력!E45+기초자료입력!F45))</f>
        <v/>
      </c>
      <c r="D20" s="29" t="str">
        <f>IF(기초자료입력!B45="","",IF(OR(기초자료입력!H45="",기초자료입력!I45="",기초자료입력!J45="",기초자료입력!K45="",기초자료입력!L45=""),"",기초자료입력!H45+기초자료입력!I45+기초자료입력!J45+기초자료입력!K45+기초자료입력!L45))</f>
        <v/>
      </c>
      <c r="E20" s="29" t="str">
        <f t="shared" si="0"/>
        <v/>
      </c>
      <c r="F20" s="29" t="str">
        <f t="shared" si="1"/>
        <v/>
      </c>
      <c r="G20" s="29" t="str">
        <f t="shared" si="2"/>
        <v/>
      </c>
    </row>
    <row r="21" spans="2:7" x14ac:dyDescent="0.3">
      <c r="B21" s="29" t="str">
        <f>IF(기초자료입력!B46&lt;&gt;"",기초자료입력!B46,"")</f>
        <v/>
      </c>
      <c r="C21" s="29" t="str">
        <f>IF(기초자료입력!B46="","",IF(OR(기초자료입력!C46="",기초자료입력!D46="",기초자료입력!E46="",기초자료입력!F46=""),"",기초자료입력!C46+기초자료입력!D46+기초자료입력!E46+기초자료입력!F46))</f>
        <v/>
      </c>
      <c r="D21" s="29" t="str">
        <f>IF(기초자료입력!B46="","",IF(OR(기초자료입력!H46="",기초자료입력!I46="",기초자료입력!J46="",기초자료입력!K46="",기초자료입력!L46=""),"",기초자료입력!H46+기초자료입력!I46+기초자료입력!J46+기초자료입력!K46+기초자료입력!L46))</f>
        <v/>
      </c>
      <c r="E21" s="29" t="str">
        <f t="shared" si="0"/>
        <v/>
      </c>
      <c r="F21" s="29" t="str">
        <f t="shared" si="1"/>
        <v/>
      </c>
      <c r="G21" s="29" t="str">
        <f t="shared" si="2"/>
        <v/>
      </c>
    </row>
    <row r="22" spans="2:7" x14ac:dyDescent="0.3">
      <c r="B22" s="29" t="str">
        <f>IF(기초자료입력!B47&lt;&gt;"",기초자료입력!B47,"")</f>
        <v/>
      </c>
      <c r="C22" s="29" t="str">
        <f>IF(기초자료입력!B47="","",IF(OR(기초자료입력!C47="",기초자료입력!D47="",기초자료입력!E47="",기초자료입력!F47=""),"",기초자료입력!C47+기초자료입력!D47+기초자료입력!E47+기초자료입력!F47))</f>
        <v/>
      </c>
      <c r="D22" s="29" t="str">
        <f>IF(기초자료입력!B47="","",IF(OR(기초자료입력!H47="",기초자료입력!I47="",기초자료입력!J47="",기초자료입력!K47="",기초자료입력!L47=""),"",기초자료입력!H47+기초자료입력!I47+기초자료입력!J47+기초자료입력!K47+기초자료입력!L47))</f>
        <v/>
      </c>
      <c r="E22" s="29" t="str">
        <f t="shared" si="0"/>
        <v/>
      </c>
      <c r="F22" s="29" t="str">
        <f t="shared" si="1"/>
        <v/>
      </c>
      <c r="G22" s="29" t="str">
        <f t="shared" si="2"/>
        <v/>
      </c>
    </row>
    <row r="23" spans="2:7" x14ac:dyDescent="0.3">
      <c r="B23" s="29" t="str">
        <f>IF(기초자료입력!B48&lt;&gt;"",기초자료입력!B48,"")</f>
        <v/>
      </c>
      <c r="C23" s="29" t="str">
        <f>IF(기초자료입력!B48="","",IF(OR(기초자료입력!C48="",기초자료입력!D48="",기초자료입력!E48="",기초자료입력!F48=""),"",기초자료입력!C48+기초자료입력!D48+기초자료입력!E48+기초자료입력!F48))</f>
        <v/>
      </c>
      <c r="D23" s="29" t="str">
        <f>IF(기초자료입력!B48="","",IF(OR(기초자료입력!H48="",기초자료입력!I48="",기초자료입력!J48="",기초자료입력!K48="",기초자료입력!L48=""),"",기초자료입력!H48+기초자료입력!I48+기초자료입력!J48+기초자료입력!K48+기초자료입력!L48))</f>
        <v/>
      </c>
      <c r="E23" s="29" t="str">
        <f t="shared" si="0"/>
        <v/>
      </c>
      <c r="F23" s="29" t="str">
        <f t="shared" si="1"/>
        <v/>
      </c>
      <c r="G23" s="29" t="str">
        <f t="shared" si="2"/>
        <v/>
      </c>
    </row>
    <row r="24" spans="2:7" x14ac:dyDescent="0.3">
      <c r="B24" s="29" t="str">
        <f>IF(기초자료입력!B49&lt;&gt;"",기초자료입력!B49,"")</f>
        <v/>
      </c>
      <c r="C24" s="29" t="str">
        <f>IF(기초자료입력!B49="","",IF(OR(기초자료입력!C49="",기초자료입력!D49="",기초자료입력!E49="",기초자료입력!F49=""),"",기초자료입력!C49+기초자료입력!D49+기초자료입력!E49+기초자료입력!F49))</f>
        <v/>
      </c>
      <c r="D24" s="29" t="str">
        <f>IF(기초자료입력!B49="","",IF(OR(기초자료입력!H49="",기초자료입력!I49="",기초자료입력!J49="",기초자료입력!K49="",기초자료입력!L49=""),"",기초자료입력!H49+기초자료입력!I49+기초자료입력!J49+기초자료입력!K49+기초자료입력!L49))</f>
        <v/>
      </c>
      <c r="E24" s="29" t="str">
        <f t="shared" si="0"/>
        <v/>
      </c>
      <c r="F24" s="29" t="str">
        <f t="shared" si="1"/>
        <v/>
      </c>
      <c r="G24" s="29" t="str">
        <f t="shared" si="2"/>
        <v/>
      </c>
    </row>
    <row r="25" spans="2:7" x14ac:dyDescent="0.3">
      <c r="B25" s="29" t="str">
        <f>IF(기초자료입력!B50&lt;&gt;"",기초자료입력!B50,"")</f>
        <v/>
      </c>
      <c r="C25" s="29" t="str">
        <f>IF(기초자료입력!B50="","",IF(OR(기초자료입력!C50="",기초자료입력!D50="",기초자료입력!E50="",기초자료입력!F50=""),"",기초자료입력!C50+기초자료입력!D50+기초자료입력!E50+기초자료입력!F50))</f>
        <v/>
      </c>
      <c r="D25" s="29" t="str">
        <f>IF(기초자료입력!B50="","",IF(OR(기초자료입력!H50="",기초자료입력!I50="",기초자료입력!J50="",기초자료입력!K50="",기초자료입력!L50=""),"",기초자료입력!H50+기초자료입력!I50+기초자료입력!J50+기초자료입력!K50+기초자료입력!L50))</f>
        <v/>
      </c>
      <c r="E25" s="29" t="str">
        <f t="shared" si="0"/>
        <v/>
      </c>
      <c r="F25" s="29" t="str">
        <f t="shared" si="1"/>
        <v/>
      </c>
      <c r="G25" s="29" t="str">
        <f t="shared" si="2"/>
        <v/>
      </c>
    </row>
    <row r="26" spans="2:7" x14ac:dyDescent="0.3">
      <c r="B26" s="29" t="str">
        <f>IF(기초자료입력!B51&lt;&gt;"",기초자료입력!B51,"")</f>
        <v/>
      </c>
      <c r="C26" s="29" t="str">
        <f>IF(기초자료입력!B51="","",IF(OR(기초자료입력!C51="",기초자료입력!D51="",기초자료입력!E51="",기초자료입력!F51=""),"",기초자료입력!C51+기초자료입력!D51+기초자료입력!E51+기초자료입력!F51))</f>
        <v/>
      </c>
      <c r="D26" s="29" t="str">
        <f>IF(기초자료입력!B51="","",IF(OR(기초자료입력!H51="",기초자료입력!I51="",기초자료입력!J51="",기초자료입력!K51="",기초자료입력!L51=""),"",기초자료입력!H51+기초자료입력!I51+기초자료입력!J51+기초자료입력!K51+기초자료입력!L51))</f>
        <v/>
      </c>
      <c r="E26" s="29" t="str">
        <f t="shared" si="0"/>
        <v/>
      </c>
      <c r="F26" s="29" t="str">
        <f t="shared" si="1"/>
        <v/>
      </c>
      <c r="G26" s="29" t="str">
        <f t="shared" si="2"/>
        <v/>
      </c>
    </row>
    <row r="27" spans="2:7" x14ac:dyDescent="0.3">
      <c r="B27" s="29" t="str">
        <f>IF(기초자료입력!B52&lt;&gt;"",기초자료입력!B52,"")</f>
        <v/>
      </c>
      <c r="C27" s="29" t="str">
        <f>IF(기초자료입력!B52="","",IF(OR(기초자료입력!C52="",기초자료입력!D52="",기초자료입력!E52="",기초자료입력!F52=""),"",기초자료입력!C52+기초자료입력!D52+기초자료입력!E52+기초자료입력!F52))</f>
        <v/>
      </c>
      <c r="D27" s="29" t="str">
        <f>IF(기초자료입력!B52="","",IF(OR(기초자료입력!H52="",기초자료입력!I52="",기초자료입력!J52="",기초자료입력!K52="",기초자료입력!L52=""),"",기초자료입력!H52+기초자료입력!I52+기초자료입력!J52+기초자료입력!K52+기초자료입력!L52))</f>
        <v/>
      </c>
      <c r="E27" s="29" t="str">
        <f t="shared" si="0"/>
        <v/>
      </c>
      <c r="F27" s="29" t="str">
        <f t="shared" si="1"/>
        <v/>
      </c>
      <c r="G27" s="29" t="str">
        <f t="shared" si="2"/>
        <v/>
      </c>
    </row>
    <row r="28" spans="2:7" x14ac:dyDescent="0.3">
      <c r="B28" s="29" t="str">
        <f>IF(기초자료입력!B53&lt;&gt;"",기초자료입력!B53,"")</f>
        <v/>
      </c>
      <c r="C28" s="29" t="str">
        <f>IF(기초자료입력!B53="","",IF(OR(기초자료입력!C53="",기초자료입력!D53="",기초자료입력!E53="",기초자료입력!F53=""),"",기초자료입력!C53+기초자료입력!D53+기초자료입력!E53+기초자료입력!F53))</f>
        <v/>
      </c>
      <c r="D28" s="29" t="str">
        <f>IF(기초자료입력!B53="","",IF(OR(기초자료입력!H53="",기초자료입력!I53="",기초자료입력!J53="",기초자료입력!K53="",기초자료입력!L53=""),"",기초자료입력!H53+기초자료입력!I53+기초자료입력!J53+기초자료입력!K53+기초자료입력!L53))</f>
        <v/>
      </c>
      <c r="E28" s="29" t="str">
        <f t="shared" si="0"/>
        <v/>
      </c>
      <c r="F28" s="29" t="str">
        <f t="shared" si="1"/>
        <v/>
      </c>
      <c r="G28" s="29" t="str">
        <f t="shared" si="2"/>
        <v/>
      </c>
    </row>
    <row r="29" spans="2:7" x14ac:dyDescent="0.3">
      <c r="B29" s="89" t="s">
        <v>926</v>
      </c>
      <c r="C29" s="89"/>
      <c r="D29" s="89"/>
      <c r="E29" s="89"/>
      <c r="F29" s="89"/>
      <c r="G29" s="89"/>
    </row>
    <row r="30" spans="2:7" x14ac:dyDescent="0.3">
      <c r="B30" s="100" t="s">
        <v>927</v>
      </c>
      <c r="C30" s="100"/>
      <c r="D30" s="100"/>
      <c r="E30" s="100"/>
      <c r="F30" s="100"/>
      <c r="G30" s="100"/>
    </row>
    <row r="31" spans="2:7" x14ac:dyDescent="0.3">
      <c r="B31" s="100"/>
      <c r="C31" s="100"/>
      <c r="D31" s="100"/>
      <c r="E31" s="100"/>
      <c r="F31" s="100"/>
      <c r="G31" s="100"/>
    </row>
    <row r="32" spans="2:7" x14ac:dyDescent="0.3">
      <c r="B32" s="100"/>
      <c r="C32" s="100"/>
      <c r="D32" s="100"/>
      <c r="E32" s="100"/>
      <c r="F32" s="100"/>
      <c r="G32" s="100"/>
    </row>
    <row r="33" spans="2:7" x14ac:dyDescent="0.3">
      <c r="B33" s="100"/>
      <c r="C33" s="100"/>
      <c r="D33" s="100"/>
      <c r="E33" s="100"/>
      <c r="F33" s="100"/>
      <c r="G33" s="100"/>
    </row>
    <row r="34" spans="2:7" x14ac:dyDescent="0.3">
      <c r="B34" s="100"/>
      <c r="C34" s="100"/>
      <c r="D34" s="100"/>
      <c r="E34" s="100"/>
      <c r="F34" s="100"/>
      <c r="G34" s="100"/>
    </row>
    <row r="35" spans="2:7" x14ac:dyDescent="0.3">
      <c r="B35" s="38"/>
      <c r="C35" s="38"/>
      <c r="D35" s="38"/>
      <c r="E35" s="38"/>
      <c r="F35" s="38"/>
      <c r="G35" s="38"/>
    </row>
    <row r="36" spans="2:7" x14ac:dyDescent="0.3">
      <c r="B36" s="38"/>
      <c r="C36" s="38"/>
      <c r="D36" s="38"/>
      <c r="E36" s="38"/>
      <c r="F36" s="38"/>
      <c r="G36" s="38"/>
    </row>
    <row r="37" spans="2:7" x14ac:dyDescent="0.3">
      <c r="B37" s="38"/>
      <c r="C37" s="38"/>
      <c r="D37" s="38"/>
      <c r="E37" s="38"/>
      <c r="F37" s="53" t="s">
        <v>297</v>
      </c>
      <c r="G37" s="53" t="s">
        <v>298</v>
      </c>
    </row>
    <row r="38" spans="2:7" x14ac:dyDescent="0.3">
      <c r="B38" s="53" t="s">
        <v>309</v>
      </c>
      <c r="C38" s="89" t="str">
        <f>IF(기초자료입력!C9&lt;&gt;"",기초자료입력!C9,"")</f>
        <v/>
      </c>
      <c r="D38" s="89"/>
      <c r="E38" s="89"/>
      <c r="F38" s="53" t="s">
        <v>310</v>
      </c>
      <c r="G38" s="38"/>
    </row>
  </sheetData>
  <mergeCells count="13">
    <mergeCell ref="C38:E38"/>
    <mergeCell ref="B17:B18"/>
    <mergeCell ref="C17:E17"/>
    <mergeCell ref="F17:F18"/>
    <mergeCell ref="G17:G18"/>
    <mergeCell ref="B29:G29"/>
    <mergeCell ref="B30:G34"/>
    <mergeCell ref="B13:H14"/>
    <mergeCell ref="B3:H4"/>
    <mergeCell ref="C7:H7"/>
    <mergeCell ref="C8:H8"/>
    <mergeCell ref="C9:H9"/>
    <mergeCell ref="B11:H11"/>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40962"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617F8-2E97-415D-AD61-AA43466073FF}">
  <sheetPr codeName="Sheet41"/>
  <dimension ref="A1:H21"/>
  <sheetViews>
    <sheetView workbookViewId="0"/>
  </sheetViews>
  <sheetFormatPr defaultRowHeight="16.5" x14ac:dyDescent="0.3"/>
  <cols>
    <col min="1" max="1" width="3.125" customWidth="1"/>
    <col min="2" max="2" width="7.625" customWidth="1"/>
    <col min="3" max="4" width="16.625" customWidth="1"/>
    <col min="5" max="6" width="15.625" customWidth="1"/>
    <col min="7" max="8" width="2.625" customWidth="1"/>
  </cols>
  <sheetData>
    <row r="1" spans="1:8" x14ac:dyDescent="0.3">
      <c r="A1" s="20" t="s">
        <v>928</v>
      </c>
    </row>
    <row r="3" spans="1:8" x14ac:dyDescent="0.3">
      <c r="B3" s="104" t="str">
        <f>IF(기초자료입력!C5&lt;&gt;"",기초자료입력!C5&amp;"학년도 ","")&amp;"교복선정 평가위원회 참석 등록부"</f>
        <v>교복선정 평가위원회 참석 등록부</v>
      </c>
      <c r="C3" s="105"/>
      <c r="D3" s="105"/>
      <c r="E3" s="105"/>
      <c r="F3" s="105"/>
      <c r="G3" s="105"/>
      <c r="H3" s="105"/>
    </row>
    <row r="4" spans="1:8" x14ac:dyDescent="0.3">
      <c r="B4" s="21"/>
      <c r="C4" s="21"/>
      <c r="D4" s="21"/>
      <c r="E4" s="21"/>
      <c r="F4" s="21"/>
      <c r="G4" s="21"/>
      <c r="H4" s="21"/>
    </row>
    <row r="5" spans="1:8" x14ac:dyDescent="0.3">
      <c r="B5" s="105" t="str">
        <f>IF(기초자료입력!C4&lt;&gt;"",기초자료입력!C4,"")&amp;IF(기초자료입력!C22&lt;&gt;""," · "&amp;기초자료입력!C22,"")</f>
        <v/>
      </c>
      <c r="C5" s="105"/>
      <c r="D5" s="105"/>
      <c r="E5" s="105"/>
      <c r="F5" s="105"/>
      <c r="G5" s="105"/>
      <c r="H5" s="105"/>
    </row>
    <row r="6" spans="1:8" x14ac:dyDescent="0.3">
      <c r="B6" s="21"/>
      <c r="C6" s="21"/>
      <c r="D6" s="21"/>
      <c r="E6" s="21"/>
      <c r="F6" s="21"/>
      <c r="G6" s="21"/>
      <c r="H6" s="21"/>
    </row>
    <row r="7" spans="1:8" x14ac:dyDescent="0.3">
      <c r="B7" s="21" t="s">
        <v>929</v>
      </c>
      <c r="C7" s="98"/>
      <c r="D7" s="98"/>
      <c r="E7" s="98"/>
      <c r="F7" s="98"/>
      <c r="G7" s="98"/>
      <c r="H7" s="98"/>
    </row>
    <row r="8" spans="1:8" x14ac:dyDescent="0.3">
      <c r="B8" s="21" t="s">
        <v>930</v>
      </c>
      <c r="C8" s="98" t="s">
        <v>931</v>
      </c>
      <c r="D8" s="98"/>
      <c r="E8" s="98"/>
      <c r="F8" s="98"/>
      <c r="G8" s="98"/>
      <c r="H8" s="98"/>
    </row>
    <row r="9" spans="1:8" x14ac:dyDescent="0.3">
      <c r="B9" s="21"/>
      <c r="C9" s="21"/>
      <c r="D9" s="21"/>
      <c r="E9" s="21"/>
      <c r="F9" s="21"/>
      <c r="G9" s="21"/>
      <c r="H9" s="21"/>
    </row>
    <row r="10" spans="1:8" x14ac:dyDescent="0.3">
      <c r="B10" s="99" t="s">
        <v>932</v>
      </c>
      <c r="C10" s="98"/>
      <c r="D10" s="98"/>
      <c r="E10" s="98"/>
      <c r="F10" s="98"/>
      <c r="G10" s="98"/>
      <c r="H10" s="98"/>
    </row>
    <row r="11" spans="1:8" x14ac:dyDescent="0.3">
      <c r="B11" s="24" t="s">
        <v>524</v>
      </c>
      <c r="C11" s="24" t="s">
        <v>624</v>
      </c>
      <c r="D11" s="24" t="s">
        <v>526</v>
      </c>
      <c r="E11" s="24" t="s">
        <v>933</v>
      </c>
      <c r="F11" s="24" t="s">
        <v>320</v>
      </c>
      <c r="G11" s="21"/>
      <c r="H11" s="21"/>
    </row>
    <row r="12" spans="1:8" x14ac:dyDescent="0.3">
      <c r="B12" s="51">
        <v>1</v>
      </c>
      <c r="C12" s="51" t="str">
        <f>IF(기초자료입력!B58&lt;&gt;"",기초자료입력!B58,"")</f>
        <v/>
      </c>
      <c r="D12" s="51"/>
      <c r="E12" s="51"/>
      <c r="F12" s="51"/>
      <c r="G12" s="21"/>
      <c r="H12" s="21"/>
    </row>
    <row r="13" spans="1:8" x14ac:dyDescent="0.3">
      <c r="B13" s="51">
        <v>2</v>
      </c>
      <c r="C13" s="51" t="str">
        <f>IF(기초자료입력!B59&lt;&gt;"",기초자료입력!B59,"")</f>
        <v/>
      </c>
      <c r="D13" s="51"/>
      <c r="E13" s="51"/>
      <c r="F13" s="51"/>
      <c r="G13" s="21"/>
      <c r="H13" s="21"/>
    </row>
    <row r="14" spans="1:8" x14ac:dyDescent="0.3">
      <c r="B14" s="51">
        <v>3</v>
      </c>
      <c r="C14" s="51" t="str">
        <f>IF(기초자료입력!B60&lt;&gt;"",기초자료입력!B60,"")</f>
        <v/>
      </c>
      <c r="D14" s="51"/>
      <c r="E14" s="51"/>
      <c r="F14" s="51"/>
      <c r="G14" s="21"/>
      <c r="H14" s="21"/>
    </row>
    <row r="15" spans="1:8" x14ac:dyDescent="0.3">
      <c r="B15" s="51">
        <v>4</v>
      </c>
      <c r="C15" s="51" t="str">
        <f>IF(기초자료입력!B61&lt;&gt;"",기초자료입력!B61,"")</f>
        <v/>
      </c>
      <c r="D15" s="51"/>
      <c r="E15" s="51"/>
      <c r="F15" s="51"/>
      <c r="G15" s="21"/>
      <c r="H15" s="21"/>
    </row>
    <row r="16" spans="1:8" x14ac:dyDescent="0.3">
      <c r="B16" s="51">
        <v>5</v>
      </c>
      <c r="C16" s="51" t="str">
        <f>IF(기초자료입력!B62&lt;&gt;"",기초자료입력!B62,"")</f>
        <v/>
      </c>
      <c r="D16" s="51"/>
      <c r="E16" s="51"/>
      <c r="F16" s="51"/>
      <c r="G16" s="21"/>
      <c r="H16" s="21"/>
    </row>
    <row r="17" spans="2:8" x14ac:dyDescent="0.3">
      <c r="B17" s="51">
        <v>6</v>
      </c>
      <c r="C17" s="51" t="str">
        <f>IF(기초자료입력!B63&lt;&gt;"",기초자료입력!B63,"")</f>
        <v/>
      </c>
      <c r="D17" s="51"/>
      <c r="E17" s="51"/>
      <c r="F17" s="51"/>
      <c r="G17" s="21"/>
      <c r="H17" s="21"/>
    </row>
    <row r="18" spans="2:8" x14ac:dyDescent="0.3">
      <c r="B18" s="51">
        <v>7</v>
      </c>
      <c r="C18" s="51" t="str">
        <f>IF(기초자료입력!B64&lt;&gt;"",기초자료입력!B64,"")</f>
        <v/>
      </c>
      <c r="D18" s="51"/>
      <c r="E18" s="51"/>
      <c r="F18" s="51"/>
      <c r="G18" s="21"/>
      <c r="H18" s="21"/>
    </row>
    <row r="19" spans="2:8" x14ac:dyDescent="0.3">
      <c r="B19" s="51">
        <v>8</v>
      </c>
      <c r="C19" s="51" t="str">
        <f>IF(기초자료입력!B65&lt;&gt;"",기초자료입력!B65,"")</f>
        <v/>
      </c>
      <c r="D19" s="51"/>
      <c r="E19" s="51"/>
      <c r="F19" s="51"/>
      <c r="G19" s="21"/>
      <c r="H19" s="21"/>
    </row>
    <row r="20" spans="2:8" x14ac:dyDescent="0.3">
      <c r="B20" s="51">
        <v>9</v>
      </c>
      <c r="C20" s="51" t="str">
        <f>IF(기초자료입력!B66&lt;&gt;"",기초자료입력!B66,"")</f>
        <v/>
      </c>
      <c r="D20" s="51"/>
      <c r="E20" s="51"/>
      <c r="F20" s="51"/>
      <c r="G20" s="21"/>
      <c r="H20" s="21"/>
    </row>
    <row r="21" spans="2:8" x14ac:dyDescent="0.3">
      <c r="B21" s="51">
        <v>10</v>
      </c>
      <c r="C21" s="51" t="str">
        <f>IF(기초자료입력!B67&lt;&gt;"",기초자료입력!B67,"")</f>
        <v/>
      </c>
      <c r="D21" s="51"/>
      <c r="E21" s="51"/>
      <c r="F21" s="51"/>
      <c r="G21" s="21"/>
      <c r="H21" s="21"/>
    </row>
  </sheetData>
  <mergeCells count="5">
    <mergeCell ref="B3:H3"/>
    <mergeCell ref="B5:H5"/>
    <mergeCell ref="C7:H7"/>
    <mergeCell ref="C8:H8"/>
    <mergeCell ref="B10:H10"/>
  </mergeCells>
  <phoneticPr fontId="6" type="noConversion"/>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41986"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C9FC-6233-4D22-8726-699BDDA992DE}">
  <sheetPr codeName="Sheet42"/>
  <dimension ref="A1:I23"/>
  <sheetViews>
    <sheetView workbookViewId="0"/>
  </sheetViews>
  <sheetFormatPr defaultRowHeight="16.5" x14ac:dyDescent="0.3"/>
  <cols>
    <col min="1" max="1" width="3.125" customWidth="1"/>
    <col min="2" max="9" width="8.625" customWidth="1"/>
  </cols>
  <sheetData>
    <row r="1" spans="1:9" x14ac:dyDescent="0.3">
      <c r="A1" s="20" t="s">
        <v>934</v>
      </c>
    </row>
    <row r="3" spans="1:9" x14ac:dyDescent="0.3">
      <c r="B3" s="115" t="s">
        <v>935</v>
      </c>
      <c r="C3" s="109"/>
      <c r="D3" s="109"/>
      <c r="E3" s="109"/>
      <c r="F3" s="109"/>
      <c r="G3" s="109"/>
      <c r="H3" s="109"/>
      <c r="I3" s="109"/>
    </row>
    <row r="4" spans="1:9" x14ac:dyDescent="0.3">
      <c r="B4" s="38"/>
      <c r="C4" s="38"/>
      <c r="D4" s="38"/>
      <c r="E4" s="38"/>
      <c r="F4" s="38"/>
      <c r="G4" s="38"/>
      <c r="H4" s="38"/>
      <c r="I4" s="38"/>
    </row>
    <row r="5" spans="1:9" x14ac:dyDescent="0.3">
      <c r="B5" s="109" t="str">
        <f>IF(기초자료입력!C4&lt;&gt;"",기초자료입력!C4,"")&amp;IF(기초자료입력!C5&lt;&gt;""," ("&amp;기초자료입력!C5&amp;"학년도)","")&amp;IF(기초자료입력!C22&lt;&gt;""," · "&amp;기초자료입력!C22,"")</f>
        <v/>
      </c>
      <c r="C5" s="109"/>
      <c r="D5" s="109"/>
      <c r="E5" s="109"/>
      <c r="F5" s="109"/>
      <c r="G5" s="109"/>
      <c r="H5" s="109"/>
      <c r="I5" s="109"/>
    </row>
    <row r="6" spans="1:9" x14ac:dyDescent="0.3">
      <c r="B6" s="38"/>
      <c r="C6" s="38"/>
      <c r="D6" s="38"/>
      <c r="E6" s="38"/>
      <c r="F6" s="38"/>
      <c r="G6" s="38"/>
      <c r="H6" s="38"/>
      <c r="I6" s="38"/>
    </row>
    <row r="7" spans="1:9" ht="27.95" customHeight="1" x14ac:dyDescent="0.3">
      <c r="B7" s="141" t="s">
        <v>936</v>
      </c>
      <c r="C7" s="141"/>
      <c r="D7" s="141"/>
      <c r="E7" s="141" t="s">
        <v>937</v>
      </c>
      <c r="F7" s="141"/>
      <c r="G7" s="141"/>
      <c r="H7" s="141" t="s">
        <v>938</v>
      </c>
      <c r="I7" s="141" t="s">
        <v>320</v>
      </c>
    </row>
    <row r="8" spans="1:9" ht="30" customHeight="1" x14ac:dyDescent="0.3">
      <c r="B8" s="68" t="s">
        <v>61</v>
      </c>
      <c r="C8" s="68" t="s">
        <v>386</v>
      </c>
      <c r="D8" s="68" t="s">
        <v>438</v>
      </c>
      <c r="E8" s="68" t="s">
        <v>624</v>
      </c>
      <c r="F8" s="68" t="s">
        <v>903</v>
      </c>
      <c r="G8" s="68" t="s">
        <v>901</v>
      </c>
      <c r="H8" s="141"/>
      <c r="I8" s="141"/>
    </row>
    <row r="9" spans="1:9" x14ac:dyDescent="0.3">
      <c r="B9" s="70" t="str">
        <f>IF(기초자료입력!B44&lt;&gt;"",기초자료입력!B44,"")</f>
        <v/>
      </c>
      <c r="C9" s="70"/>
      <c r="D9" s="70"/>
      <c r="E9" s="70"/>
      <c r="F9" s="70"/>
      <c r="G9" s="70"/>
      <c r="H9" s="70"/>
      <c r="I9" s="70"/>
    </row>
    <row r="10" spans="1:9" x14ac:dyDescent="0.3">
      <c r="B10" s="70" t="str">
        <f>IF(기초자료입력!B45&lt;&gt;"",기초자료입력!B45,"")</f>
        <v/>
      </c>
      <c r="C10" s="70"/>
      <c r="D10" s="70"/>
      <c r="E10" s="70"/>
      <c r="F10" s="70"/>
      <c r="G10" s="70"/>
      <c r="H10" s="70"/>
      <c r="I10" s="70"/>
    </row>
    <row r="11" spans="1:9" x14ac:dyDescent="0.3">
      <c r="B11" s="70" t="str">
        <f>IF(기초자료입력!B46&lt;&gt;"",기초자료입력!B46,"")</f>
        <v/>
      </c>
      <c r="C11" s="70"/>
      <c r="D11" s="70"/>
      <c r="E11" s="70"/>
      <c r="F11" s="70"/>
      <c r="G11" s="70"/>
      <c r="H11" s="70"/>
      <c r="I11" s="70"/>
    </row>
    <row r="12" spans="1:9" x14ac:dyDescent="0.3">
      <c r="B12" s="70" t="str">
        <f>IF(기초자료입력!B47&lt;&gt;"",기초자료입력!B47,"")</f>
        <v/>
      </c>
      <c r="C12" s="70"/>
      <c r="D12" s="70"/>
      <c r="E12" s="70"/>
      <c r="F12" s="70"/>
      <c r="G12" s="70"/>
      <c r="H12" s="70"/>
      <c r="I12" s="70"/>
    </row>
    <row r="13" spans="1:9" x14ac:dyDescent="0.3">
      <c r="B13" s="70" t="str">
        <f>IF(기초자료입력!B48&lt;&gt;"",기초자료입력!B48,"")</f>
        <v/>
      </c>
      <c r="C13" s="70"/>
      <c r="D13" s="70"/>
      <c r="E13" s="70"/>
      <c r="F13" s="70"/>
      <c r="G13" s="70"/>
      <c r="H13" s="70"/>
      <c r="I13" s="70"/>
    </row>
    <row r="14" spans="1:9" x14ac:dyDescent="0.3">
      <c r="B14" s="70" t="str">
        <f>IF(기초자료입력!B49&lt;&gt;"",기초자료입력!B49,"")</f>
        <v/>
      </c>
      <c r="C14" s="70"/>
      <c r="D14" s="70"/>
      <c r="E14" s="70"/>
      <c r="F14" s="70"/>
      <c r="G14" s="70"/>
      <c r="H14" s="70"/>
      <c r="I14" s="70"/>
    </row>
    <row r="15" spans="1:9" x14ac:dyDescent="0.3">
      <c r="B15" s="70" t="str">
        <f>IF(기초자료입력!B50&lt;&gt;"",기초자료입력!B50,"")</f>
        <v/>
      </c>
      <c r="C15" s="70"/>
      <c r="D15" s="70"/>
      <c r="E15" s="70"/>
      <c r="F15" s="70"/>
      <c r="G15" s="70"/>
      <c r="H15" s="70"/>
      <c r="I15" s="70"/>
    </row>
    <row r="16" spans="1:9" x14ac:dyDescent="0.3">
      <c r="B16" s="70" t="str">
        <f>IF(기초자료입력!B51&lt;&gt;"",기초자료입력!B51,"")</f>
        <v/>
      </c>
      <c r="C16" s="70"/>
      <c r="D16" s="70"/>
      <c r="E16" s="70"/>
      <c r="F16" s="70"/>
      <c r="G16" s="70"/>
      <c r="H16" s="70"/>
      <c r="I16" s="70"/>
    </row>
    <row r="17" spans="2:9" x14ac:dyDescent="0.3">
      <c r="B17" s="70" t="str">
        <f>IF(기초자료입력!B52&lt;&gt;"",기초자료입력!B52,"")</f>
        <v/>
      </c>
      <c r="C17" s="70"/>
      <c r="D17" s="70"/>
      <c r="E17" s="70"/>
      <c r="F17" s="70"/>
      <c r="G17" s="70"/>
      <c r="H17" s="70"/>
      <c r="I17" s="70"/>
    </row>
    <row r="18" spans="2:9" x14ac:dyDescent="0.3">
      <c r="B18" s="70" t="str">
        <f>IF(기초자료입력!B53&lt;&gt;"",기초자료입력!B53,"")</f>
        <v/>
      </c>
      <c r="C18" s="70"/>
      <c r="D18" s="70"/>
      <c r="E18" s="70"/>
      <c r="F18" s="70"/>
      <c r="G18" s="70"/>
      <c r="H18" s="70"/>
      <c r="I18" s="70"/>
    </row>
    <row r="19" spans="2:9" x14ac:dyDescent="0.3">
      <c r="B19" s="38"/>
      <c r="C19" s="38"/>
      <c r="D19" s="38"/>
      <c r="E19" s="38"/>
      <c r="F19" s="38"/>
      <c r="G19" s="38"/>
      <c r="H19" s="38"/>
      <c r="I19" s="38"/>
    </row>
    <row r="20" spans="2:9" x14ac:dyDescent="0.3">
      <c r="B20" s="90" t="s">
        <v>939</v>
      </c>
      <c r="C20" s="89"/>
      <c r="D20" s="89"/>
      <c r="E20" s="89"/>
      <c r="F20" s="89"/>
      <c r="G20" s="89"/>
      <c r="H20" s="89"/>
      <c r="I20" s="89"/>
    </row>
    <row r="21" spans="2:9" x14ac:dyDescent="0.3">
      <c r="B21" s="89" t="s">
        <v>940</v>
      </c>
      <c r="C21" s="89"/>
      <c r="D21" s="89"/>
      <c r="E21" s="89"/>
      <c r="F21" s="89"/>
      <c r="G21" s="89"/>
      <c r="H21" s="89"/>
      <c r="I21" s="89"/>
    </row>
    <row r="22" spans="2:9" x14ac:dyDescent="0.3">
      <c r="B22" s="89" t="s">
        <v>941</v>
      </c>
      <c r="C22" s="89"/>
      <c r="D22" s="89"/>
      <c r="E22" s="89"/>
      <c r="F22" s="89"/>
      <c r="G22" s="89"/>
      <c r="H22" s="89"/>
      <c r="I22" s="89"/>
    </row>
    <row r="23" spans="2:9" x14ac:dyDescent="0.3">
      <c r="B23" s="89" t="s">
        <v>942</v>
      </c>
      <c r="C23" s="89"/>
      <c r="D23" s="89"/>
      <c r="E23" s="89"/>
      <c r="F23" s="89"/>
      <c r="G23" s="89"/>
      <c r="H23" s="89"/>
      <c r="I23" s="89"/>
    </row>
  </sheetData>
  <mergeCells count="10">
    <mergeCell ref="B20:I20"/>
    <mergeCell ref="B21:I21"/>
    <mergeCell ref="B22:I22"/>
    <mergeCell ref="B23:I23"/>
    <mergeCell ref="B3:I3"/>
    <mergeCell ref="B5:I5"/>
    <mergeCell ref="B7:D7"/>
    <mergeCell ref="E7:G7"/>
    <mergeCell ref="H7:H8"/>
    <mergeCell ref="I7:I8"/>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43010"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0B52E-93A0-46DE-9A23-55E1A001F5EF}">
  <sheetPr codeName="Sheet43"/>
  <dimension ref="A1:K19"/>
  <sheetViews>
    <sheetView workbookViewId="0"/>
  </sheetViews>
  <sheetFormatPr defaultRowHeight="16.5" x14ac:dyDescent="0.3"/>
  <cols>
    <col min="1" max="1" width="3.125" customWidth="1"/>
    <col min="2" max="2" width="6.625" customWidth="1"/>
    <col min="3" max="3" width="14.625" customWidth="1"/>
    <col min="4" max="4" width="12.625" customWidth="1"/>
    <col min="5" max="9" width="9.625" customWidth="1"/>
    <col min="10" max="10" width="14.625" customWidth="1"/>
  </cols>
  <sheetData>
    <row r="1" spans="1:11" x14ac:dyDescent="0.3">
      <c r="A1" s="20" t="s">
        <v>943</v>
      </c>
    </row>
    <row r="2" spans="1:11" x14ac:dyDescent="0.3">
      <c r="K2" s="36" t="s">
        <v>342</v>
      </c>
    </row>
    <row r="3" spans="1:11" x14ac:dyDescent="0.3">
      <c r="B3" s="115" t="str">
        <f>"[13-3] "&amp;IF(기초자료입력!C5&lt;&gt;"",기초자료입력!C5,"20○○")&amp;"학년도 교복(동복·하복) 구매 업체별 제안서 평가표"</f>
        <v>[13-3] 20○○학년도 교복(동복·하복) 구매 업체별 제안서 평가표</v>
      </c>
      <c r="C3" s="109"/>
      <c r="D3" s="109"/>
      <c r="E3" s="109"/>
      <c r="F3" s="109"/>
      <c r="G3" s="109"/>
      <c r="H3" s="109"/>
      <c r="I3" s="38">
        <v>1</v>
      </c>
      <c r="J3" s="38"/>
    </row>
    <row r="4" spans="1:11" x14ac:dyDescent="0.3">
      <c r="B4" s="109"/>
      <c r="C4" s="109"/>
      <c r="D4" s="109"/>
      <c r="E4" s="109"/>
      <c r="F4" s="109"/>
      <c r="G4" s="109"/>
      <c r="H4" s="109"/>
      <c r="I4" s="38"/>
      <c r="J4" s="38"/>
    </row>
    <row r="5" spans="1:11" x14ac:dyDescent="0.3">
      <c r="B5" s="38" t="s">
        <v>93</v>
      </c>
      <c r="C5" s="38" t="str">
        <f>IF(기초자료입력!C4&lt;&gt;"",기초자료입력!C4,"")</f>
        <v/>
      </c>
      <c r="D5" s="38" t="s">
        <v>94</v>
      </c>
      <c r="E5" s="38" t="str">
        <f>IF(기초자료입력!C5&lt;&gt;"",기초자료입력!C5,"")</f>
        <v/>
      </c>
      <c r="F5" s="38" t="s">
        <v>345</v>
      </c>
      <c r="G5" s="89">
        <f>IFERROR(INDEX(기초자료입력!$B$44:$B$53,I3),"")</f>
        <v>0</v>
      </c>
      <c r="H5" s="89"/>
      <c r="I5" s="89"/>
      <c r="J5" s="89"/>
    </row>
    <row r="6" spans="1:11" x14ac:dyDescent="0.3">
      <c r="B6" s="38"/>
      <c r="C6" s="38"/>
      <c r="D6" s="38"/>
      <c r="E6" s="38"/>
      <c r="F6" s="38"/>
      <c r="G6" s="38"/>
      <c r="H6" s="38"/>
      <c r="I6" s="38"/>
      <c r="J6" s="38"/>
    </row>
    <row r="7" spans="1:11" ht="27.95" customHeight="1" x14ac:dyDescent="0.3">
      <c r="B7" s="68" t="s">
        <v>902</v>
      </c>
      <c r="C7" s="68" t="s">
        <v>61</v>
      </c>
      <c r="D7" s="68" t="s">
        <v>944</v>
      </c>
      <c r="E7" s="68" t="s">
        <v>945</v>
      </c>
      <c r="F7" s="68" t="s">
        <v>946</v>
      </c>
      <c r="G7" s="68" t="s">
        <v>947</v>
      </c>
      <c r="H7" s="68" t="s">
        <v>948</v>
      </c>
      <c r="I7" s="68" t="s">
        <v>949</v>
      </c>
      <c r="J7" s="61" t="s">
        <v>320</v>
      </c>
    </row>
    <row r="8" spans="1:11" ht="18" customHeight="1" x14ac:dyDescent="0.3">
      <c r="B8" s="112">
        <f>I3</f>
        <v>1</v>
      </c>
      <c r="C8" s="112">
        <f>IFERROR(INDEX(기초자료입력!$B$44:$B$53,I3),"")</f>
        <v>0</v>
      </c>
      <c r="D8" s="29"/>
      <c r="E8" s="67"/>
      <c r="F8" s="67"/>
      <c r="G8" s="67"/>
      <c r="H8" s="67"/>
      <c r="I8" s="29" t="str">
        <f t="shared" ref="I8:I15" si="0">IF(COUNT(E8:H8)=4,SUM(E8:H8),"")</f>
        <v/>
      </c>
      <c r="J8" s="119" t="s">
        <v>950</v>
      </c>
    </row>
    <row r="9" spans="1:11" ht="18" customHeight="1" x14ac:dyDescent="0.3">
      <c r="B9" s="112"/>
      <c r="C9" s="112"/>
      <c r="D9" s="29"/>
      <c r="E9" s="67"/>
      <c r="F9" s="67"/>
      <c r="G9" s="67"/>
      <c r="H9" s="67"/>
      <c r="I9" s="29" t="str">
        <f t="shared" si="0"/>
        <v/>
      </c>
      <c r="J9" s="119"/>
    </row>
    <row r="10" spans="1:11" ht="18" customHeight="1" x14ac:dyDescent="0.3">
      <c r="B10" s="112"/>
      <c r="C10" s="112"/>
      <c r="D10" s="29"/>
      <c r="E10" s="67"/>
      <c r="F10" s="67"/>
      <c r="G10" s="67"/>
      <c r="H10" s="67"/>
      <c r="I10" s="29" t="str">
        <f t="shared" si="0"/>
        <v/>
      </c>
      <c r="J10" s="119"/>
    </row>
    <row r="11" spans="1:11" ht="18" customHeight="1" x14ac:dyDescent="0.3">
      <c r="B11" s="112"/>
      <c r="C11" s="112"/>
      <c r="D11" s="29"/>
      <c r="E11" s="67"/>
      <c r="F11" s="67"/>
      <c r="G11" s="67"/>
      <c r="H11" s="67"/>
      <c r="I11" s="29" t="str">
        <f t="shared" si="0"/>
        <v/>
      </c>
      <c r="J11" s="119"/>
    </row>
    <row r="12" spans="1:11" ht="18" customHeight="1" x14ac:dyDescent="0.3">
      <c r="B12" s="112"/>
      <c r="C12" s="112"/>
      <c r="D12" s="29"/>
      <c r="E12" s="67"/>
      <c r="F12" s="67"/>
      <c r="G12" s="67"/>
      <c r="H12" s="67"/>
      <c r="I12" s="29" t="str">
        <f t="shared" si="0"/>
        <v/>
      </c>
      <c r="J12" s="119"/>
    </row>
    <row r="13" spans="1:11" ht="18" customHeight="1" x14ac:dyDescent="0.3">
      <c r="B13" s="112"/>
      <c r="C13" s="112"/>
      <c r="D13" s="29"/>
      <c r="E13" s="67"/>
      <c r="F13" s="67"/>
      <c r="G13" s="67"/>
      <c r="H13" s="67"/>
      <c r="I13" s="29" t="str">
        <f t="shared" si="0"/>
        <v/>
      </c>
      <c r="J13" s="119"/>
    </row>
    <row r="14" spans="1:11" ht="18" customHeight="1" x14ac:dyDescent="0.3">
      <c r="B14" s="112"/>
      <c r="C14" s="112"/>
      <c r="D14" s="29"/>
      <c r="E14" s="67"/>
      <c r="F14" s="67"/>
      <c r="G14" s="67"/>
      <c r="H14" s="67"/>
      <c r="I14" s="29" t="str">
        <f t="shared" si="0"/>
        <v/>
      </c>
      <c r="J14" s="119"/>
    </row>
    <row r="15" spans="1:11" ht="18" customHeight="1" x14ac:dyDescent="0.3">
      <c r="B15" s="112"/>
      <c r="C15" s="112"/>
      <c r="D15" s="29"/>
      <c r="E15" s="67"/>
      <c r="F15" s="67"/>
      <c r="G15" s="67"/>
      <c r="H15" s="67"/>
      <c r="I15" s="29" t="str">
        <f t="shared" si="0"/>
        <v/>
      </c>
      <c r="J15" s="119"/>
    </row>
    <row r="16" spans="1:11" x14ac:dyDescent="0.3">
      <c r="B16" s="88" t="s">
        <v>951</v>
      </c>
      <c r="C16" s="88"/>
      <c r="D16" s="88"/>
      <c r="E16" s="29" t="str">
        <f>IF(COUNT(E8:E15)=8,SUM(E8:E15)-MAX(E8:E15)-MIN(E8:E15),"")</f>
        <v/>
      </c>
      <c r="F16" s="29" t="str">
        <f>IF(COUNT(F8:F15)=8,SUM(F8:F15)-MAX(F8:F15)-MIN(F8:F15),"")</f>
        <v/>
      </c>
      <c r="G16" s="29" t="str">
        <f>IF(COUNT(G8:G15)=8,SUM(G8:G15)-MAX(G8:G15)-MIN(G8:G15),"")</f>
        <v/>
      </c>
      <c r="H16" s="29" t="str">
        <f>IF(COUNT(H8:H15)=8,SUM(H8:H15)-MAX(H8:H15)-MIN(H8:H15),"")</f>
        <v/>
      </c>
      <c r="I16" s="29" t="str">
        <f>IF(COUNT(I8:I15)=8,SUM(I8:I15)-MAX(I8:I15)-MIN(I8:I15),"")</f>
        <v/>
      </c>
      <c r="J16" s="29"/>
    </row>
    <row r="17" spans="2:10" x14ac:dyDescent="0.3">
      <c r="B17" s="88" t="s">
        <v>952</v>
      </c>
      <c r="C17" s="88"/>
      <c r="D17" s="88"/>
      <c r="E17" s="71" t="str">
        <f>IF(E16="","",E16/6)</f>
        <v/>
      </c>
      <c r="F17" s="71" t="str">
        <f>IF(F16="","",F16/6)</f>
        <v/>
      </c>
      <c r="G17" s="71" t="str">
        <f>IF(G16="","",G16/6)</f>
        <v/>
      </c>
      <c r="H17" s="71" t="str">
        <f>IF(H16="","",H16/6)</f>
        <v/>
      </c>
      <c r="I17" s="71" t="str">
        <f>IF(I16="","",I16/6)</f>
        <v/>
      </c>
      <c r="J17" s="29"/>
    </row>
    <row r="18" spans="2:10" x14ac:dyDescent="0.3">
      <c r="B18" s="38"/>
      <c r="C18" s="38"/>
      <c r="D18" s="38"/>
      <c r="E18" s="38"/>
      <c r="F18" s="38"/>
      <c r="G18" s="38"/>
      <c r="H18" s="38"/>
      <c r="I18" s="38"/>
      <c r="J18" s="38"/>
    </row>
    <row r="19" spans="2:10" x14ac:dyDescent="0.3">
      <c r="B19" s="89" t="s">
        <v>953</v>
      </c>
      <c r="C19" s="89"/>
      <c r="D19" s="89"/>
      <c r="E19" s="89"/>
      <c r="F19" s="89"/>
      <c r="G19" s="89"/>
      <c r="H19" s="89"/>
      <c r="I19" s="89"/>
      <c r="J19" s="89"/>
    </row>
  </sheetData>
  <mergeCells count="8">
    <mergeCell ref="B17:D17"/>
    <mergeCell ref="B19:J19"/>
    <mergeCell ref="B3:H4"/>
    <mergeCell ref="G5:J5"/>
    <mergeCell ref="B8:B15"/>
    <mergeCell ref="C8:C15"/>
    <mergeCell ref="J8:J15"/>
    <mergeCell ref="B16:D16"/>
  </mergeCells>
  <phoneticPr fontId="6" type="noConversion"/>
  <pageMargins left="0.50000076388888881" right="0.50000076388888881" top="0.50000076388888881" bottom="0.50000076388888881"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44034"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922F-D4D2-4997-ABAB-CA0F3F232D58}">
  <sheetPr codeName="Sheet44"/>
  <dimension ref="A1:H25"/>
  <sheetViews>
    <sheetView workbookViewId="0"/>
  </sheetViews>
  <sheetFormatPr defaultRowHeight="16.5" x14ac:dyDescent="0.3"/>
  <cols>
    <col min="1" max="1" width="3.125" customWidth="1"/>
    <col min="2" max="2" width="13.625" customWidth="1"/>
    <col min="3" max="8" width="9.625" customWidth="1"/>
  </cols>
  <sheetData>
    <row r="1" spans="1:8" x14ac:dyDescent="0.3">
      <c r="A1" s="20" t="s">
        <v>954</v>
      </c>
    </row>
    <row r="3" spans="1:8" x14ac:dyDescent="0.3">
      <c r="B3" s="104" t="s">
        <v>955</v>
      </c>
      <c r="C3" s="105"/>
      <c r="D3" s="105"/>
      <c r="E3" s="105"/>
      <c r="F3" s="105"/>
      <c r="G3" s="105"/>
      <c r="H3" s="105"/>
    </row>
    <row r="4" spans="1:8" x14ac:dyDescent="0.3">
      <c r="B4" s="21"/>
      <c r="C4" s="21"/>
      <c r="D4" s="21"/>
      <c r="E4" s="21"/>
      <c r="F4" s="21"/>
      <c r="G4" s="21"/>
      <c r="H4" s="21"/>
    </row>
    <row r="5" spans="1:8" x14ac:dyDescent="0.3">
      <c r="B5" s="105" t="str">
        <f>IF(기초자료입력!C22&lt;&gt;"","평가 안건: "&amp;기초자료입력!C22,"")</f>
        <v/>
      </c>
      <c r="C5" s="105"/>
      <c r="D5" s="105"/>
      <c r="E5" s="105"/>
      <c r="F5" s="105"/>
      <c r="G5" s="105"/>
      <c r="H5" s="105"/>
    </row>
    <row r="6" spans="1:8" x14ac:dyDescent="0.3">
      <c r="B6" s="21"/>
      <c r="C6" s="21"/>
      <c r="D6" s="21"/>
      <c r="E6" s="21"/>
      <c r="F6" s="21"/>
      <c r="G6" s="21"/>
      <c r="H6" s="21"/>
    </row>
    <row r="7" spans="1:8" x14ac:dyDescent="0.3">
      <c r="B7" s="95" t="str">
        <f>"본인은 년 월 일 "&amp;IF(기초자료입력!C4&lt;&gt;"",기초자료입력!C4,"○○학교")&amp;"에서 실시하는 "&amp;IF(기초자료입력!C5&lt;&gt;"",기초자료입력!C5&amp;"학년도 ","")&amp;"교복 학교주관구매업체 선정을 위한 평가함에 있어 「부패 없는 투명한 사회」 구현 등을 위하여 다음 사항을 준수할 것을 서약합니다."</f>
        <v>본인은 년 월 일 ○○학교에서 실시하는 교복 학교주관구매업체 선정을 위한 평가함에 있어 「부패 없는 투명한 사회」 구현 등을 위하여 다음 사항을 준수할 것을 서약합니다.</v>
      </c>
      <c r="C7" s="95"/>
      <c r="D7" s="95"/>
      <c r="E7" s="95"/>
      <c r="F7" s="95"/>
      <c r="G7" s="95"/>
      <c r="H7" s="95"/>
    </row>
    <row r="8" spans="1:8" x14ac:dyDescent="0.3">
      <c r="B8" s="95"/>
      <c r="C8" s="95"/>
      <c r="D8" s="95"/>
      <c r="E8" s="95"/>
      <c r="F8" s="95"/>
      <c r="G8" s="95"/>
      <c r="H8" s="95"/>
    </row>
    <row r="9" spans="1:8" x14ac:dyDescent="0.3">
      <c r="B9" s="21"/>
      <c r="C9" s="21"/>
      <c r="D9" s="21"/>
      <c r="E9" s="21"/>
      <c r="F9" s="21"/>
      <c r="G9" s="21"/>
      <c r="H9" s="21"/>
    </row>
    <row r="10" spans="1:8" ht="33.950000000000003" customHeight="1" x14ac:dyDescent="0.3">
      <c r="B10" s="95" t="str">
        <f>"1. "&amp;IF(기초자료입력!C5&lt;&gt;"",기초자료입력!C5,"20○○")&amp;"학년도 "&amp;IF(기초자료입력!C4&lt;&gt;"",기초자료입력!C4,"○○학교")&amp;" 교복 학교주관구매업체 선정을 위해 제시된 항목에 따라 객관적이고 공정하게 심사할 것을 약속합니다."</f>
        <v>1. 20○○학년도 ○○학교 교복 학교주관구매업체 선정을 위해 제시된 항목에 따라 객관적이고 공정하게 심사할 것을 약속합니다.</v>
      </c>
      <c r="C10" s="95"/>
      <c r="D10" s="95"/>
      <c r="E10" s="95"/>
      <c r="F10" s="95"/>
      <c r="G10" s="95"/>
      <c r="H10" s="95"/>
    </row>
    <row r="11" spans="1:8" x14ac:dyDescent="0.3">
      <c r="B11" s="95"/>
      <c r="C11" s="95"/>
      <c r="D11" s="95"/>
      <c r="E11" s="95"/>
      <c r="F11" s="95"/>
      <c r="G11" s="95"/>
      <c r="H11" s="95"/>
    </row>
    <row r="12" spans="1:8" ht="60" customHeight="1" x14ac:dyDescent="0.3">
      <c r="B12" s="95" t="s">
        <v>956</v>
      </c>
      <c r="C12" s="95"/>
      <c r="D12" s="95"/>
      <c r="E12" s="95"/>
      <c r="F12" s="95"/>
      <c r="G12" s="95"/>
      <c r="H12" s="95"/>
    </row>
    <row r="13" spans="1:8" x14ac:dyDescent="0.3">
      <c r="B13" s="95"/>
      <c r="C13" s="95"/>
      <c r="D13" s="95"/>
      <c r="E13" s="95"/>
      <c r="F13" s="95"/>
      <c r="G13" s="95"/>
      <c r="H13" s="95"/>
    </row>
    <row r="14" spans="1:8" ht="33.950000000000003" customHeight="1" x14ac:dyDescent="0.3">
      <c r="B14" s="95" t="s">
        <v>957</v>
      </c>
      <c r="C14" s="95"/>
      <c r="D14" s="95"/>
      <c r="E14" s="95"/>
      <c r="F14" s="95"/>
      <c r="G14" s="95"/>
      <c r="H14" s="95"/>
    </row>
    <row r="15" spans="1:8" x14ac:dyDescent="0.3">
      <c r="B15" s="95"/>
      <c r="C15" s="95"/>
      <c r="D15" s="95"/>
      <c r="E15" s="95"/>
      <c r="F15" s="95"/>
      <c r="G15" s="95"/>
      <c r="H15" s="95"/>
    </row>
    <row r="16" spans="1:8" ht="50.1" customHeight="1" x14ac:dyDescent="0.3">
      <c r="B16" s="95" t="s">
        <v>958</v>
      </c>
      <c r="C16" s="95"/>
      <c r="D16" s="95"/>
      <c r="E16" s="95"/>
      <c r="F16" s="95"/>
      <c r="G16" s="95"/>
      <c r="H16" s="95"/>
    </row>
    <row r="17" spans="2:8" x14ac:dyDescent="0.3">
      <c r="B17" s="95"/>
      <c r="C17" s="95"/>
      <c r="D17" s="95"/>
      <c r="E17" s="95"/>
      <c r="F17" s="95"/>
      <c r="G17" s="95"/>
      <c r="H17" s="95"/>
    </row>
    <row r="18" spans="2:8" x14ac:dyDescent="0.3">
      <c r="B18" s="21"/>
      <c r="C18" s="21"/>
      <c r="D18" s="21"/>
      <c r="E18" s="21"/>
      <c r="F18" s="21"/>
      <c r="G18" s="21"/>
      <c r="H18" s="21"/>
    </row>
    <row r="19" spans="2:8" x14ac:dyDescent="0.3">
      <c r="B19" s="105" t="s">
        <v>959</v>
      </c>
      <c r="C19" s="105"/>
      <c r="D19" s="105"/>
      <c r="E19" s="105"/>
      <c r="F19" s="105"/>
      <c r="G19" s="105"/>
      <c r="H19" s="105"/>
    </row>
    <row r="20" spans="2:8" x14ac:dyDescent="0.3">
      <c r="B20" s="21"/>
      <c r="C20" s="21"/>
      <c r="D20" s="21"/>
      <c r="E20" s="21"/>
      <c r="F20" s="21"/>
      <c r="G20" s="21"/>
      <c r="H20" s="21"/>
    </row>
    <row r="21" spans="2:8" x14ac:dyDescent="0.3">
      <c r="B21" s="105" t="str">
        <f>IF(기초자료입력!B58&lt;&gt;"","위원 구분: "&amp;기초자료입력!B58,"")</f>
        <v/>
      </c>
      <c r="C21" s="105"/>
      <c r="D21" s="105"/>
      <c r="E21" s="105"/>
      <c r="F21" s="105"/>
      <c r="G21" s="105"/>
      <c r="H21" s="105"/>
    </row>
    <row r="22" spans="2:8" x14ac:dyDescent="0.3">
      <c r="B22" s="21"/>
      <c r="C22" s="21"/>
      <c r="D22" s="21"/>
      <c r="E22" s="21"/>
      <c r="F22" s="21"/>
      <c r="G22" s="21"/>
      <c r="H22" s="21"/>
    </row>
    <row r="23" spans="2:8" x14ac:dyDescent="0.3">
      <c r="B23" s="105" t="s">
        <v>960</v>
      </c>
      <c r="C23" s="105"/>
      <c r="D23" s="105"/>
      <c r="E23" s="105"/>
      <c r="F23" s="105"/>
      <c r="G23" s="105"/>
      <c r="H23" s="105"/>
    </row>
    <row r="24" spans="2:8" x14ac:dyDescent="0.3">
      <c r="B24" s="21"/>
      <c r="C24" s="21"/>
      <c r="D24" s="21"/>
      <c r="E24" s="21"/>
      <c r="F24" s="21"/>
      <c r="G24" s="21"/>
      <c r="H24" s="21"/>
    </row>
    <row r="25" spans="2:8" x14ac:dyDescent="0.3">
      <c r="B25" s="105" t="str">
        <f>IF(기초자료입력!C4&lt;&gt;"",기초자료입력!C4,"○○○학교")&amp;"장 귀하"</f>
        <v>○○○학교장 귀하</v>
      </c>
      <c r="C25" s="105"/>
      <c r="D25" s="105"/>
      <c r="E25" s="105"/>
      <c r="F25" s="105"/>
      <c r="G25" s="105"/>
      <c r="H25" s="105"/>
    </row>
  </sheetData>
  <mergeCells count="11">
    <mergeCell ref="B16:H17"/>
    <mergeCell ref="B19:H19"/>
    <mergeCell ref="B21:H21"/>
    <mergeCell ref="B23:H23"/>
    <mergeCell ref="B25:H25"/>
    <mergeCell ref="B14:H15"/>
    <mergeCell ref="B3:H3"/>
    <mergeCell ref="B5:H5"/>
    <mergeCell ref="B7:H8"/>
    <mergeCell ref="B10:H11"/>
    <mergeCell ref="B12:H13"/>
  </mergeCells>
  <phoneticPr fontId="6" type="noConversion"/>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45058"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C383E-5C96-4616-A73F-A0F84BF89485}">
  <sheetPr codeName="Sheet45"/>
  <dimension ref="A1:I29"/>
  <sheetViews>
    <sheetView workbookViewId="0"/>
  </sheetViews>
  <sheetFormatPr defaultRowHeight="16.5" x14ac:dyDescent="0.3"/>
  <cols>
    <col min="1" max="1" width="3.125" customWidth="1"/>
    <col min="2" max="8" width="9.625" customWidth="1"/>
  </cols>
  <sheetData>
    <row r="1" spans="1:9" x14ac:dyDescent="0.3">
      <c r="A1" s="20" t="s">
        <v>727</v>
      </c>
    </row>
    <row r="2" spans="1:9" x14ac:dyDescent="0.3">
      <c r="I2" s="36" t="s">
        <v>728</v>
      </c>
    </row>
    <row r="3" spans="1:9" x14ac:dyDescent="0.3">
      <c r="B3" s="83" t="s">
        <v>729</v>
      </c>
      <c r="C3" s="84"/>
      <c r="D3" s="84"/>
      <c r="E3" s="84"/>
      <c r="F3" s="84"/>
      <c r="G3" s="84"/>
      <c r="H3" s="84"/>
      <c r="I3">
        <v>1</v>
      </c>
    </row>
    <row r="4" spans="1:9" x14ac:dyDescent="0.3">
      <c r="B4" s="84"/>
      <c r="C4" s="84"/>
      <c r="D4" s="84"/>
      <c r="E4" s="84"/>
      <c r="F4" s="84"/>
      <c r="G4" s="84"/>
      <c r="H4" s="84"/>
    </row>
    <row r="5" spans="1:9" x14ac:dyDescent="0.3">
      <c r="B5" s="54" t="s">
        <v>26</v>
      </c>
      <c r="C5" s="37" t="str">
        <f>IF(기초자료입력!C9&lt;&gt;"",기초자료입력!C9,"")</f>
        <v/>
      </c>
      <c r="D5" s="37"/>
      <c r="E5" s="54" t="s">
        <v>293</v>
      </c>
      <c r="F5" s="37" t="str">
        <f>IF(기초자료입력!C8&lt;&gt;"",TEXT(기초자료입력!C8,"yyyy-mm-dd"),"")</f>
        <v/>
      </c>
      <c r="G5" s="37"/>
      <c r="H5" s="37"/>
    </row>
    <row r="6" spans="1:9" x14ac:dyDescent="0.3">
      <c r="B6" s="37"/>
      <c r="C6" s="37"/>
      <c r="D6" s="37"/>
      <c r="E6" s="37"/>
      <c r="F6" s="37"/>
      <c r="G6" s="37"/>
      <c r="H6" s="37"/>
    </row>
    <row r="7" spans="1:9" x14ac:dyDescent="0.3">
      <c r="B7" s="54" t="s">
        <v>294</v>
      </c>
      <c r="C7" s="82" t="s">
        <v>514</v>
      </c>
      <c r="D7" s="82"/>
      <c r="E7" s="82"/>
      <c r="F7" s="82"/>
      <c r="G7" s="82"/>
      <c r="H7" s="82"/>
    </row>
    <row r="8" spans="1:9" x14ac:dyDescent="0.3">
      <c r="B8" s="54" t="s">
        <v>301</v>
      </c>
      <c r="C8" s="82"/>
      <c r="D8" s="82"/>
      <c r="E8" s="82"/>
      <c r="F8" s="82"/>
      <c r="G8" s="82"/>
      <c r="H8" s="82"/>
    </row>
    <row r="9" spans="1:9" x14ac:dyDescent="0.3">
      <c r="B9" s="54" t="s">
        <v>295</v>
      </c>
      <c r="C9" s="85" t="str">
        <f>IF(기초자료입력!C22&lt;&gt;"",기초자료입력!C22,IF(기초자료입력!C5&lt;&gt;"",기초자료입력!C5,"20○○")&amp;"년도 교복 학교주관구매 낙찰자 결정")</f>
        <v>20○○년도 교복 학교주관구매 낙찰자 결정</v>
      </c>
      <c r="D9" s="82"/>
      <c r="E9" s="82"/>
      <c r="F9" s="82"/>
      <c r="G9" s="82"/>
      <c r="H9" s="82"/>
    </row>
    <row r="10" spans="1:9" x14ac:dyDescent="0.3">
      <c r="B10" s="38"/>
      <c r="C10" s="38"/>
      <c r="D10" s="38"/>
      <c r="E10" s="38"/>
      <c r="F10" s="38"/>
      <c r="G10" s="38"/>
      <c r="H10" s="38"/>
    </row>
    <row r="11" spans="1:9" x14ac:dyDescent="0.3">
      <c r="B11" s="53" t="s">
        <v>302</v>
      </c>
      <c r="C11" s="89" t="str">
        <f>IF(기초자료입력!C23&lt;&gt;"",기초자료입력!C23,"")</f>
        <v/>
      </c>
      <c r="D11" s="89"/>
      <c r="E11" s="89"/>
      <c r="F11" s="89"/>
      <c r="G11" s="89"/>
      <c r="H11" s="89"/>
    </row>
    <row r="12" spans="1:9" x14ac:dyDescent="0.3">
      <c r="B12" s="38"/>
      <c r="C12" s="38"/>
      <c r="D12" s="38"/>
      <c r="E12" s="38"/>
      <c r="F12" s="38"/>
      <c r="G12" s="38"/>
      <c r="H12" s="38"/>
    </row>
    <row r="13" spans="1:9" ht="27.95" customHeight="1" x14ac:dyDescent="0.3">
      <c r="B13" s="100" t="str">
        <f>"2. "&amp;IF(기초자료입력!C5&lt;&gt;"",기초자료입력!C5,"20○○")&amp;"년도 교복 학교주관구매 건에 대해 개찰 결과 예정가격 대비 최저가격으로 투찰하여 1순위가 된 아래 업체를 낙찰자로 결정하고자 합니다."</f>
        <v>2. 20○○년도 교복 학교주관구매 건에 대해 개찰 결과 예정가격 대비 최저가격으로 투찰하여 1순위가 된 아래 업체를 낙찰자로 결정하고자 합니다.</v>
      </c>
      <c r="C13" s="100"/>
      <c r="D13" s="100"/>
      <c r="E13" s="100"/>
      <c r="F13" s="100"/>
      <c r="G13" s="100"/>
      <c r="H13" s="100"/>
    </row>
    <row r="14" spans="1:9" x14ac:dyDescent="0.3">
      <c r="B14" s="38"/>
      <c r="C14" s="38"/>
      <c r="D14" s="38"/>
      <c r="E14" s="38"/>
      <c r="F14" s="38"/>
      <c r="G14" s="38"/>
      <c r="H14" s="38"/>
    </row>
    <row r="15" spans="1:9" x14ac:dyDescent="0.3">
      <c r="B15" s="53" t="s">
        <v>730</v>
      </c>
      <c r="C15" s="89" t="str">
        <f>IF(기초자료입력!C12&lt;&gt;"",IF(기초자료입력!C5&lt;&gt;"",기초자료입력!C5&amp;"학년도 ","")&amp;기초자료입력!C12,"")</f>
        <v/>
      </c>
      <c r="D15" s="89"/>
      <c r="E15" s="89"/>
      <c r="F15" s="89"/>
      <c r="G15" s="89"/>
      <c r="H15" s="89"/>
    </row>
    <row r="16" spans="1:9" x14ac:dyDescent="0.3">
      <c r="B16" s="53" t="s">
        <v>640</v>
      </c>
      <c r="C16" s="89" t="str">
        <f>IF(기초자료입력!C15&lt;&gt;"","금"&amp;TEXT(기초자료입력!C15,"#,##0")&amp;"원","")</f>
        <v/>
      </c>
      <c r="D16" s="89"/>
      <c r="E16" s="89"/>
      <c r="F16" s="89"/>
      <c r="G16" s="89"/>
      <c r="H16" s="89"/>
    </row>
    <row r="17" spans="2:8" x14ac:dyDescent="0.3">
      <c r="B17" s="53" t="s">
        <v>731</v>
      </c>
      <c r="C17" s="142"/>
      <c r="D17" s="89"/>
      <c r="E17" s="89"/>
      <c r="F17" s="89"/>
      <c r="G17" s="89"/>
      <c r="H17" s="89"/>
    </row>
    <row r="18" spans="2:8" x14ac:dyDescent="0.3">
      <c r="B18" s="38"/>
      <c r="C18" s="38"/>
      <c r="D18" s="38"/>
      <c r="E18" s="38"/>
      <c r="F18" s="38"/>
      <c r="G18" s="38"/>
      <c r="H18" s="38"/>
    </row>
    <row r="19" spans="2:8" x14ac:dyDescent="0.3">
      <c r="B19" s="90" t="s">
        <v>732</v>
      </c>
      <c r="C19" s="89"/>
      <c r="D19" s="89"/>
      <c r="E19" s="89"/>
      <c r="F19" s="89"/>
      <c r="G19" s="89"/>
      <c r="H19" s="89"/>
    </row>
    <row r="20" spans="2:8" x14ac:dyDescent="0.3">
      <c r="B20" s="32" t="s">
        <v>733</v>
      </c>
      <c r="C20" s="32" t="s">
        <v>61</v>
      </c>
      <c r="D20" s="32" t="s">
        <v>386</v>
      </c>
      <c r="E20" s="32" t="s">
        <v>734</v>
      </c>
      <c r="F20" s="32" t="s">
        <v>735</v>
      </c>
      <c r="G20" s="32" t="s">
        <v>736</v>
      </c>
      <c r="H20" s="38"/>
    </row>
    <row r="21" spans="2:8" x14ac:dyDescent="0.3">
      <c r="B21" s="37">
        <v>1</v>
      </c>
      <c r="C21" s="37">
        <f>IFERROR(INDEX(기초자료입력!$B$44:$B$53,I3),"")</f>
        <v>0</v>
      </c>
      <c r="D21" s="37"/>
      <c r="E21" s="62"/>
      <c r="F21" s="63"/>
      <c r="G21" s="37"/>
      <c r="H21" s="38"/>
    </row>
    <row r="22" spans="2:8" x14ac:dyDescent="0.3">
      <c r="B22" s="38"/>
      <c r="C22" s="38"/>
      <c r="D22" s="38"/>
      <c r="E22" s="38"/>
      <c r="F22" s="38"/>
      <c r="G22" s="38"/>
      <c r="H22" s="38"/>
    </row>
    <row r="23" spans="2:8" x14ac:dyDescent="0.3">
      <c r="B23" s="113" t="s">
        <v>737</v>
      </c>
      <c r="C23" s="100"/>
      <c r="D23" s="100"/>
      <c r="E23" s="100"/>
      <c r="F23" s="100"/>
      <c r="G23" s="100"/>
      <c r="H23" s="100"/>
    </row>
    <row r="24" spans="2:8" x14ac:dyDescent="0.3">
      <c r="B24" s="38"/>
      <c r="C24" s="38"/>
      <c r="D24" s="38"/>
      <c r="E24" s="38"/>
      <c r="F24" s="38"/>
      <c r="G24" s="38"/>
      <c r="H24" s="38"/>
    </row>
    <row r="25" spans="2:8" x14ac:dyDescent="0.3">
      <c r="B25" s="38"/>
      <c r="C25" s="38"/>
      <c r="D25" s="38"/>
      <c r="E25" s="38"/>
      <c r="F25" s="38"/>
      <c r="G25" s="38"/>
      <c r="H25" s="38"/>
    </row>
    <row r="26" spans="2:8" x14ac:dyDescent="0.3">
      <c r="B26" s="38"/>
      <c r="C26" s="38"/>
      <c r="D26" s="38"/>
      <c r="E26" s="38"/>
      <c r="F26" s="54" t="s">
        <v>297</v>
      </c>
      <c r="G26" s="54" t="s">
        <v>308</v>
      </c>
      <c r="H26" s="54" t="s">
        <v>298</v>
      </c>
    </row>
    <row r="27" spans="2:8" x14ac:dyDescent="0.3">
      <c r="B27" s="53" t="s">
        <v>309</v>
      </c>
      <c r="C27" s="89" t="str">
        <f>IF(기초자료입력!C9&lt;&gt;"",기초자료입력!C9,"")</f>
        <v/>
      </c>
      <c r="D27" s="89"/>
      <c r="E27" s="89"/>
      <c r="F27" s="54" t="s">
        <v>310</v>
      </c>
      <c r="G27" s="82"/>
      <c r="H27" s="82"/>
    </row>
    <row r="28" spans="2:8" x14ac:dyDescent="0.3">
      <c r="B28" s="53" t="s">
        <v>311</v>
      </c>
      <c r="C28" s="38"/>
      <c r="D28" s="53" t="s">
        <v>312</v>
      </c>
      <c r="E28" s="89"/>
      <c r="F28" s="82"/>
      <c r="G28" s="82"/>
      <c r="H28" s="82"/>
    </row>
    <row r="29" spans="2:8" x14ac:dyDescent="0.3">
      <c r="B29" s="53" t="s">
        <v>313</v>
      </c>
      <c r="C29" s="38"/>
      <c r="D29" s="53" t="s">
        <v>314</v>
      </c>
      <c r="E29" s="38"/>
      <c r="F29" s="54" t="s">
        <v>315</v>
      </c>
      <c r="G29" s="82"/>
      <c r="H29" s="82"/>
    </row>
  </sheetData>
  <mergeCells count="15">
    <mergeCell ref="E28:H28"/>
    <mergeCell ref="G29:H29"/>
    <mergeCell ref="C15:H15"/>
    <mergeCell ref="C16:H16"/>
    <mergeCell ref="C17:H17"/>
    <mergeCell ref="B19:H19"/>
    <mergeCell ref="B23:H23"/>
    <mergeCell ref="C27:E27"/>
    <mergeCell ref="G27:H27"/>
    <mergeCell ref="B13:H13"/>
    <mergeCell ref="B3:H4"/>
    <mergeCell ref="C7:H7"/>
    <mergeCell ref="C8:H8"/>
    <mergeCell ref="C9:H9"/>
    <mergeCell ref="C11:H11"/>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46082"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7AC61-5A7C-4011-82AC-60546F71C78A}">
  <sheetPr codeName="Sheet46"/>
  <dimension ref="A1:I29"/>
  <sheetViews>
    <sheetView workbookViewId="0"/>
  </sheetViews>
  <sheetFormatPr defaultRowHeight="16.5" x14ac:dyDescent="0.3"/>
  <cols>
    <col min="1" max="1" width="3.125" customWidth="1"/>
    <col min="2" max="2" width="12.625" customWidth="1"/>
    <col min="3" max="3" width="7.625" customWidth="1"/>
    <col min="4" max="5" width="9.625" customWidth="1"/>
    <col min="6" max="6" width="13.625" customWidth="1"/>
    <col min="7" max="8" width="9.625" customWidth="1"/>
  </cols>
  <sheetData>
    <row r="1" spans="1:9" x14ac:dyDescent="0.3">
      <c r="A1" s="20" t="s">
        <v>738</v>
      </c>
    </row>
    <row r="2" spans="1:9" x14ac:dyDescent="0.3">
      <c r="I2" s="36" t="s">
        <v>728</v>
      </c>
    </row>
    <row r="3" spans="1:9" x14ac:dyDescent="0.3">
      <c r="B3" s="83" t="s">
        <v>739</v>
      </c>
      <c r="C3" s="84"/>
      <c r="D3" s="84"/>
      <c r="E3" s="84"/>
      <c r="F3" s="84"/>
      <c r="G3" s="84"/>
      <c r="H3" s="84"/>
      <c r="I3">
        <v>1</v>
      </c>
    </row>
    <row r="4" spans="1:9" x14ac:dyDescent="0.3">
      <c r="B4" s="84"/>
      <c r="C4" s="84"/>
      <c r="D4" s="84"/>
      <c r="E4" s="84"/>
      <c r="F4" s="84"/>
      <c r="G4" s="84"/>
      <c r="H4" s="84"/>
    </row>
    <row r="5" spans="1:9" x14ac:dyDescent="0.3">
      <c r="B5" s="54" t="s">
        <v>26</v>
      </c>
      <c r="C5" s="37" t="str">
        <f>IF(기초자료입력!C9&lt;&gt;"",기초자료입력!C9,"")</f>
        <v/>
      </c>
      <c r="D5" s="37"/>
      <c r="E5" s="54" t="s">
        <v>293</v>
      </c>
      <c r="F5" s="37" t="str">
        <f>IF(기초자료입력!C8&lt;&gt;"",TEXT(기초자료입력!C8,"yyyy-mm-dd"),"")</f>
        <v/>
      </c>
      <c r="G5" s="37"/>
      <c r="H5" s="37"/>
    </row>
    <row r="6" spans="1:9" x14ac:dyDescent="0.3">
      <c r="B6" s="37"/>
      <c r="C6" s="37"/>
      <c r="D6" s="37"/>
      <c r="E6" s="37"/>
      <c r="F6" s="37"/>
      <c r="G6" s="37"/>
      <c r="H6" s="37"/>
    </row>
    <row r="7" spans="1:9" x14ac:dyDescent="0.3">
      <c r="B7" s="54" t="s">
        <v>294</v>
      </c>
      <c r="C7" s="82">
        <f>IFERROR(INDEX(기초자료입력!$B$44:$B$53,I3),"")</f>
        <v>0</v>
      </c>
      <c r="D7" s="82"/>
      <c r="E7" s="82"/>
      <c r="F7" s="82"/>
      <c r="G7" s="82"/>
      <c r="H7" s="82"/>
    </row>
    <row r="8" spans="1:9" x14ac:dyDescent="0.3">
      <c r="B8" s="54" t="s">
        <v>301</v>
      </c>
      <c r="C8" s="82"/>
      <c r="D8" s="82"/>
      <c r="E8" s="82"/>
      <c r="F8" s="82"/>
      <c r="G8" s="82"/>
      <c r="H8" s="82"/>
    </row>
    <row r="9" spans="1:9" x14ac:dyDescent="0.3">
      <c r="B9" s="54" t="s">
        <v>295</v>
      </c>
      <c r="C9" s="85" t="str">
        <f>IF(기초자료입력!C22&lt;&gt;"",기초자료입력!C22,IF(기초자료입력!C5&lt;&gt;"",기초자료입력!C5,"20○○")&amp;"년도 교복 학교주관 구매 낙찰자 결정 통보")</f>
        <v>20○○년도 교복 학교주관 구매 낙찰자 결정 통보</v>
      </c>
      <c r="D9" s="82"/>
      <c r="E9" s="82"/>
      <c r="F9" s="82"/>
      <c r="G9" s="82"/>
      <c r="H9" s="82"/>
    </row>
    <row r="10" spans="1:9" x14ac:dyDescent="0.3">
      <c r="B10" s="38"/>
      <c r="C10" s="38"/>
      <c r="D10" s="38"/>
      <c r="E10" s="38"/>
      <c r="F10" s="38"/>
      <c r="G10" s="38"/>
      <c r="H10" s="38"/>
    </row>
    <row r="11" spans="1:9" x14ac:dyDescent="0.3">
      <c r="B11" s="90" t="s">
        <v>740</v>
      </c>
      <c r="C11" s="89"/>
      <c r="D11" s="89"/>
      <c r="E11" s="89"/>
      <c r="F11" s="89"/>
      <c r="G11" s="89"/>
      <c r="H11" s="89"/>
    </row>
    <row r="12" spans="1:9" x14ac:dyDescent="0.3">
      <c r="B12" s="38"/>
      <c r="C12" s="38"/>
      <c r="D12" s="38"/>
      <c r="E12" s="38"/>
      <c r="F12" s="38"/>
      <c r="G12" s="38"/>
      <c r="H12" s="38"/>
    </row>
    <row r="13" spans="1:9" ht="39.950000000000003" customHeight="1" x14ac:dyDescent="0.3">
      <c r="B13" s="100" t="str">
        <f>"2. 우리학교 "&amp;IF(기초자료입력!C5&lt;&gt;"",기초자료입력!C5,"20○○")&amp;"학년도 교복 학교주관구매 건에 대하여 귀사를 낙찰자로 결정하여 통보하오니 전자계약[나라장터(G2B)] 체결을 위해 아래 서류를 "&amp;IF(기초자료입력!C18&lt;&gt;"",TEXT(기초자료입력!C18,"yyyy.mm.dd."),"20○○.○○.○○")&amp;"까지 제출하여 주시기 바랍니다."</f>
        <v>2. 우리학교 20○○학년도 교복 학교주관구매 건에 대하여 귀사를 낙찰자로 결정하여 통보하오니 전자계약[나라장터(G2B)] 체결을 위해 아래 서류를 20○○.○○.○○까지 제출하여 주시기 바랍니다.</v>
      </c>
      <c r="C13" s="100"/>
      <c r="D13" s="100"/>
      <c r="E13" s="100"/>
      <c r="F13" s="100"/>
      <c r="G13" s="100"/>
      <c r="H13" s="100"/>
    </row>
    <row r="14" spans="1:9" x14ac:dyDescent="0.3">
      <c r="B14" s="38"/>
      <c r="C14" s="38"/>
      <c r="D14" s="38"/>
      <c r="E14" s="38"/>
      <c r="F14" s="38"/>
      <c r="G14" s="38"/>
      <c r="H14" s="38"/>
    </row>
    <row r="15" spans="1:9" x14ac:dyDescent="0.3">
      <c r="B15" s="90" t="s">
        <v>741</v>
      </c>
      <c r="C15" s="89"/>
      <c r="D15" s="89"/>
      <c r="E15" s="89"/>
      <c r="F15" s="89"/>
      <c r="G15" s="89"/>
      <c r="H15" s="89"/>
    </row>
    <row r="16" spans="1:9" x14ac:dyDescent="0.3">
      <c r="B16" s="32" t="s">
        <v>61</v>
      </c>
      <c r="C16" s="32" t="s">
        <v>386</v>
      </c>
      <c r="D16" s="32" t="s">
        <v>57</v>
      </c>
      <c r="E16" s="32" t="s">
        <v>37</v>
      </c>
      <c r="F16" s="64" t="s">
        <v>742</v>
      </c>
      <c r="G16" s="32" t="s">
        <v>320</v>
      </c>
      <c r="H16" s="38"/>
    </row>
    <row r="17" spans="2:8" x14ac:dyDescent="0.3">
      <c r="B17" s="37">
        <f>IFERROR(INDEX(기초자료입력!$B$44:$B$53,I3),"")</f>
        <v>0</v>
      </c>
      <c r="C17" s="37"/>
      <c r="D17" s="62"/>
      <c r="E17" s="37" t="str">
        <f>IF(기초자료입력!C16&lt;&gt;"",기초자료입력!C16,"")</f>
        <v/>
      </c>
      <c r="F17" s="62"/>
      <c r="G17" s="37"/>
      <c r="H17" s="38"/>
    </row>
    <row r="18" spans="2:8" x14ac:dyDescent="0.3">
      <c r="B18" s="38"/>
      <c r="C18" s="38"/>
      <c r="D18" s="38"/>
      <c r="E18" s="38"/>
      <c r="F18" s="38"/>
      <c r="G18" s="38"/>
      <c r="H18" s="38"/>
    </row>
    <row r="19" spans="2:8" x14ac:dyDescent="0.3">
      <c r="B19" s="90" t="s">
        <v>743</v>
      </c>
      <c r="C19" s="89"/>
      <c r="D19" s="89"/>
      <c r="E19" s="89"/>
      <c r="F19" s="89"/>
      <c r="G19" s="89"/>
      <c r="H19" s="89"/>
    </row>
    <row r="20" spans="2:8" x14ac:dyDescent="0.3">
      <c r="B20" s="89" t="s">
        <v>744</v>
      </c>
      <c r="C20" s="89"/>
      <c r="D20" s="89"/>
      <c r="E20" s="89"/>
      <c r="F20" s="89"/>
      <c r="G20" s="89"/>
      <c r="H20" s="89"/>
    </row>
    <row r="21" spans="2:8" x14ac:dyDescent="0.3">
      <c r="B21" s="89" t="s">
        <v>745</v>
      </c>
      <c r="C21" s="89"/>
      <c r="D21" s="89"/>
      <c r="E21" s="89"/>
      <c r="F21" s="89"/>
      <c r="G21" s="89"/>
      <c r="H21" s="89"/>
    </row>
    <row r="22" spans="2:8" x14ac:dyDescent="0.3">
      <c r="B22" s="89" t="s">
        <v>746</v>
      </c>
      <c r="C22" s="89"/>
      <c r="D22" s="89"/>
      <c r="E22" s="89"/>
      <c r="F22" s="89"/>
      <c r="G22" s="89"/>
      <c r="H22" s="89"/>
    </row>
    <row r="23" spans="2:8" x14ac:dyDescent="0.3">
      <c r="B23" s="89" t="s">
        <v>747</v>
      </c>
      <c r="C23" s="89"/>
      <c r="D23" s="89"/>
      <c r="E23" s="89"/>
      <c r="F23" s="89"/>
      <c r="G23" s="89"/>
      <c r="H23" s="89"/>
    </row>
    <row r="24" spans="2:8" x14ac:dyDescent="0.3">
      <c r="B24" s="38"/>
      <c r="C24" s="38"/>
      <c r="D24" s="38"/>
      <c r="E24" s="38"/>
      <c r="F24" s="38"/>
      <c r="G24" s="38"/>
      <c r="H24" s="38"/>
    </row>
    <row r="25" spans="2:8" x14ac:dyDescent="0.3">
      <c r="B25" s="38"/>
      <c r="C25" s="38"/>
      <c r="D25" s="38"/>
      <c r="E25" s="38"/>
      <c r="F25" s="38"/>
      <c r="G25" s="38"/>
      <c r="H25" s="38"/>
    </row>
    <row r="26" spans="2:8" x14ac:dyDescent="0.3">
      <c r="B26" s="38"/>
      <c r="C26" s="38"/>
      <c r="D26" s="38"/>
      <c r="E26" s="38"/>
      <c r="F26" s="54" t="s">
        <v>297</v>
      </c>
      <c r="G26" s="54" t="s">
        <v>308</v>
      </c>
      <c r="H26" s="54" t="s">
        <v>298</v>
      </c>
    </row>
    <row r="27" spans="2:8" x14ac:dyDescent="0.3">
      <c r="B27" s="53" t="s">
        <v>309</v>
      </c>
      <c r="C27" s="89" t="str">
        <f>IF(기초자료입력!C9&lt;&gt;"",기초자료입력!C9,"")</f>
        <v/>
      </c>
      <c r="D27" s="89"/>
      <c r="E27" s="89"/>
      <c r="F27" s="54" t="s">
        <v>310</v>
      </c>
      <c r="G27" s="82"/>
      <c r="H27" s="82"/>
    </row>
    <row r="28" spans="2:8" x14ac:dyDescent="0.3">
      <c r="B28" s="53" t="s">
        <v>311</v>
      </c>
      <c r="C28" s="38"/>
      <c r="D28" s="53" t="s">
        <v>312</v>
      </c>
      <c r="E28" s="89"/>
      <c r="F28" s="82"/>
      <c r="G28" s="82"/>
      <c r="H28" s="82"/>
    </row>
    <row r="29" spans="2:8" x14ac:dyDescent="0.3">
      <c r="B29" s="53" t="s">
        <v>313</v>
      </c>
      <c r="C29" s="38"/>
      <c r="D29" s="53" t="s">
        <v>314</v>
      </c>
      <c r="E29" s="38"/>
      <c r="F29" s="54" t="s">
        <v>315</v>
      </c>
      <c r="G29" s="82"/>
      <c r="H29" s="82"/>
    </row>
  </sheetData>
  <mergeCells count="16">
    <mergeCell ref="C27:E27"/>
    <mergeCell ref="G27:H27"/>
    <mergeCell ref="E28:H28"/>
    <mergeCell ref="G29:H29"/>
    <mergeCell ref="B15:H15"/>
    <mergeCell ref="B19:H19"/>
    <mergeCell ref="B20:H20"/>
    <mergeCell ref="B21:H21"/>
    <mergeCell ref="B22:H22"/>
    <mergeCell ref="B23:H23"/>
    <mergeCell ref="B13:H13"/>
    <mergeCell ref="B3:H4"/>
    <mergeCell ref="C7:H7"/>
    <mergeCell ref="C8:H8"/>
    <mergeCell ref="C9:H9"/>
    <mergeCell ref="B11:H11"/>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47106"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9703B-C0A9-49AB-900D-AFAD54B25551}">
  <sheetPr codeName="Sheet47"/>
  <dimension ref="A1:I37"/>
  <sheetViews>
    <sheetView workbookViewId="0"/>
  </sheetViews>
  <sheetFormatPr defaultRowHeight="16.5" x14ac:dyDescent="0.3"/>
  <cols>
    <col min="1" max="1" width="3.125" customWidth="1"/>
    <col min="2" max="2" width="12.625" customWidth="1"/>
    <col min="3" max="8" width="9.625" customWidth="1"/>
  </cols>
  <sheetData>
    <row r="1" spans="1:9" x14ac:dyDescent="0.3">
      <c r="A1" s="20" t="s">
        <v>748</v>
      </c>
    </row>
    <row r="2" spans="1:9" x14ac:dyDescent="0.3">
      <c r="I2" s="36" t="s">
        <v>749</v>
      </c>
    </row>
    <row r="3" spans="1:9" x14ac:dyDescent="0.3">
      <c r="B3" s="83" t="s">
        <v>750</v>
      </c>
      <c r="C3" s="84"/>
      <c r="D3" s="84"/>
      <c r="E3" s="84"/>
      <c r="F3" s="84"/>
      <c r="G3" s="84"/>
      <c r="H3" s="84"/>
      <c r="I3">
        <v>1</v>
      </c>
    </row>
    <row r="4" spans="1:9" x14ac:dyDescent="0.3">
      <c r="B4" s="84"/>
      <c r="C4" s="84"/>
      <c r="D4" s="84"/>
      <c r="E4" s="84"/>
      <c r="F4" s="84"/>
      <c r="G4" s="84"/>
      <c r="H4" s="84"/>
    </row>
    <row r="5" spans="1:9" x14ac:dyDescent="0.3">
      <c r="B5" s="54" t="s">
        <v>26</v>
      </c>
      <c r="C5" s="37" t="str">
        <f>IF(기초자료입력!C9&lt;&gt;"",기초자료입력!C9,"")</f>
        <v/>
      </c>
      <c r="D5" s="37"/>
      <c r="E5" s="54" t="s">
        <v>293</v>
      </c>
      <c r="F5" s="37" t="str">
        <f>IF(기초자료입력!C8&lt;&gt;"",TEXT(기초자료입력!C8,"yyyy-mm-dd"),"")</f>
        <v/>
      </c>
      <c r="G5" s="37"/>
      <c r="H5" s="37"/>
    </row>
    <row r="6" spans="1:9" x14ac:dyDescent="0.3">
      <c r="B6" s="37"/>
      <c r="C6" s="37"/>
      <c r="D6" s="37"/>
      <c r="E6" s="37"/>
      <c r="F6" s="37"/>
      <c r="G6" s="37"/>
      <c r="H6" s="37"/>
    </row>
    <row r="7" spans="1:9" x14ac:dyDescent="0.3">
      <c r="B7" s="54" t="s">
        <v>294</v>
      </c>
      <c r="C7" s="82" t="s">
        <v>514</v>
      </c>
      <c r="D7" s="82"/>
      <c r="E7" s="82"/>
      <c r="F7" s="82"/>
      <c r="G7" s="82"/>
      <c r="H7" s="82"/>
    </row>
    <row r="8" spans="1:9" x14ac:dyDescent="0.3">
      <c r="B8" s="54" t="s">
        <v>301</v>
      </c>
      <c r="C8" s="82"/>
      <c r="D8" s="82"/>
      <c r="E8" s="82"/>
      <c r="F8" s="82"/>
      <c r="G8" s="82"/>
      <c r="H8" s="82"/>
    </row>
    <row r="9" spans="1:9" x14ac:dyDescent="0.3">
      <c r="B9" s="54" t="s">
        <v>295</v>
      </c>
      <c r="C9" s="85" t="str">
        <f>IF(기초자료입력!C22&lt;&gt;"",기초자료입력!C22,IF(기초자료입력!C5&lt;&gt;"",기초자료입력!C5,"20○○")&amp;"학년도 교복 학교주관구매 계약 체결")</f>
        <v>20○○학년도 교복 학교주관구매 계약 체결</v>
      </c>
      <c r="D9" s="82"/>
      <c r="E9" s="82"/>
      <c r="F9" s="82"/>
      <c r="G9" s="82"/>
      <c r="H9" s="82"/>
    </row>
    <row r="10" spans="1:9" x14ac:dyDescent="0.3">
      <c r="B10" s="38"/>
      <c r="C10" s="38"/>
      <c r="D10" s="38"/>
      <c r="E10" s="38"/>
      <c r="F10" s="38"/>
      <c r="G10" s="38"/>
      <c r="H10" s="38"/>
    </row>
    <row r="11" spans="1:9" x14ac:dyDescent="0.3">
      <c r="B11" s="53" t="s">
        <v>302</v>
      </c>
      <c r="C11" s="89" t="str">
        <f>IF(기초자료입력!C23&lt;&gt;"",기초자료입력!C23,"")</f>
        <v/>
      </c>
      <c r="D11" s="89"/>
      <c r="E11" s="89"/>
      <c r="F11" s="89"/>
      <c r="G11" s="89"/>
      <c r="H11" s="89"/>
    </row>
    <row r="12" spans="1:9" x14ac:dyDescent="0.3">
      <c r="B12" s="38"/>
      <c r="C12" s="38"/>
      <c r="D12" s="38"/>
      <c r="E12" s="38"/>
      <c r="F12" s="38"/>
      <c r="G12" s="38"/>
      <c r="H12" s="38"/>
    </row>
    <row r="13" spans="1:9" x14ac:dyDescent="0.3">
      <c r="B13" s="100" t="str">
        <f>"2. "&amp;IF(기초자료입력!C5&lt;&gt;"",기초자료입력!C5,"20○○")&amp;"학년도 교복 학교주관구매를 위한 계약을 아래와 같이 체결하고자 합니다."</f>
        <v>2. 20○○학년도 교복 학교주관구매를 위한 계약을 아래와 같이 체결하고자 합니다.</v>
      </c>
      <c r="C13" s="100"/>
      <c r="D13" s="100"/>
      <c r="E13" s="100"/>
      <c r="F13" s="100"/>
      <c r="G13" s="100"/>
      <c r="H13" s="100"/>
    </row>
    <row r="14" spans="1:9" x14ac:dyDescent="0.3">
      <c r="B14" s="38"/>
      <c r="C14" s="38"/>
      <c r="D14" s="38"/>
      <c r="E14" s="38"/>
      <c r="F14" s="38"/>
      <c r="G14" s="38"/>
      <c r="H14" s="38"/>
    </row>
    <row r="15" spans="1:9" x14ac:dyDescent="0.3">
      <c r="B15" s="53" t="s">
        <v>751</v>
      </c>
      <c r="C15" s="89" t="str">
        <f>IF(기초자료입력!C12&lt;&gt;"",IF(기초자료입력!C5&lt;&gt;"",기초자료입력!C5&amp;"학년도 ","")&amp;기초자료입력!C12,"")</f>
        <v/>
      </c>
      <c r="D15" s="89"/>
      <c r="E15" s="89"/>
      <c r="F15" s="89"/>
      <c r="G15" s="89"/>
      <c r="H15" s="89"/>
    </row>
    <row r="16" spans="1:9" x14ac:dyDescent="0.3">
      <c r="B16" s="53" t="s">
        <v>752</v>
      </c>
      <c r="C16" s="143"/>
      <c r="D16" s="89"/>
      <c r="E16" s="89" t="s">
        <v>753</v>
      </c>
      <c r="F16" s="89"/>
      <c r="G16" s="89"/>
      <c r="H16" s="89"/>
    </row>
    <row r="17" spans="2:8" x14ac:dyDescent="0.3">
      <c r="B17" s="53" t="s">
        <v>754</v>
      </c>
      <c r="C17" s="89" t="str">
        <f>IF(AND(C16&lt;&gt;"",기초자료입력!C16&lt;&gt;""),"금"&amp;TEXT(C16*기초자료입력!C16,"#,##0")&amp;"원["&amp;TEXT(C16,"#,##0")&amp;"원(단가)×"&amp;기초자료입력!C16&amp;"벌(예정수량)]","")</f>
        <v/>
      </c>
      <c r="D17" s="89"/>
      <c r="E17" s="89"/>
      <c r="F17" s="89"/>
      <c r="G17" s="89"/>
      <c r="H17" s="89"/>
    </row>
    <row r="18" spans="2:8" x14ac:dyDescent="0.3">
      <c r="B18" s="89" t="s">
        <v>755</v>
      </c>
      <c r="C18" s="89"/>
      <c r="D18" s="89"/>
      <c r="E18" s="89"/>
      <c r="F18" s="89"/>
      <c r="G18" s="89"/>
      <c r="H18" s="89"/>
    </row>
    <row r="19" spans="2:8" x14ac:dyDescent="0.3">
      <c r="B19" s="38"/>
      <c r="C19" s="38"/>
      <c r="D19" s="38"/>
      <c r="E19" s="38"/>
      <c r="F19" s="38"/>
      <c r="G19" s="38"/>
      <c r="H19" s="38"/>
    </row>
    <row r="20" spans="2:8" x14ac:dyDescent="0.3">
      <c r="B20" s="90" t="s">
        <v>756</v>
      </c>
      <c r="C20" s="89"/>
      <c r="D20" s="89"/>
      <c r="E20" s="89"/>
      <c r="F20" s="89"/>
      <c r="G20" s="89"/>
      <c r="H20" s="89"/>
    </row>
    <row r="21" spans="2:8" x14ac:dyDescent="0.3">
      <c r="B21" s="32" t="s">
        <v>61</v>
      </c>
      <c r="C21" s="32" t="s">
        <v>757</v>
      </c>
      <c r="D21" s="32" t="s">
        <v>386</v>
      </c>
      <c r="E21" s="32" t="s">
        <v>438</v>
      </c>
      <c r="F21" s="89"/>
      <c r="G21" s="89"/>
      <c r="H21" s="89"/>
    </row>
    <row r="22" spans="2:8" x14ac:dyDescent="0.3">
      <c r="B22" s="37">
        <f>IFERROR(INDEX(기초자료입력!$B$44:$B$53,I3),"")</f>
        <v>0</v>
      </c>
      <c r="C22" s="37"/>
      <c r="D22" s="37"/>
      <c r="E22" s="37"/>
      <c r="F22" s="89"/>
      <c r="G22" s="89"/>
      <c r="H22" s="89"/>
    </row>
    <row r="23" spans="2:8" x14ac:dyDescent="0.3">
      <c r="B23" s="38"/>
      <c r="C23" s="38"/>
      <c r="D23" s="38"/>
      <c r="E23" s="38"/>
      <c r="F23" s="38"/>
      <c r="G23" s="38"/>
      <c r="H23" s="38"/>
    </row>
    <row r="24" spans="2:8" x14ac:dyDescent="0.3">
      <c r="B24" s="113" t="s">
        <v>758</v>
      </c>
      <c r="C24" s="100"/>
      <c r="D24" s="100"/>
      <c r="E24" s="100"/>
      <c r="F24" s="100"/>
      <c r="G24" s="100"/>
      <c r="H24" s="100"/>
    </row>
    <row r="25" spans="2:8" x14ac:dyDescent="0.3">
      <c r="B25" s="89" t="str">
        <f>"5. 납품기한："&amp;IF(기초자료입력!C17&lt;&gt;"",TEXT(기초자료입력!C17,"yyyy.mm.dd."),"")</f>
        <v>5. 납품기한：</v>
      </c>
      <c r="C25" s="89"/>
      <c r="D25" s="89"/>
      <c r="E25" s="89"/>
      <c r="F25" s="89"/>
      <c r="G25" s="89"/>
      <c r="H25" s="89"/>
    </row>
    <row r="26" spans="2:8" x14ac:dyDescent="0.3">
      <c r="B26" s="90" t="s">
        <v>759</v>
      </c>
      <c r="C26" s="89"/>
      <c r="D26" s="89"/>
      <c r="E26" s="89"/>
      <c r="F26" s="89"/>
      <c r="G26" s="89"/>
      <c r="H26" s="89"/>
    </row>
    <row r="27" spans="2:8" x14ac:dyDescent="0.3">
      <c r="B27" s="38"/>
      <c r="C27" s="38"/>
      <c r="D27" s="38"/>
      <c r="E27" s="38"/>
      <c r="F27" s="38"/>
      <c r="G27" s="38"/>
      <c r="H27" s="38"/>
    </row>
    <row r="28" spans="2:8" x14ac:dyDescent="0.3">
      <c r="B28" s="89" t="s">
        <v>760</v>
      </c>
      <c r="C28" s="89"/>
      <c r="D28" s="89"/>
      <c r="E28" s="89"/>
      <c r="F28" s="89"/>
      <c r="G28" s="89"/>
      <c r="H28" s="89"/>
    </row>
    <row r="29" spans="2:8" x14ac:dyDescent="0.3">
      <c r="B29" s="89" t="s">
        <v>761</v>
      </c>
      <c r="C29" s="89"/>
      <c r="D29" s="89"/>
      <c r="E29" s="89"/>
      <c r="F29" s="89"/>
      <c r="G29" s="89"/>
      <c r="H29" s="89"/>
    </row>
    <row r="30" spans="2:8" x14ac:dyDescent="0.3">
      <c r="B30" s="89" t="s">
        <v>762</v>
      </c>
      <c r="C30" s="89"/>
      <c r="D30" s="89"/>
      <c r="E30" s="89"/>
      <c r="F30" s="89"/>
      <c r="G30" s="89"/>
      <c r="H30" s="89"/>
    </row>
    <row r="31" spans="2:8" x14ac:dyDescent="0.3">
      <c r="B31" s="89" t="s">
        <v>763</v>
      </c>
      <c r="C31" s="89"/>
      <c r="D31" s="89"/>
      <c r="E31" s="89"/>
      <c r="F31" s="89"/>
      <c r="G31" s="89"/>
      <c r="H31" s="89"/>
    </row>
    <row r="32" spans="2:8" x14ac:dyDescent="0.3">
      <c r="B32" s="89" t="s">
        <v>764</v>
      </c>
      <c r="C32" s="89"/>
      <c r="D32" s="89"/>
      <c r="E32" s="89"/>
      <c r="F32" s="89"/>
      <c r="G32" s="89"/>
      <c r="H32" s="89"/>
    </row>
    <row r="33" spans="2:8" x14ac:dyDescent="0.3">
      <c r="B33" s="38"/>
      <c r="C33" s="38"/>
      <c r="D33" s="38"/>
      <c r="E33" s="38"/>
      <c r="F33" s="38"/>
      <c r="G33" s="38"/>
      <c r="H33" s="38"/>
    </row>
    <row r="34" spans="2:8" x14ac:dyDescent="0.3">
      <c r="B34" s="38"/>
      <c r="C34" s="38"/>
      <c r="D34" s="38"/>
      <c r="E34" s="38"/>
      <c r="F34" s="54" t="s">
        <v>297</v>
      </c>
      <c r="G34" s="54" t="s">
        <v>308</v>
      </c>
      <c r="H34" s="54" t="s">
        <v>298</v>
      </c>
    </row>
    <row r="35" spans="2:8" x14ac:dyDescent="0.3">
      <c r="B35" s="53" t="s">
        <v>309</v>
      </c>
      <c r="C35" s="89" t="str">
        <f>IF(기초자료입력!C9&lt;&gt;"",기초자료입력!C9,"")</f>
        <v/>
      </c>
      <c r="D35" s="89"/>
      <c r="E35" s="89"/>
      <c r="F35" s="54" t="s">
        <v>310</v>
      </c>
      <c r="G35" s="82"/>
      <c r="H35" s="82"/>
    </row>
    <row r="36" spans="2:8" x14ac:dyDescent="0.3">
      <c r="B36" s="53" t="s">
        <v>311</v>
      </c>
      <c r="C36" s="38"/>
      <c r="D36" s="53" t="s">
        <v>312</v>
      </c>
      <c r="E36" s="89"/>
      <c r="F36" s="82"/>
      <c r="G36" s="82"/>
      <c r="H36" s="82"/>
    </row>
    <row r="37" spans="2:8" x14ac:dyDescent="0.3">
      <c r="B37" s="53" t="s">
        <v>313</v>
      </c>
      <c r="C37" s="38"/>
      <c r="D37" s="53" t="s">
        <v>314</v>
      </c>
      <c r="E37" s="38"/>
      <c r="F37" s="54" t="s">
        <v>315</v>
      </c>
      <c r="G37" s="82"/>
      <c r="H37" s="82"/>
    </row>
  </sheetData>
  <mergeCells count="26">
    <mergeCell ref="E36:H36"/>
    <mergeCell ref="G37:H37"/>
    <mergeCell ref="B29:H29"/>
    <mergeCell ref="B30:H30"/>
    <mergeCell ref="B31:H31"/>
    <mergeCell ref="B32:H32"/>
    <mergeCell ref="C35:E35"/>
    <mergeCell ref="G35:H35"/>
    <mergeCell ref="B28:H28"/>
    <mergeCell ref="C15:H15"/>
    <mergeCell ref="C16:D16"/>
    <mergeCell ref="E16:H16"/>
    <mergeCell ref="C17:H17"/>
    <mergeCell ref="B18:H18"/>
    <mergeCell ref="B20:H20"/>
    <mergeCell ref="F21:H21"/>
    <mergeCell ref="F22:H22"/>
    <mergeCell ref="B24:H24"/>
    <mergeCell ref="B25:H25"/>
    <mergeCell ref="B26:H26"/>
    <mergeCell ref="B13:H13"/>
    <mergeCell ref="B3:H4"/>
    <mergeCell ref="C7:H7"/>
    <mergeCell ref="C8:H8"/>
    <mergeCell ref="C9:H9"/>
    <mergeCell ref="C11:H11"/>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48130"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68C91-66EE-47CB-8CF6-D34BEEA0A1C0}">
  <sheetPr codeName="Sheet48"/>
  <dimension ref="A1:H25"/>
  <sheetViews>
    <sheetView workbookViewId="0"/>
  </sheetViews>
  <sheetFormatPr defaultRowHeight="16.5" x14ac:dyDescent="0.3"/>
  <cols>
    <col min="1" max="1" width="3.125" customWidth="1"/>
    <col min="2" max="2" width="10.625" customWidth="1"/>
    <col min="3" max="8" width="9.625" customWidth="1"/>
  </cols>
  <sheetData>
    <row r="1" spans="1:8" x14ac:dyDescent="0.3">
      <c r="A1" s="20" t="s">
        <v>765</v>
      </c>
    </row>
    <row r="2" spans="1:8" x14ac:dyDescent="0.3">
      <c r="G2" s="134" t="str">
        <f>IF(기초자료입력!C4&lt;&gt;"",기초자료입력!C4,"○ ○ 학 교")</f>
        <v>○ ○ 학 교</v>
      </c>
      <c r="H2" s="84"/>
    </row>
    <row r="3" spans="1:8" x14ac:dyDescent="0.3">
      <c r="B3" s="83" t="s">
        <v>766</v>
      </c>
      <c r="C3" s="84"/>
      <c r="D3" s="84"/>
      <c r="E3" s="84"/>
      <c r="F3" s="84"/>
      <c r="G3" s="84"/>
      <c r="H3" s="84"/>
    </row>
    <row r="4" spans="1:8" x14ac:dyDescent="0.3">
      <c r="B4" s="84"/>
      <c r="C4" s="84"/>
      <c r="D4" s="84"/>
      <c r="E4" s="84"/>
      <c r="F4" s="84"/>
      <c r="G4" s="84"/>
      <c r="H4" s="84"/>
    </row>
    <row r="5" spans="1:8" x14ac:dyDescent="0.3">
      <c r="B5" s="54" t="s">
        <v>26</v>
      </c>
      <c r="C5" s="37" t="str">
        <f>IF(기초자료입력!C9&lt;&gt;"",기초자료입력!C9,"")</f>
        <v/>
      </c>
      <c r="D5" s="37"/>
      <c r="E5" s="54" t="s">
        <v>293</v>
      </c>
      <c r="F5" s="37" t="str">
        <f>IF(기초자료입력!C8&lt;&gt;"",TEXT(기초자료입력!C8,"yyyy-mm-dd"),"")</f>
        <v/>
      </c>
      <c r="G5" s="37"/>
      <c r="H5" s="37"/>
    </row>
    <row r="6" spans="1:8" x14ac:dyDescent="0.3">
      <c r="B6" s="37"/>
      <c r="C6" s="37"/>
      <c r="D6" s="37"/>
      <c r="E6" s="37"/>
      <c r="F6" s="37"/>
      <c r="G6" s="37"/>
      <c r="H6" s="37"/>
    </row>
    <row r="7" spans="1:8" x14ac:dyDescent="0.3">
      <c r="B7" s="54" t="s">
        <v>294</v>
      </c>
      <c r="C7" s="82" t="s">
        <v>767</v>
      </c>
      <c r="D7" s="82"/>
      <c r="E7" s="82"/>
      <c r="F7" s="82"/>
      <c r="G7" s="82"/>
      <c r="H7" s="82"/>
    </row>
    <row r="8" spans="1:8" x14ac:dyDescent="0.3">
      <c r="B8" s="54" t="s">
        <v>301</v>
      </c>
      <c r="C8" s="82"/>
      <c r="D8" s="82"/>
      <c r="E8" s="82"/>
      <c r="F8" s="82"/>
      <c r="G8" s="82"/>
      <c r="H8" s="82"/>
    </row>
    <row r="9" spans="1:8" x14ac:dyDescent="0.3">
      <c r="B9" s="54" t="s">
        <v>295</v>
      </c>
      <c r="C9" s="85" t="str">
        <f>IF(기초자료입력!C22&lt;&gt;"",기초자료입력!C22,"신입생 교복구매 사전 안내 가정통신문 발송")</f>
        <v>신입생 교복구매 사전 안내 가정통신문 발송</v>
      </c>
      <c r="D9" s="82"/>
      <c r="E9" s="82"/>
      <c r="F9" s="82"/>
      <c r="G9" s="82"/>
      <c r="H9" s="82"/>
    </row>
    <row r="10" spans="1:8" x14ac:dyDescent="0.3">
      <c r="B10" s="38"/>
      <c r="C10" s="38"/>
      <c r="D10" s="38"/>
      <c r="E10" s="38"/>
      <c r="F10" s="38"/>
      <c r="G10" s="38"/>
      <c r="H10" s="38"/>
    </row>
    <row r="11" spans="1:8" x14ac:dyDescent="0.3">
      <c r="B11" s="90" t="s">
        <v>768</v>
      </c>
      <c r="C11" s="89"/>
      <c r="D11" s="89"/>
      <c r="E11" s="89"/>
      <c r="F11" s="89"/>
      <c r="G11" s="89"/>
      <c r="H11" s="89"/>
    </row>
    <row r="12" spans="1:8" x14ac:dyDescent="0.3">
      <c r="B12" s="38"/>
      <c r="C12" s="38"/>
      <c r="D12" s="38"/>
      <c r="E12" s="38"/>
      <c r="F12" s="38"/>
      <c r="G12" s="38"/>
      <c r="H12" s="38"/>
    </row>
    <row r="13" spans="1:8" ht="30" customHeight="1" x14ac:dyDescent="0.3">
      <c r="B13" s="100" t="s">
        <v>769</v>
      </c>
      <c r="C13" s="100"/>
      <c r="D13" s="100"/>
      <c r="E13" s="100"/>
      <c r="F13" s="100"/>
      <c r="G13" s="100"/>
      <c r="H13" s="100"/>
    </row>
    <row r="14" spans="1:8" x14ac:dyDescent="0.3">
      <c r="B14" s="38"/>
      <c r="C14" s="38"/>
      <c r="D14" s="38"/>
      <c r="E14" s="38"/>
      <c r="F14" s="38"/>
      <c r="G14" s="38"/>
      <c r="H14" s="38"/>
    </row>
    <row r="15" spans="1:8" x14ac:dyDescent="0.3">
      <c r="B15" s="53" t="s">
        <v>770</v>
      </c>
      <c r="C15" s="89" t="str">
        <f>IF(기초자료입력!C5&lt;&gt;"",기초자료입력!C5,"20○○")&amp;"학년도 예비 중1(예비 고1) 학생 및 학부모"</f>
        <v>20○○학년도 예비 중1(예비 고1) 학생 및 학부모</v>
      </c>
      <c r="D15" s="89"/>
      <c r="E15" s="89"/>
      <c r="F15" s="89"/>
      <c r="G15" s="89"/>
      <c r="H15" s="89"/>
    </row>
    <row r="16" spans="1:8" x14ac:dyDescent="0.3">
      <c r="B16" s="53" t="s">
        <v>771</v>
      </c>
      <c r="C16" s="89" t="str">
        <f>IF(기초자료입력!C12&lt;&gt;"",기초자료입력!C12&amp;" 관련 교복 학교주관구매 참여 및 지원 방법, 기타 교복관련 사항","교복 학교주관구매 참여 및 지원 방법, 기타 교복관련 사항")</f>
        <v>교복 학교주관구매 참여 및 지원 방법, 기타 교복관련 사항</v>
      </c>
      <c r="D16" s="89"/>
      <c r="E16" s="89"/>
      <c r="F16" s="89"/>
      <c r="G16" s="89"/>
      <c r="H16" s="89"/>
    </row>
    <row r="17" spans="2:8" x14ac:dyDescent="0.3">
      <c r="B17" s="38"/>
      <c r="C17" s="38"/>
      <c r="D17" s="38"/>
      <c r="E17" s="38"/>
      <c r="F17" s="38"/>
      <c r="G17" s="38"/>
      <c r="H17" s="38"/>
    </row>
    <row r="18" spans="2:8" x14ac:dyDescent="0.3">
      <c r="B18" s="90" t="s">
        <v>772</v>
      </c>
      <c r="C18" s="89"/>
      <c r="D18" s="89"/>
      <c r="E18" s="89"/>
      <c r="F18" s="89"/>
      <c r="G18" s="89"/>
      <c r="H18" s="89"/>
    </row>
    <row r="19" spans="2:8" x14ac:dyDescent="0.3">
      <c r="B19" s="38"/>
      <c r="C19" s="38"/>
      <c r="D19" s="38"/>
      <c r="E19" s="38"/>
      <c r="F19" s="38"/>
      <c r="G19" s="38"/>
      <c r="H19" s="38"/>
    </row>
    <row r="20" spans="2:8" x14ac:dyDescent="0.3">
      <c r="B20" s="38"/>
      <c r="C20" s="38"/>
      <c r="D20" s="38"/>
      <c r="E20" s="38"/>
      <c r="F20" s="38"/>
      <c r="G20" s="38"/>
      <c r="H20" s="38"/>
    </row>
    <row r="21" spans="2:8" x14ac:dyDescent="0.3">
      <c r="B21" s="38"/>
      <c r="C21" s="38"/>
      <c r="D21" s="38"/>
      <c r="E21" s="38"/>
      <c r="F21" s="38"/>
      <c r="G21" s="38"/>
      <c r="H21" s="38"/>
    </row>
    <row r="22" spans="2:8" x14ac:dyDescent="0.3">
      <c r="B22" s="38"/>
      <c r="C22" s="38"/>
      <c r="D22" s="38"/>
      <c r="E22" s="38"/>
      <c r="F22" s="54" t="s">
        <v>297</v>
      </c>
      <c r="G22" s="54" t="s">
        <v>308</v>
      </c>
      <c r="H22" s="54" t="s">
        <v>298</v>
      </c>
    </row>
    <row r="23" spans="2:8" x14ac:dyDescent="0.3">
      <c r="B23" s="53" t="s">
        <v>309</v>
      </c>
      <c r="C23" s="89" t="str">
        <f>IF(기초자료입력!C9&lt;&gt;"",기초자료입력!C9,"")</f>
        <v/>
      </c>
      <c r="D23" s="89"/>
      <c r="E23" s="89"/>
      <c r="F23" s="54" t="s">
        <v>310</v>
      </c>
      <c r="G23" s="82"/>
      <c r="H23" s="82"/>
    </row>
    <row r="24" spans="2:8" x14ac:dyDescent="0.3">
      <c r="B24" s="53" t="s">
        <v>311</v>
      </c>
      <c r="C24" s="38"/>
      <c r="D24" s="53" t="s">
        <v>312</v>
      </c>
      <c r="E24" s="89"/>
      <c r="F24" s="82"/>
      <c r="G24" s="82"/>
      <c r="H24" s="82"/>
    </row>
    <row r="25" spans="2:8" x14ac:dyDescent="0.3">
      <c r="B25" s="53" t="s">
        <v>313</v>
      </c>
      <c r="C25" s="38"/>
      <c r="D25" s="53" t="s">
        <v>314</v>
      </c>
      <c r="E25" s="38"/>
      <c r="F25" s="54" t="s">
        <v>315</v>
      </c>
      <c r="G25" s="82"/>
      <c r="H25" s="82"/>
    </row>
  </sheetData>
  <mergeCells count="14">
    <mergeCell ref="E24:H24"/>
    <mergeCell ref="G25:H25"/>
    <mergeCell ref="B13:H13"/>
    <mergeCell ref="C15:H15"/>
    <mergeCell ref="C16:H16"/>
    <mergeCell ref="B18:H18"/>
    <mergeCell ref="C23:E23"/>
    <mergeCell ref="G23:H23"/>
    <mergeCell ref="B11:H11"/>
    <mergeCell ref="G2:H2"/>
    <mergeCell ref="B3:H4"/>
    <mergeCell ref="C7:H7"/>
    <mergeCell ref="C8:H8"/>
    <mergeCell ref="C9:H9"/>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49154"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0C4CE-94C5-4A4C-B931-0DA4442C865F}">
  <sheetPr codeName="Sheet49"/>
  <dimension ref="A1:H22"/>
  <sheetViews>
    <sheetView workbookViewId="0"/>
  </sheetViews>
  <sheetFormatPr defaultRowHeight="16.5" x14ac:dyDescent="0.3"/>
  <cols>
    <col min="1" max="1" width="3.125" customWidth="1"/>
    <col min="2" max="8" width="10.625" customWidth="1"/>
  </cols>
  <sheetData>
    <row r="1" spans="1:8" x14ac:dyDescent="0.3">
      <c r="A1" s="20" t="s">
        <v>773</v>
      </c>
    </row>
    <row r="3" spans="1:8" x14ac:dyDescent="0.3">
      <c r="B3" s="104" t="str">
        <f>IF(기초자료입력!C22&lt;&gt;"",기초자료입력!C22,"초 6(예비 중1), 중 3(예비 고1) 교복 구매 사전 안내")</f>
        <v>초 6(예비 중1), 중 3(예비 고1) 교복 구매 사전 안내</v>
      </c>
      <c r="C3" s="105"/>
      <c r="D3" s="105"/>
      <c r="E3" s="105"/>
      <c r="F3" s="105"/>
      <c r="G3" s="105"/>
      <c r="H3" s="105"/>
    </row>
    <row r="4" spans="1:8" x14ac:dyDescent="0.3">
      <c r="B4" s="105"/>
      <c r="C4" s="105"/>
      <c r="D4" s="105"/>
      <c r="E4" s="105"/>
      <c r="F4" s="105"/>
      <c r="G4" s="105"/>
      <c r="H4" s="105"/>
    </row>
    <row r="5" spans="1:8" x14ac:dyDescent="0.3">
      <c r="B5" s="21"/>
      <c r="C5" s="21"/>
      <c r="D5" s="21"/>
      <c r="E5" s="21"/>
      <c r="F5" s="21"/>
      <c r="G5" s="21"/>
      <c r="H5" s="21"/>
    </row>
    <row r="6" spans="1:8" x14ac:dyDescent="0.3">
      <c r="B6" s="98" t="s">
        <v>774</v>
      </c>
      <c r="C6" s="98"/>
      <c r="D6" s="98"/>
      <c r="E6" s="98"/>
      <c r="F6" s="98"/>
      <c r="G6" s="98"/>
      <c r="H6" s="98"/>
    </row>
    <row r="7" spans="1:8" x14ac:dyDescent="0.3">
      <c r="B7" s="21"/>
      <c r="C7" s="21"/>
      <c r="D7" s="21"/>
      <c r="E7" s="21"/>
      <c r="F7" s="21"/>
      <c r="G7" s="21"/>
      <c r="H7" s="21"/>
    </row>
    <row r="8" spans="1:8" ht="30" customHeight="1" x14ac:dyDescent="0.3">
      <c r="B8" s="95" t="str">
        <f>IF(기초자료입력!C5&lt;&gt;"",기초자료입력!C5,"20○○")&amp;"학년도 중학교, 고등학교 신입생 배정을 앞두고 "&amp;IF(기초자료입력!C12&lt;&gt;"",기초자료입력!C12,"교복 구매")&amp;"에 대한 사항을 다음과 같이 안내해 드립니다."</f>
        <v>20○○학년도 중학교, 고등학교 신입생 배정을 앞두고 교복 구매에 대한 사항을 다음과 같이 안내해 드립니다.</v>
      </c>
      <c r="C8" s="95"/>
      <c r="D8" s="95"/>
      <c r="E8" s="95"/>
      <c r="F8" s="95"/>
      <c r="G8" s="95"/>
      <c r="H8" s="95"/>
    </row>
    <row r="9" spans="1:8" x14ac:dyDescent="0.3">
      <c r="B9" s="21"/>
      <c r="C9" s="21"/>
      <c r="D9" s="21"/>
      <c r="E9" s="21"/>
      <c r="F9" s="21"/>
      <c r="G9" s="21"/>
      <c r="H9" s="21"/>
    </row>
    <row r="10" spans="1:8" ht="42" customHeight="1" x14ac:dyDescent="0.3">
      <c r="B10" s="95" t="s">
        <v>775</v>
      </c>
      <c r="C10" s="95"/>
      <c r="D10" s="95"/>
      <c r="E10" s="95"/>
      <c r="F10" s="95"/>
      <c r="G10" s="95"/>
      <c r="H10" s="95"/>
    </row>
    <row r="11" spans="1:8" x14ac:dyDescent="0.3">
      <c r="B11" s="95"/>
      <c r="C11" s="95"/>
      <c r="D11" s="95"/>
      <c r="E11" s="95"/>
      <c r="F11" s="95"/>
      <c r="G11" s="95"/>
      <c r="H11" s="95"/>
    </row>
    <row r="12" spans="1:8" x14ac:dyDescent="0.3">
      <c r="B12" s="21"/>
      <c r="C12" s="21"/>
      <c r="D12" s="21"/>
      <c r="E12" s="21"/>
      <c r="F12" s="21"/>
      <c r="G12" s="21"/>
      <c r="H12" s="21"/>
    </row>
    <row r="13" spans="1:8" ht="42" customHeight="1" x14ac:dyDescent="0.3">
      <c r="B13" s="95" t="s">
        <v>776</v>
      </c>
      <c r="C13" s="95"/>
      <c r="D13" s="95"/>
      <c r="E13" s="95"/>
      <c r="F13" s="95"/>
      <c r="G13" s="95"/>
      <c r="H13" s="95"/>
    </row>
    <row r="14" spans="1:8" x14ac:dyDescent="0.3">
      <c r="B14" s="95"/>
      <c r="C14" s="95"/>
      <c r="D14" s="95"/>
      <c r="E14" s="95"/>
      <c r="F14" s="95"/>
      <c r="G14" s="95"/>
      <c r="H14" s="95"/>
    </row>
    <row r="15" spans="1:8" x14ac:dyDescent="0.3">
      <c r="B15" s="21"/>
      <c r="C15" s="21"/>
      <c r="D15" s="21"/>
      <c r="E15" s="21"/>
      <c r="F15" s="21"/>
      <c r="G15" s="21"/>
      <c r="H15" s="21"/>
    </row>
    <row r="16" spans="1:8" ht="42" customHeight="1" x14ac:dyDescent="0.3">
      <c r="B16" s="95" t="s">
        <v>777</v>
      </c>
      <c r="C16" s="95"/>
      <c r="D16" s="95"/>
      <c r="E16" s="95"/>
      <c r="F16" s="95"/>
      <c r="G16" s="95"/>
      <c r="H16" s="95"/>
    </row>
    <row r="17" spans="2:8" x14ac:dyDescent="0.3">
      <c r="B17" s="95"/>
      <c r="C17" s="95"/>
      <c r="D17" s="95"/>
      <c r="E17" s="95"/>
      <c r="F17" s="95"/>
      <c r="G17" s="95"/>
      <c r="H17" s="95"/>
    </row>
    <row r="18" spans="2:8" x14ac:dyDescent="0.3">
      <c r="B18" s="21"/>
      <c r="C18" s="21"/>
      <c r="D18" s="21"/>
      <c r="E18" s="21"/>
      <c r="F18" s="21"/>
      <c r="G18" s="21"/>
      <c r="H18" s="21"/>
    </row>
    <row r="19" spans="2:8" x14ac:dyDescent="0.3">
      <c r="B19" s="98" t="s">
        <v>778</v>
      </c>
      <c r="C19" s="98"/>
      <c r="D19" s="98"/>
      <c r="E19" s="98"/>
      <c r="F19" s="98"/>
      <c r="G19" s="98"/>
      <c r="H19" s="98"/>
    </row>
    <row r="20" spans="2:8" x14ac:dyDescent="0.3">
      <c r="B20" s="21"/>
      <c r="C20" s="21"/>
      <c r="D20" s="21"/>
      <c r="E20" s="21"/>
      <c r="F20" s="21"/>
      <c r="G20" s="21"/>
      <c r="H20" s="21"/>
    </row>
    <row r="21" spans="2:8" x14ac:dyDescent="0.3">
      <c r="B21" s="105" t="str">
        <f>IF(기초자료입력!C8&lt;&gt;"",TEXT(기초자료입력!C8,"yyyy. m. d."),"년  월  일")</f>
        <v>년  월  일</v>
      </c>
      <c r="C21" s="105"/>
      <c r="D21" s="105"/>
      <c r="E21" s="105"/>
      <c r="F21" s="105"/>
      <c r="G21" s="105"/>
      <c r="H21" s="105"/>
    </row>
    <row r="22" spans="2:8" x14ac:dyDescent="0.3">
      <c r="B22" s="104" t="str">
        <f>IF(기초자료입력!C4&lt;&gt;"",기초자료입력!C4&amp;"장","○○학교장")</f>
        <v>○○학교장</v>
      </c>
      <c r="C22" s="105"/>
      <c r="D22" s="105"/>
      <c r="E22" s="105"/>
      <c r="F22" s="105"/>
      <c r="G22" s="105"/>
      <c r="H22" s="105"/>
    </row>
  </sheetData>
  <mergeCells count="9">
    <mergeCell ref="B19:H19"/>
    <mergeCell ref="B21:H21"/>
    <mergeCell ref="B22:H22"/>
    <mergeCell ref="B3:H4"/>
    <mergeCell ref="B6:H6"/>
    <mergeCell ref="B8:H8"/>
    <mergeCell ref="B10:H11"/>
    <mergeCell ref="B13:H14"/>
    <mergeCell ref="B16:H17"/>
  </mergeCells>
  <phoneticPr fontId="6" type="noConversion"/>
  <pageMargins left="0.59055208333333331" right="0.59055208333333331" top="0.47244166666666665" bottom="0.47244166666666665"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50178"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F30AB-CE2C-404C-8579-13C4AFB200C6}">
  <sheetPr codeName="Sheet50"/>
  <dimension ref="A1:H25"/>
  <sheetViews>
    <sheetView workbookViewId="0"/>
  </sheetViews>
  <sheetFormatPr defaultRowHeight="16.5" x14ac:dyDescent="0.3"/>
  <cols>
    <col min="1" max="1" width="3.125" customWidth="1"/>
    <col min="2" max="2" width="10.625" customWidth="1"/>
    <col min="3" max="8" width="9.625" customWidth="1"/>
  </cols>
  <sheetData>
    <row r="1" spans="1:8" x14ac:dyDescent="0.3">
      <c r="A1" s="20" t="s">
        <v>779</v>
      </c>
    </row>
    <row r="2" spans="1:8" x14ac:dyDescent="0.3">
      <c r="G2" s="134" t="str">
        <f>IF(기초자료입력!C4&lt;&gt;"",기초자료입력!C4,"○ ○ 학 교")</f>
        <v>○ ○ 학 교</v>
      </c>
      <c r="H2" s="84"/>
    </row>
    <row r="3" spans="1:8" x14ac:dyDescent="0.3">
      <c r="B3" s="83" t="s">
        <v>780</v>
      </c>
      <c r="C3" s="84"/>
      <c r="D3" s="84"/>
      <c r="E3" s="84"/>
      <c r="F3" s="84"/>
      <c r="G3" s="84"/>
      <c r="H3" s="84"/>
    </row>
    <row r="4" spans="1:8" x14ac:dyDescent="0.3">
      <c r="B4" s="84"/>
      <c r="C4" s="84"/>
      <c r="D4" s="84"/>
      <c r="E4" s="84"/>
      <c r="F4" s="84"/>
      <c r="G4" s="84"/>
      <c r="H4" s="84"/>
    </row>
    <row r="5" spans="1:8" x14ac:dyDescent="0.3">
      <c r="B5" s="54" t="s">
        <v>26</v>
      </c>
      <c r="C5" s="37" t="str">
        <f>IF(기초자료입력!C9&lt;&gt;"",기초자료입력!C9,"")</f>
        <v/>
      </c>
      <c r="D5" s="37"/>
      <c r="E5" s="54" t="s">
        <v>293</v>
      </c>
      <c r="F5" s="37" t="str">
        <f>IF(기초자료입력!C8&lt;&gt;"",TEXT(기초자료입력!C8,"yyyy-mm-dd"),"")</f>
        <v/>
      </c>
      <c r="G5" s="37"/>
      <c r="H5" s="37"/>
    </row>
    <row r="6" spans="1:8" x14ac:dyDescent="0.3">
      <c r="B6" s="37"/>
      <c r="C6" s="37"/>
      <c r="D6" s="37"/>
      <c r="E6" s="37"/>
      <c r="F6" s="37"/>
      <c r="G6" s="37"/>
      <c r="H6" s="37"/>
    </row>
    <row r="7" spans="1:8" x14ac:dyDescent="0.3">
      <c r="B7" s="54" t="s">
        <v>294</v>
      </c>
      <c r="C7" s="82" t="s">
        <v>767</v>
      </c>
      <c r="D7" s="82"/>
      <c r="E7" s="82"/>
      <c r="F7" s="82"/>
      <c r="G7" s="82"/>
      <c r="H7" s="82"/>
    </row>
    <row r="8" spans="1:8" x14ac:dyDescent="0.3">
      <c r="B8" s="54" t="s">
        <v>301</v>
      </c>
      <c r="C8" s="82"/>
      <c r="D8" s="82"/>
      <c r="E8" s="82"/>
      <c r="F8" s="82"/>
      <c r="G8" s="82"/>
      <c r="H8" s="82"/>
    </row>
    <row r="9" spans="1:8" x14ac:dyDescent="0.3">
      <c r="B9" s="54" t="s">
        <v>295</v>
      </c>
      <c r="C9" s="85" t="str">
        <f>IF(기초자료입력!C22&lt;&gt;"",기초자료입력!C22,"신입생 예비소집일 교복구매 수요조사 가정통신문 발송")</f>
        <v>신입생 예비소집일 교복구매 수요조사 가정통신문 발송</v>
      </c>
      <c r="D9" s="82"/>
      <c r="E9" s="82"/>
      <c r="F9" s="82"/>
      <c r="G9" s="82"/>
      <c r="H9" s="82"/>
    </row>
    <row r="10" spans="1:8" x14ac:dyDescent="0.3">
      <c r="B10" s="38"/>
      <c r="C10" s="38"/>
      <c r="D10" s="38"/>
      <c r="E10" s="38"/>
      <c r="F10" s="38"/>
      <c r="G10" s="38"/>
      <c r="H10" s="38"/>
    </row>
    <row r="11" spans="1:8" x14ac:dyDescent="0.3">
      <c r="B11" s="90" t="s">
        <v>768</v>
      </c>
      <c r="C11" s="89"/>
      <c r="D11" s="89"/>
      <c r="E11" s="89"/>
      <c r="F11" s="89"/>
      <c r="G11" s="89"/>
      <c r="H11" s="89"/>
    </row>
    <row r="12" spans="1:8" x14ac:dyDescent="0.3">
      <c r="B12" s="38"/>
      <c r="C12" s="38"/>
      <c r="D12" s="38"/>
      <c r="E12" s="38"/>
      <c r="F12" s="38"/>
      <c r="G12" s="38"/>
      <c r="H12" s="38"/>
    </row>
    <row r="13" spans="1:8" ht="30" customHeight="1" x14ac:dyDescent="0.3">
      <c r="B13" s="100" t="s">
        <v>781</v>
      </c>
      <c r="C13" s="100"/>
      <c r="D13" s="100"/>
      <c r="E13" s="100"/>
      <c r="F13" s="100"/>
      <c r="G13" s="100"/>
      <c r="H13" s="100"/>
    </row>
    <row r="14" spans="1:8" x14ac:dyDescent="0.3">
      <c r="B14" s="38"/>
      <c r="C14" s="38"/>
      <c r="D14" s="38"/>
      <c r="E14" s="38"/>
      <c r="F14" s="38"/>
      <c r="G14" s="38"/>
      <c r="H14" s="38"/>
    </row>
    <row r="15" spans="1:8" x14ac:dyDescent="0.3">
      <c r="B15" s="53" t="s">
        <v>770</v>
      </c>
      <c r="C15" s="89" t="str">
        <f>IF(기초자료입력!C5&lt;&gt;"",기초자료입력!C5,"20○○")&amp;"학년도 신입생 및 학부모"</f>
        <v>20○○학년도 신입생 및 학부모</v>
      </c>
      <c r="D15" s="89"/>
      <c r="E15" s="89"/>
      <c r="F15" s="89"/>
      <c r="G15" s="89"/>
      <c r="H15" s="89"/>
    </row>
    <row r="16" spans="1:8" x14ac:dyDescent="0.3">
      <c r="B16" s="53" t="s">
        <v>771</v>
      </c>
      <c r="C16" s="89" t="str">
        <f>IF(기초자료입력!C12&lt;&gt;"",기초자료입력!C12&amp;" 관련 교복 학교주관구매 참여 여부 조사","교복 학교주관구매 참여 여부 조사")</f>
        <v>교복 학교주관구매 참여 여부 조사</v>
      </c>
      <c r="D16" s="89"/>
      <c r="E16" s="89"/>
      <c r="F16" s="89"/>
      <c r="G16" s="89"/>
      <c r="H16" s="89"/>
    </row>
    <row r="17" spans="2:8" x14ac:dyDescent="0.3">
      <c r="B17" s="38"/>
      <c r="C17" s="38"/>
      <c r="D17" s="38"/>
      <c r="E17" s="38"/>
      <c r="F17" s="38"/>
      <c r="G17" s="38"/>
      <c r="H17" s="38"/>
    </row>
    <row r="18" spans="2:8" x14ac:dyDescent="0.3">
      <c r="B18" s="90" t="s">
        <v>782</v>
      </c>
      <c r="C18" s="89"/>
      <c r="D18" s="89"/>
      <c r="E18" s="89"/>
      <c r="F18" s="89"/>
      <c r="G18" s="89"/>
      <c r="H18" s="89"/>
    </row>
    <row r="19" spans="2:8" x14ac:dyDescent="0.3">
      <c r="B19" s="38"/>
      <c r="C19" s="38"/>
      <c r="D19" s="38"/>
      <c r="E19" s="38"/>
      <c r="F19" s="38"/>
      <c r="G19" s="38"/>
      <c r="H19" s="38"/>
    </row>
    <row r="20" spans="2:8" x14ac:dyDescent="0.3">
      <c r="B20" s="38"/>
      <c r="C20" s="38"/>
      <c r="D20" s="38"/>
      <c r="E20" s="38"/>
      <c r="F20" s="38"/>
      <c r="G20" s="38"/>
      <c r="H20" s="38"/>
    </row>
    <row r="21" spans="2:8" x14ac:dyDescent="0.3">
      <c r="B21" s="38"/>
      <c r="C21" s="38"/>
      <c r="D21" s="38"/>
      <c r="E21" s="38"/>
      <c r="F21" s="38"/>
      <c r="G21" s="38"/>
      <c r="H21" s="38"/>
    </row>
    <row r="22" spans="2:8" x14ac:dyDescent="0.3">
      <c r="B22" s="38"/>
      <c r="C22" s="38"/>
      <c r="D22" s="38"/>
      <c r="E22" s="38"/>
      <c r="F22" s="54" t="s">
        <v>297</v>
      </c>
      <c r="G22" s="54" t="s">
        <v>308</v>
      </c>
      <c r="H22" s="54" t="s">
        <v>298</v>
      </c>
    </row>
    <row r="23" spans="2:8" x14ac:dyDescent="0.3">
      <c r="B23" s="53" t="s">
        <v>309</v>
      </c>
      <c r="C23" s="89" t="str">
        <f>IF(기초자료입력!C9&lt;&gt;"",기초자료입력!C9,"")</f>
        <v/>
      </c>
      <c r="D23" s="89"/>
      <c r="E23" s="89"/>
      <c r="F23" s="54" t="s">
        <v>310</v>
      </c>
      <c r="G23" s="82"/>
      <c r="H23" s="82"/>
    </row>
    <row r="24" spans="2:8" x14ac:dyDescent="0.3">
      <c r="B24" s="53" t="s">
        <v>311</v>
      </c>
      <c r="C24" s="38"/>
      <c r="D24" s="53" t="s">
        <v>312</v>
      </c>
      <c r="E24" s="89"/>
      <c r="F24" s="82"/>
      <c r="G24" s="82"/>
      <c r="H24" s="82"/>
    </row>
    <row r="25" spans="2:8" x14ac:dyDescent="0.3">
      <c r="B25" s="53" t="s">
        <v>313</v>
      </c>
      <c r="C25" s="38"/>
      <c r="D25" s="53" t="s">
        <v>314</v>
      </c>
      <c r="E25" s="38"/>
      <c r="F25" s="54" t="s">
        <v>315</v>
      </c>
      <c r="G25" s="82"/>
      <c r="H25" s="82"/>
    </row>
  </sheetData>
  <mergeCells count="14">
    <mergeCell ref="E24:H24"/>
    <mergeCell ref="G25:H25"/>
    <mergeCell ref="B13:H13"/>
    <mergeCell ref="C15:H15"/>
    <mergeCell ref="C16:H16"/>
    <mergeCell ref="B18:H18"/>
    <mergeCell ref="C23:E23"/>
    <mergeCell ref="G23:H23"/>
    <mergeCell ref="B11:H11"/>
    <mergeCell ref="G2:H2"/>
    <mergeCell ref="B3:H4"/>
    <mergeCell ref="C7:H7"/>
    <mergeCell ref="C8:H8"/>
    <mergeCell ref="C9:H9"/>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51202"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08A2F-B316-4442-81C2-3AD41FA77CED}">
  <sheetPr codeName="Sheet51"/>
  <dimension ref="A1:H41"/>
  <sheetViews>
    <sheetView workbookViewId="0"/>
  </sheetViews>
  <sheetFormatPr defaultRowHeight="16.5" x14ac:dyDescent="0.3"/>
  <cols>
    <col min="1" max="1" width="3.125" customWidth="1"/>
    <col min="2" max="8" width="10.625" customWidth="1"/>
  </cols>
  <sheetData>
    <row r="1" spans="1:8" x14ac:dyDescent="0.3">
      <c r="A1" s="20" t="s">
        <v>802</v>
      </c>
    </row>
    <row r="3" spans="1:8" x14ac:dyDescent="0.3">
      <c r="B3" s="104" t="str">
        <f>IF(기초자료입력!C22&lt;&gt;"",기초자료입력!C22,IF(기초자료입력!C4&lt;&gt;"",기초자료입력!C4,"○○학교")&amp;" 교복 구매 수요조사")</f>
        <v>○○학교 교복 구매 수요조사</v>
      </c>
      <c r="C3" s="105"/>
      <c r="D3" s="105"/>
      <c r="E3" s="105"/>
      <c r="F3" s="105"/>
      <c r="G3" s="105"/>
      <c r="H3" s="105"/>
    </row>
    <row r="4" spans="1:8" x14ac:dyDescent="0.3">
      <c r="B4" s="105"/>
      <c r="C4" s="105"/>
      <c r="D4" s="105"/>
      <c r="E4" s="105"/>
      <c r="F4" s="105"/>
      <c r="G4" s="105"/>
      <c r="H4" s="105"/>
    </row>
    <row r="5" spans="1:8" x14ac:dyDescent="0.3">
      <c r="B5" s="21"/>
      <c r="C5" s="21"/>
      <c r="D5" s="21"/>
      <c r="E5" s="21"/>
      <c r="F5" s="21"/>
      <c r="G5" s="21"/>
      <c r="H5" s="21"/>
    </row>
    <row r="6" spans="1:8" x14ac:dyDescent="0.3">
      <c r="B6" s="98" t="str">
        <f>"안녕하십니까? "&amp;IF(기초자료입력!C4&lt;&gt;"",기초자료입력!C4,"○○학교")&amp;" 입학을 진심으로 축하드립니다."</f>
        <v>안녕하십니까? ○○학교 입학을 진심으로 축하드립니다.</v>
      </c>
      <c r="C6" s="98"/>
      <c r="D6" s="98"/>
      <c r="E6" s="98"/>
      <c r="F6" s="98"/>
      <c r="G6" s="98"/>
      <c r="H6" s="98"/>
    </row>
    <row r="7" spans="1:8" x14ac:dyDescent="0.3">
      <c r="B7" s="21"/>
      <c r="C7" s="21"/>
      <c r="D7" s="21"/>
      <c r="E7" s="21"/>
      <c r="F7" s="21"/>
      <c r="G7" s="21"/>
      <c r="H7" s="21"/>
    </row>
    <row r="8" spans="1:8" ht="30" customHeight="1" x14ac:dyDescent="0.3">
      <c r="B8" s="95" t="s">
        <v>803</v>
      </c>
      <c r="C8" s="95"/>
      <c r="D8" s="95"/>
      <c r="E8" s="95"/>
      <c r="F8" s="95"/>
      <c r="G8" s="95"/>
      <c r="H8" s="95"/>
    </row>
    <row r="9" spans="1:8" x14ac:dyDescent="0.3">
      <c r="B9" s="95"/>
      <c r="C9" s="95"/>
      <c r="D9" s="95"/>
      <c r="E9" s="95"/>
      <c r="F9" s="95"/>
      <c r="G9" s="95"/>
      <c r="H9" s="95"/>
    </row>
    <row r="10" spans="1:8" x14ac:dyDescent="0.3">
      <c r="B10" s="21"/>
      <c r="C10" s="21"/>
      <c r="D10" s="21"/>
      <c r="E10" s="21"/>
      <c r="F10" s="21"/>
      <c r="G10" s="21"/>
      <c r="H10" s="21"/>
    </row>
    <row r="11" spans="1:8" ht="30" customHeight="1" x14ac:dyDescent="0.3">
      <c r="B11" s="95" t="s">
        <v>804</v>
      </c>
      <c r="C11" s="95"/>
      <c r="D11" s="95"/>
      <c r="E11" s="95"/>
      <c r="F11" s="95"/>
      <c r="G11" s="95"/>
      <c r="H11" s="95"/>
    </row>
    <row r="12" spans="1:8" x14ac:dyDescent="0.3">
      <c r="B12" s="95"/>
      <c r="C12" s="95"/>
      <c r="D12" s="95"/>
      <c r="E12" s="95"/>
      <c r="F12" s="95"/>
      <c r="G12" s="95"/>
      <c r="H12" s="95"/>
    </row>
    <row r="13" spans="1:8" x14ac:dyDescent="0.3">
      <c r="B13" s="21"/>
      <c r="C13" s="21"/>
      <c r="D13" s="21"/>
      <c r="E13" s="21"/>
      <c r="F13" s="21"/>
      <c r="G13" s="21"/>
      <c r="H13" s="21"/>
    </row>
    <row r="14" spans="1:8" ht="30" customHeight="1" x14ac:dyDescent="0.3">
      <c r="B14" s="95" t="str">
        <f>"※ 참고: "&amp;IF(기초자료입력!C5&lt;&gt;"",기초자료입력!C5,"20○○")&amp;"학년도 신입생 교복 「학교주관구매」 가격 상한선"&amp;CHAR(10)&amp;"동복(4pcs 기준) 000,000원, 하복(2pcs 기준) 00,000원"</f>
        <v>※ 참고: 20○○학년도 신입생 교복 「학교주관구매」 가격 상한선
동복(4pcs 기준) 000,000원, 하복(2pcs 기준) 00,000원</v>
      </c>
      <c r="C14" s="95"/>
      <c r="D14" s="95"/>
      <c r="E14" s="95"/>
      <c r="F14" s="95"/>
      <c r="G14" s="95"/>
      <c r="H14" s="95"/>
    </row>
    <row r="15" spans="1:8" x14ac:dyDescent="0.3">
      <c r="B15" s="95"/>
      <c r="C15" s="95"/>
      <c r="D15" s="95"/>
      <c r="E15" s="95"/>
      <c r="F15" s="95"/>
      <c r="G15" s="95"/>
      <c r="H15" s="95"/>
    </row>
    <row r="16" spans="1:8" x14ac:dyDescent="0.3">
      <c r="B16" s="21"/>
      <c r="C16" s="21"/>
      <c r="D16" s="21"/>
      <c r="E16" s="21"/>
      <c r="F16" s="21"/>
      <c r="G16" s="21"/>
      <c r="H16" s="21"/>
    </row>
    <row r="17" spans="2:8" ht="30" customHeight="1" x14ac:dyDescent="0.3">
      <c r="B17" s="95" t="str">
        <f>"정확한 교복 물량 파악을 위하여 신입생들은 아래의 &lt;교복 구매 신청서&gt;와 별첨한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별첨한 &lt;교복 신청 수량&gt;을 작성하여 ○○년 ○월 ○일까지 학교로 반드시 제출하여 주시기 바랍니다.</v>
      </c>
      <c r="C17" s="95"/>
      <c r="D17" s="95"/>
      <c r="E17" s="95"/>
      <c r="F17" s="95"/>
      <c r="G17" s="95"/>
      <c r="H17" s="95"/>
    </row>
    <row r="18" spans="2:8" x14ac:dyDescent="0.3">
      <c r="B18" s="95"/>
      <c r="C18" s="95"/>
      <c r="D18" s="95"/>
      <c r="E18" s="95"/>
      <c r="F18" s="95"/>
      <c r="G18" s="95"/>
      <c r="H18" s="95"/>
    </row>
    <row r="19" spans="2:8" x14ac:dyDescent="0.3">
      <c r="B19" s="21"/>
      <c r="C19" s="21"/>
      <c r="D19" s="21"/>
      <c r="E19" s="21"/>
      <c r="F19" s="21"/>
      <c r="G19" s="21"/>
      <c r="H19" s="21"/>
    </row>
    <row r="20" spans="2:8" ht="39.950000000000003" customHeight="1" x14ac:dyDescent="0.3">
      <c r="B20" s="95" t="s">
        <v>805</v>
      </c>
      <c r="C20" s="95"/>
      <c r="D20" s="95"/>
      <c r="E20" s="95"/>
      <c r="F20" s="95"/>
      <c r="G20" s="95"/>
      <c r="H20" s="95"/>
    </row>
    <row r="21" spans="2:8" x14ac:dyDescent="0.3">
      <c r="B21" s="95"/>
      <c r="C21" s="95"/>
      <c r="D21" s="95"/>
      <c r="E21" s="95"/>
      <c r="F21" s="95"/>
      <c r="G21" s="95"/>
      <c r="H21" s="95"/>
    </row>
    <row r="22" spans="2:8" x14ac:dyDescent="0.3">
      <c r="B22" s="21"/>
      <c r="C22" s="21"/>
      <c r="D22" s="21"/>
      <c r="E22" s="21"/>
      <c r="F22" s="21"/>
      <c r="G22" s="21"/>
      <c r="H22" s="21"/>
    </row>
    <row r="23" spans="2:8" x14ac:dyDescent="0.3">
      <c r="B23" s="98" t="s">
        <v>778</v>
      </c>
      <c r="C23" s="98"/>
      <c r="D23" s="98"/>
      <c r="E23" s="98"/>
      <c r="F23" s="98"/>
      <c r="G23" s="98"/>
      <c r="H23" s="98"/>
    </row>
    <row r="24" spans="2:8" x14ac:dyDescent="0.3">
      <c r="B24" s="144" t="s">
        <v>806</v>
      </c>
      <c r="C24" s="98"/>
      <c r="D24" s="98"/>
      <c r="E24" s="98"/>
      <c r="F24" s="98"/>
      <c r="G24" s="98"/>
      <c r="H24" s="98"/>
    </row>
    <row r="25" spans="2:8" x14ac:dyDescent="0.3">
      <c r="B25" s="21"/>
      <c r="C25" s="21"/>
      <c r="D25" s="21"/>
      <c r="E25" s="21"/>
      <c r="F25" s="21"/>
      <c r="G25" s="21"/>
      <c r="H25" s="21"/>
    </row>
    <row r="26" spans="2:8" x14ac:dyDescent="0.3">
      <c r="B26" s="105" t="str">
        <f>IF(기초자료입력!C8&lt;&gt;"",TEXT(기초자료입력!C8,"yyyy. m. d."),"년  월  일")</f>
        <v>년  월  일</v>
      </c>
      <c r="C26" s="105"/>
      <c r="D26" s="105"/>
      <c r="E26" s="105"/>
      <c r="F26" s="105"/>
      <c r="G26" s="105"/>
      <c r="H26" s="105"/>
    </row>
    <row r="27" spans="2:8" x14ac:dyDescent="0.3">
      <c r="B27" s="104" t="str">
        <f>IF(기초자료입력!C4&lt;&gt;"",기초자료입력!C4&amp;"장","○○○ 학교장")</f>
        <v>○○○ 학교장</v>
      </c>
      <c r="C27" s="105"/>
      <c r="D27" s="105"/>
      <c r="E27" s="105"/>
      <c r="F27" s="105"/>
      <c r="G27" s="105"/>
      <c r="H27" s="105"/>
    </row>
    <row r="28" spans="2:8" x14ac:dyDescent="0.3">
      <c r="B28" s="21"/>
      <c r="C28" s="21"/>
      <c r="D28" s="21"/>
      <c r="E28" s="21"/>
      <c r="F28" s="21"/>
      <c r="G28" s="21"/>
      <c r="H28" s="21"/>
    </row>
    <row r="29" spans="2:8" x14ac:dyDescent="0.3">
      <c r="B29" s="105" t="s">
        <v>807</v>
      </c>
      <c r="C29" s="105"/>
      <c r="D29" s="105"/>
      <c r="E29" s="105"/>
      <c r="F29" s="105"/>
      <c r="G29" s="105"/>
      <c r="H29" s="105"/>
    </row>
    <row r="30" spans="2:8" x14ac:dyDescent="0.3">
      <c r="B30" s="21"/>
      <c r="C30" s="21"/>
      <c r="D30" s="21"/>
      <c r="E30" s="21"/>
      <c r="F30" s="21"/>
      <c r="G30" s="21"/>
      <c r="H30" s="21"/>
    </row>
    <row r="31" spans="2:8" x14ac:dyDescent="0.3">
      <c r="B31" s="104" t="s">
        <v>808</v>
      </c>
      <c r="C31" s="105"/>
      <c r="D31" s="105"/>
      <c r="E31" s="105"/>
      <c r="F31" s="105"/>
      <c r="G31" s="105"/>
      <c r="H31" s="105"/>
    </row>
    <row r="32" spans="2:8" x14ac:dyDescent="0.3">
      <c r="B32" s="98" t="s">
        <v>809</v>
      </c>
      <c r="C32" s="98"/>
      <c r="D32" s="98"/>
      <c r="E32" s="98"/>
      <c r="F32" s="98"/>
      <c r="G32" s="98"/>
      <c r="H32" s="98"/>
    </row>
    <row r="33" spans="2:8" x14ac:dyDescent="0.3">
      <c r="B33" s="21"/>
      <c r="C33" s="21"/>
      <c r="D33" s="21"/>
      <c r="E33" s="21"/>
      <c r="F33" s="21"/>
      <c r="G33" s="21"/>
      <c r="H33" s="21"/>
    </row>
    <row r="34" spans="2:8" ht="32.1" customHeight="1" x14ac:dyDescent="0.3">
      <c r="B34" s="145" t="s">
        <v>810</v>
      </c>
      <c r="C34" s="145"/>
      <c r="D34" s="145" t="s">
        <v>811</v>
      </c>
      <c r="E34" s="145"/>
      <c r="F34" s="145"/>
      <c r="G34" s="145"/>
      <c r="H34" s="21"/>
    </row>
    <row r="35" spans="2:8" ht="32.1" customHeight="1" x14ac:dyDescent="0.3">
      <c r="B35" s="146"/>
      <c r="C35" s="146"/>
      <c r="D35" s="146" t="s">
        <v>812</v>
      </c>
      <c r="E35" s="146"/>
      <c r="F35" s="146" t="s">
        <v>813</v>
      </c>
      <c r="G35" s="146"/>
      <c r="H35" s="21"/>
    </row>
    <row r="36" spans="2:8" ht="20.100000000000001" customHeight="1" x14ac:dyDescent="0.3">
      <c r="B36" s="125"/>
      <c r="C36" s="125"/>
      <c r="D36" s="125"/>
      <c r="E36" s="125"/>
      <c r="F36" s="125"/>
      <c r="G36" s="125"/>
      <c r="H36" s="21"/>
    </row>
    <row r="37" spans="2:8" x14ac:dyDescent="0.3">
      <c r="B37" s="21"/>
      <c r="C37" s="21"/>
      <c r="D37" s="21"/>
      <c r="E37" s="21"/>
      <c r="F37" s="21"/>
      <c r="G37" s="21"/>
      <c r="H37" s="21"/>
    </row>
    <row r="38" spans="2:8" x14ac:dyDescent="0.3">
      <c r="B38" s="21"/>
      <c r="C38" s="21"/>
      <c r="D38" s="21"/>
      <c r="E38" s="21"/>
      <c r="F38" s="21"/>
      <c r="G38" s="21"/>
      <c r="H38" s="21"/>
    </row>
    <row r="39" spans="2:8" x14ac:dyDescent="0.3">
      <c r="B39" s="105" t="s">
        <v>788</v>
      </c>
      <c r="C39" s="105"/>
      <c r="D39" s="105"/>
      <c r="E39" s="105"/>
      <c r="F39" s="105"/>
      <c r="G39" s="105"/>
      <c r="H39" s="105"/>
    </row>
    <row r="40" spans="2:8" x14ac:dyDescent="0.3">
      <c r="B40" s="98" t="s">
        <v>789</v>
      </c>
      <c r="C40" s="98"/>
      <c r="D40" s="98"/>
      <c r="E40" s="98"/>
      <c r="F40" s="98"/>
      <c r="G40" s="98"/>
      <c r="H40" s="98"/>
    </row>
    <row r="41" spans="2:8" x14ac:dyDescent="0.3">
      <c r="B41" s="98" t="s">
        <v>790</v>
      </c>
      <c r="C41" s="98"/>
      <c r="D41" s="98"/>
      <c r="E41" s="98"/>
      <c r="F41" s="98"/>
      <c r="G41" s="98"/>
      <c r="H41" s="98"/>
    </row>
  </sheetData>
  <mergeCells count="24">
    <mergeCell ref="B41:H41"/>
    <mergeCell ref="B31:H31"/>
    <mergeCell ref="B32:H32"/>
    <mergeCell ref="B34:C35"/>
    <mergeCell ref="D34:G34"/>
    <mergeCell ref="D35:E35"/>
    <mergeCell ref="F35:G35"/>
    <mergeCell ref="B36:C36"/>
    <mergeCell ref="D36:E36"/>
    <mergeCell ref="F36:G36"/>
    <mergeCell ref="B39:H39"/>
    <mergeCell ref="B40:H40"/>
    <mergeCell ref="B29:H29"/>
    <mergeCell ref="B3:H4"/>
    <mergeCell ref="B6:H6"/>
    <mergeCell ref="B8:H9"/>
    <mergeCell ref="B11:H12"/>
    <mergeCell ref="B14:H15"/>
    <mergeCell ref="B17:H18"/>
    <mergeCell ref="B20:H21"/>
    <mergeCell ref="B23:H23"/>
    <mergeCell ref="B24:H24"/>
    <mergeCell ref="B26:H26"/>
    <mergeCell ref="B27:H27"/>
  </mergeCells>
  <phoneticPr fontId="6" type="noConversion"/>
  <pageMargins left="0.39370138888888889" right="0.39370138888888889" top="0.27559097222222223" bottom="0.27559097222222223" header="0.15748055555555554" footer="0.15748055555555554"/>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52226"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6B04F-60FF-4FA2-B0A6-17F08CD0E0AD}">
  <sheetPr codeName="Sheet52"/>
  <dimension ref="A1:I45"/>
  <sheetViews>
    <sheetView workbookViewId="0"/>
  </sheetViews>
  <sheetFormatPr defaultRowHeight="16.5" x14ac:dyDescent="0.3"/>
  <cols>
    <col min="1" max="1" width="3.125" customWidth="1"/>
    <col min="2" max="2" width="10.625" customWidth="1"/>
    <col min="3" max="9" width="9.625" customWidth="1"/>
  </cols>
  <sheetData>
    <row r="1" spans="1:9" x14ac:dyDescent="0.3">
      <c r="A1" s="20" t="s">
        <v>783</v>
      </c>
    </row>
    <row r="3" spans="1:9" x14ac:dyDescent="0.3">
      <c r="B3" s="104" t="str">
        <f>IF(기초자료입력!C4&lt;&gt;"",기초자료입력!C4,"○○학교")&amp;" 교복 구매 안내문"</f>
        <v>○○학교 교복 구매 안내문</v>
      </c>
      <c r="C3" s="105"/>
      <c r="D3" s="105"/>
      <c r="E3" s="105"/>
      <c r="F3" s="105"/>
      <c r="G3" s="105"/>
      <c r="H3" s="105"/>
      <c r="I3" s="21"/>
    </row>
    <row r="4" spans="1:9" x14ac:dyDescent="0.3">
      <c r="B4" s="105"/>
      <c r="C4" s="105"/>
      <c r="D4" s="105"/>
      <c r="E4" s="105"/>
      <c r="F4" s="105"/>
      <c r="G4" s="105"/>
      <c r="H4" s="105"/>
      <c r="I4" s="21"/>
    </row>
    <row r="5" spans="1:9" x14ac:dyDescent="0.3">
      <c r="B5" s="21"/>
      <c r="C5" s="21"/>
      <c r="D5" s="21"/>
      <c r="E5" s="21"/>
      <c r="F5" s="21"/>
      <c r="G5" s="21"/>
      <c r="H5" s="21"/>
      <c r="I5" s="21"/>
    </row>
    <row r="6" spans="1:9" x14ac:dyDescent="0.3">
      <c r="B6" s="98" t="str">
        <f>"안녕하십니까? "&amp;IF(기초자료입력!C4&lt;&gt;"",기초자료입력!C4,"○○학교")&amp;" 입학을 진심으로 축하드립니다."</f>
        <v>안녕하십니까? ○○학교 입학을 진심으로 축하드립니다.</v>
      </c>
      <c r="C6" s="98"/>
      <c r="D6" s="98"/>
      <c r="E6" s="98"/>
      <c r="F6" s="98"/>
      <c r="G6" s="98"/>
      <c r="H6" s="98"/>
      <c r="I6" s="21"/>
    </row>
    <row r="7" spans="1:9" x14ac:dyDescent="0.3">
      <c r="B7" s="21"/>
      <c r="C7" s="21"/>
      <c r="D7" s="21"/>
      <c r="E7" s="21"/>
      <c r="F7" s="21"/>
      <c r="G7" s="21"/>
      <c r="H7" s="21"/>
      <c r="I7" s="21"/>
    </row>
    <row r="8" spans="1:9" ht="30" customHeight="1" x14ac:dyDescent="0.3">
      <c r="B8" s="95" t="s">
        <v>784</v>
      </c>
      <c r="C8" s="95"/>
      <c r="D8" s="95"/>
      <c r="E8" s="95"/>
      <c r="F8" s="95"/>
      <c r="G8" s="95"/>
      <c r="H8" s="95"/>
      <c r="I8" s="21"/>
    </row>
    <row r="9" spans="1:9" x14ac:dyDescent="0.3">
      <c r="B9" s="95"/>
      <c r="C9" s="95"/>
      <c r="D9" s="95"/>
      <c r="E9" s="95"/>
      <c r="F9" s="95"/>
      <c r="G9" s="95"/>
      <c r="H9" s="95"/>
      <c r="I9" s="21"/>
    </row>
    <row r="10" spans="1:9" x14ac:dyDescent="0.3">
      <c r="B10" s="21"/>
      <c r="C10" s="21"/>
      <c r="D10" s="21"/>
      <c r="E10" s="21"/>
      <c r="F10" s="21"/>
      <c r="G10" s="21"/>
      <c r="H10" s="21"/>
      <c r="I10" s="21"/>
    </row>
    <row r="11" spans="1:9" ht="60" customHeight="1" x14ac:dyDescent="0.3">
      <c r="B11" s="95" t="str">
        <f>"우리 학교에서는 "&amp;IF(기초자료입력!C5&lt;&gt;"",기초자료입력!C5,"20○○")&amp;"년 ○월 ○일부터 교복을 착용하며, ○○○(연락처: ○○○-○○○-○○○)을 "&amp;IF(기초자료입력!C5&lt;&gt;"",기초자료입력!C5,"20○○")&amp;"학년도 신입생 교복 사업자로 선정하였고 치수측정기간은 ○월 ○일 ~ ○월 ○일이며 「교복 학교주관구매」로 구입하는 교복의 단가는 000,000원(동복 000원, 하복 000원)입니다."</f>
        <v>우리 학교에서는 20○○년 ○월 ○일부터 교복을 착용하며, ○○○(연락처: ○○○-○○○-○○○)을 20○○학년도 신입생 교복 사업자로 선정하였고 치수측정기간은 ○월 ○일 ~ ○월 ○일이며 「교복 학교주관구매」로 구입하는 교복의 단가는 000,000원(동복 000원, 하복 000원)입니다.</v>
      </c>
      <c r="C11" s="95"/>
      <c r="D11" s="95"/>
      <c r="E11" s="95"/>
      <c r="F11" s="95"/>
      <c r="G11" s="95"/>
      <c r="H11" s="95"/>
      <c r="I11" s="21"/>
    </row>
    <row r="12" spans="1:9" x14ac:dyDescent="0.3">
      <c r="B12" s="95"/>
      <c r="C12" s="95"/>
      <c r="D12" s="95"/>
      <c r="E12" s="95"/>
      <c r="F12" s="95"/>
      <c r="G12" s="95"/>
      <c r="H12" s="95"/>
      <c r="I12" s="21"/>
    </row>
    <row r="13" spans="1:9" x14ac:dyDescent="0.3">
      <c r="B13" s="21"/>
      <c r="C13" s="21"/>
      <c r="D13" s="21"/>
      <c r="E13" s="21"/>
      <c r="F13" s="21"/>
      <c r="G13" s="21"/>
      <c r="H13" s="21"/>
      <c r="I13" s="21"/>
    </row>
    <row r="14" spans="1:9" ht="30" customHeight="1" x14ac:dyDescent="0.3">
      <c r="B14" s="95" t="s">
        <v>785</v>
      </c>
      <c r="C14" s="95"/>
      <c r="D14" s="95"/>
      <c r="E14" s="95"/>
      <c r="F14" s="95"/>
      <c r="G14" s="95"/>
      <c r="H14" s="95"/>
      <c r="I14" s="21"/>
    </row>
    <row r="15" spans="1:9" x14ac:dyDescent="0.3">
      <c r="B15" s="95"/>
      <c r="C15" s="95"/>
      <c r="D15" s="95"/>
      <c r="E15" s="95"/>
      <c r="F15" s="95"/>
      <c r="G15" s="95"/>
      <c r="H15" s="95"/>
      <c r="I15" s="21"/>
    </row>
    <row r="16" spans="1:9" x14ac:dyDescent="0.3">
      <c r="B16" s="21"/>
      <c r="C16" s="21"/>
      <c r="D16" s="21"/>
      <c r="E16" s="21"/>
      <c r="F16" s="21"/>
      <c r="G16" s="21"/>
      <c r="H16" s="21"/>
      <c r="I16" s="21"/>
    </row>
    <row r="17" spans="2:9" ht="30" customHeight="1" x14ac:dyDescent="0.3">
      <c r="B17" s="95" t="str">
        <f>"정확한 교복 물량 파악을 위하여 신입생들은 아래의 &lt;교복 구매 신청서&gt;와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&lt;교복 신청 수량&gt;을 작성하여 ○○년 ○월 ○일까지 학교로 반드시 제출하여 주시기 바랍니다.</v>
      </c>
      <c r="C17" s="95"/>
      <c r="D17" s="95"/>
      <c r="E17" s="95"/>
      <c r="F17" s="95"/>
      <c r="G17" s="95"/>
      <c r="H17" s="95"/>
      <c r="I17" s="21"/>
    </row>
    <row r="18" spans="2:9" x14ac:dyDescent="0.3">
      <c r="B18" s="95"/>
      <c r="C18" s="95"/>
      <c r="D18" s="95"/>
      <c r="E18" s="95"/>
      <c r="F18" s="95"/>
      <c r="G18" s="95"/>
      <c r="H18" s="95"/>
      <c r="I18" s="21"/>
    </row>
    <row r="19" spans="2:9" x14ac:dyDescent="0.3">
      <c r="B19" s="21"/>
      <c r="C19" s="21"/>
      <c r="D19" s="21"/>
      <c r="E19" s="21"/>
      <c r="F19" s="21"/>
      <c r="G19" s="21"/>
      <c r="H19" s="21"/>
      <c r="I19" s="21"/>
    </row>
    <row r="20" spans="2:9" ht="30" customHeight="1" x14ac:dyDescent="0.3">
      <c r="B20" s="95" t="s">
        <v>786</v>
      </c>
      <c r="C20" s="95"/>
      <c r="D20" s="95"/>
      <c r="E20" s="95"/>
      <c r="F20" s="95"/>
      <c r="G20" s="95"/>
      <c r="H20" s="95"/>
      <c r="I20" s="21"/>
    </row>
    <row r="21" spans="2:9" x14ac:dyDescent="0.3">
      <c r="B21" s="95"/>
      <c r="C21" s="95"/>
      <c r="D21" s="95"/>
      <c r="E21" s="95"/>
      <c r="F21" s="95"/>
      <c r="G21" s="95"/>
      <c r="H21" s="95"/>
      <c r="I21" s="21"/>
    </row>
    <row r="22" spans="2:9" x14ac:dyDescent="0.3">
      <c r="B22" s="21"/>
      <c r="C22" s="21"/>
      <c r="D22" s="21"/>
      <c r="E22" s="21"/>
      <c r="F22" s="21"/>
      <c r="G22" s="21"/>
      <c r="H22" s="21"/>
      <c r="I22" s="21"/>
    </row>
    <row r="23" spans="2:9" x14ac:dyDescent="0.3">
      <c r="B23" s="105" t="str">
        <f>IF(기초자료입력!C8&lt;&gt;"",TEXT(기초자료입력!C8,"yyyy. m. d."),"년  월  일")</f>
        <v>년  월  일</v>
      </c>
      <c r="C23" s="105"/>
      <c r="D23" s="105"/>
      <c r="E23" s="105"/>
      <c r="F23" s="105"/>
      <c r="G23" s="105"/>
      <c r="H23" s="105"/>
      <c r="I23" s="21"/>
    </row>
    <row r="24" spans="2:9" x14ac:dyDescent="0.3">
      <c r="B24" s="104" t="str">
        <f>IF(기초자료입력!C4&lt;&gt;"",기초자료입력!C4&amp;"장","○○학교장")</f>
        <v>○○학교장</v>
      </c>
      <c r="C24" s="105"/>
      <c r="D24" s="105"/>
      <c r="E24" s="105"/>
      <c r="F24" s="105"/>
      <c r="G24" s="105"/>
      <c r="H24" s="105"/>
      <c r="I24" s="21"/>
    </row>
    <row r="25" spans="2:9" x14ac:dyDescent="0.3">
      <c r="B25" s="21"/>
      <c r="C25" s="21"/>
      <c r="D25" s="21"/>
      <c r="E25" s="21"/>
      <c r="F25" s="21"/>
      <c r="G25" s="21"/>
      <c r="H25" s="21"/>
      <c r="I25" s="21"/>
    </row>
    <row r="26" spans="2:9" x14ac:dyDescent="0.3">
      <c r="B26" s="105" t="s">
        <v>787</v>
      </c>
      <c r="C26" s="105"/>
      <c r="D26" s="105"/>
      <c r="E26" s="105"/>
      <c r="F26" s="105"/>
      <c r="G26" s="105"/>
      <c r="H26" s="105"/>
      <c r="I26" s="21"/>
    </row>
    <row r="27" spans="2:9" x14ac:dyDescent="0.3">
      <c r="B27" s="21"/>
      <c r="C27" s="21"/>
      <c r="D27" s="21"/>
      <c r="E27" s="21"/>
      <c r="F27" s="21"/>
      <c r="G27" s="21"/>
      <c r="H27" s="21"/>
      <c r="I27" s="21"/>
    </row>
    <row r="28" spans="2:9" x14ac:dyDescent="0.3">
      <c r="B28" s="104" t="str">
        <f>"&lt; "&amp;IF(기초자료입력!C5&lt;&gt;"",기초자료입력!C5,"20○○")&amp;"학년도 신입생 교복 구매 신청서 &gt;"</f>
        <v>&lt; 20○○학년도 신입생 교복 구매 신청서 &gt;</v>
      </c>
      <c r="C28" s="105"/>
      <c r="D28" s="105"/>
      <c r="E28" s="105"/>
      <c r="F28" s="105"/>
      <c r="G28" s="105"/>
      <c r="H28" s="105"/>
      <c r="I28" s="21"/>
    </row>
    <row r="29" spans="2:9" x14ac:dyDescent="0.3">
      <c r="B29" s="105" t="s">
        <v>788</v>
      </c>
      <c r="C29" s="105"/>
      <c r="D29" s="105"/>
      <c r="E29" s="105"/>
      <c r="F29" s="105"/>
      <c r="G29" s="105"/>
      <c r="H29" s="105"/>
      <c r="I29" s="21"/>
    </row>
    <row r="30" spans="2:9" x14ac:dyDescent="0.3">
      <c r="B30" s="98" t="s">
        <v>789</v>
      </c>
      <c r="C30" s="98"/>
      <c r="D30" s="98"/>
      <c r="E30" s="98"/>
      <c r="F30" s="98"/>
      <c r="G30" s="98"/>
      <c r="H30" s="98"/>
      <c r="I30" s="21"/>
    </row>
    <row r="31" spans="2:9" x14ac:dyDescent="0.3">
      <c r="B31" s="98" t="s">
        <v>790</v>
      </c>
      <c r="C31" s="98"/>
      <c r="D31" s="98"/>
      <c r="E31" s="98"/>
      <c r="F31" s="98"/>
      <c r="G31" s="98"/>
      <c r="H31" s="98"/>
      <c r="I31" s="21"/>
    </row>
    <row r="32" spans="2:9" x14ac:dyDescent="0.3">
      <c r="B32" s="21"/>
      <c r="C32" s="21"/>
      <c r="D32" s="21"/>
      <c r="E32" s="21"/>
      <c r="F32" s="21"/>
      <c r="G32" s="21"/>
      <c r="H32" s="21"/>
      <c r="I32" s="21"/>
    </row>
    <row r="33" spans="2:9" x14ac:dyDescent="0.3">
      <c r="B33" s="90" t="s">
        <v>791</v>
      </c>
      <c r="C33" s="98"/>
      <c r="D33" s="98"/>
      <c r="E33" s="98"/>
      <c r="F33" s="98"/>
      <c r="G33" s="98"/>
      <c r="H33" s="98"/>
      <c r="I33" s="21"/>
    </row>
    <row r="34" spans="2:9" x14ac:dyDescent="0.3">
      <c r="B34" s="98" t="s">
        <v>792</v>
      </c>
      <c r="C34" s="98"/>
      <c r="D34" s="98"/>
      <c r="E34" s="98"/>
      <c r="F34" s="98"/>
      <c r="G34" s="98"/>
      <c r="H34" s="98"/>
      <c r="I34" s="21"/>
    </row>
    <row r="35" spans="2:9" x14ac:dyDescent="0.3">
      <c r="B35" s="61" t="s">
        <v>793</v>
      </c>
      <c r="C35" s="61" t="s">
        <v>57</v>
      </c>
      <c r="D35" s="61" t="s">
        <v>794</v>
      </c>
      <c r="E35" s="61" t="s">
        <v>795</v>
      </c>
      <c r="F35" s="61" t="s">
        <v>796</v>
      </c>
      <c r="G35" s="61" t="s">
        <v>57</v>
      </c>
      <c r="H35" s="61" t="s">
        <v>794</v>
      </c>
      <c r="I35" s="61" t="s">
        <v>795</v>
      </c>
    </row>
    <row r="36" spans="2:9" x14ac:dyDescent="0.3">
      <c r="B36" s="29" t="s">
        <v>797</v>
      </c>
      <c r="C36" s="29"/>
      <c r="D36" s="29"/>
      <c r="E36" s="29"/>
      <c r="F36" s="29" t="s">
        <v>797</v>
      </c>
      <c r="G36" s="29"/>
      <c r="H36" s="29"/>
      <c r="I36" s="29"/>
    </row>
    <row r="37" spans="2:9" x14ac:dyDescent="0.3">
      <c r="B37" s="29" t="s">
        <v>798</v>
      </c>
      <c r="C37" s="29"/>
      <c r="D37" s="29"/>
      <c r="E37" s="29"/>
      <c r="F37" s="29" t="s">
        <v>799</v>
      </c>
      <c r="G37" s="29"/>
      <c r="H37" s="29"/>
      <c r="I37" s="29"/>
    </row>
    <row r="38" spans="2:9" x14ac:dyDescent="0.3">
      <c r="B38" s="29" t="s">
        <v>800</v>
      </c>
      <c r="C38" s="29"/>
      <c r="D38" s="29"/>
      <c r="E38" s="29"/>
      <c r="F38" s="29" t="s">
        <v>800</v>
      </c>
      <c r="G38" s="29"/>
      <c r="H38" s="29"/>
      <c r="I38" s="29"/>
    </row>
    <row r="39" spans="2:9" x14ac:dyDescent="0.3">
      <c r="B39" s="29" t="s">
        <v>800</v>
      </c>
      <c r="C39" s="29"/>
      <c r="D39" s="29"/>
      <c r="E39" s="29"/>
      <c r="F39" s="29" t="s">
        <v>800</v>
      </c>
      <c r="G39" s="29"/>
      <c r="H39" s="29"/>
      <c r="I39" s="29"/>
    </row>
    <row r="40" spans="2:9" x14ac:dyDescent="0.3">
      <c r="B40" s="29" t="s">
        <v>800</v>
      </c>
      <c r="C40" s="29"/>
      <c r="D40" s="29"/>
      <c r="E40" s="29"/>
      <c r="F40" s="29" t="s">
        <v>800</v>
      </c>
      <c r="G40" s="29"/>
      <c r="H40" s="29"/>
      <c r="I40" s="29"/>
    </row>
    <row r="41" spans="2:9" x14ac:dyDescent="0.3">
      <c r="B41" s="29" t="s">
        <v>800</v>
      </c>
      <c r="C41" s="29"/>
      <c r="D41" s="29"/>
      <c r="E41" s="29"/>
      <c r="F41" s="29" t="s">
        <v>800</v>
      </c>
      <c r="G41" s="29"/>
      <c r="H41" s="29"/>
      <c r="I41" s="29"/>
    </row>
    <row r="42" spans="2:9" x14ac:dyDescent="0.3">
      <c r="B42" s="29" t="s">
        <v>299</v>
      </c>
      <c r="C42" s="29"/>
      <c r="D42" s="29"/>
      <c r="E42" s="29"/>
      <c r="F42" s="29" t="s">
        <v>299</v>
      </c>
      <c r="G42" s="29"/>
      <c r="H42" s="29"/>
      <c r="I42" s="29"/>
    </row>
    <row r="43" spans="2:9" x14ac:dyDescent="0.3">
      <c r="B43" s="21"/>
      <c r="C43" s="21"/>
      <c r="D43" s="21"/>
      <c r="E43" s="21"/>
      <c r="F43" s="21"/>
      <c r="G43" s="21"/>
      <c r="H43" s="21"/>
      <c r="I43" s="21"/>
    </row>
    <row r="44" spans="2:9" x14ac:dyDescent="0.3">
      <c r="B44" s="89" t="s">
        <v>801</v>
      </c>
      <c r="C44" s="98"/>
      <c r="D44" s="98"/>
      <c r="E44" s="98"/>
      <c r="F44" s="98"/>
      <c r="G44" s="98"/>
      <c r="H44" s="98"/>
      <c r="I44" s="21"/>
    </row>
    <row r="45" spans="2:9" x14ac:dyDescent="0.3">
      <c r="B45" s="104" t="str">
        <f>IF(기초자료입력!C4&lt;&gt;"",기초자료입력!C4&amp;"장 귀하","○○학교장 귀하")</f>
        <v>○○학교장 귀하</v>
      </c>
      <c r="C45" s="105"/>
      <c r="D45" s="105"/>
      <c r="E45" s="105"/>
      <c r="F45" s="105"/>
      <c r="G45" s="105"/>
      <c r="H45" s="105"/>
      <c r="I45" s="21"/>
    </row>
  </sheetData>
  <mergeCells count="18">
    <mergeCell ref="B45:H45"/>
    <mergeCell ref="B20:H21"/>
    <mergeCell ref="B23:H23"/>
    <mergeCell ref="B24:H24"/>
    <mergeCell ref="B26:H26"/>
    <mergeCell ref="B28:H28"/>
    <mergeCell ref="B29:H29"/>
    <mergeCell ref="B30:H30"/>
    <mergeCell ref="B31:H31"/>
    <mergeCell ref="B33:H33"/>
    <mergeCell ref="B34:H34"/>
    <mergeCell ref="B44:H44"/>
    <mergeCell ref="B17:H18"/>
    <mergeCell ref="B3:H4"/>
    <mergeCell ref="B6:H6"/>
    <mergeCell ref="B8:H9"/>
    <mergeCell ref="B11:H12"/>
    <mergeCell ref="B14:H15"/>
  </mergeCells>
  <phoneticPr fontId="6" type="noConversion"/>
  <pageMargins left="0.39370138888888889" right="0.39370138888888889" top="0.23622083333333332" bottom="0.23622083333333332"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53250"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2E0DD-DF97-4475-B7EC-E8F99D9B7810}">
  <sheetPr codeName="Sheet53"/>
  <dimension ref="A1:H25"/>
  <sheetViews>
    <sheetView workbookViewId="0"/>
  </sheetViews>
  <sheetFormatPr defaultRowHeight="16.5" x14ac:dyDescent="0.3"/>
  <cols>
    <col min="1" max="1" width="3.125" customWidth="1"/>
    <col min="2" max="2" width="10.625" customWidth="1"/>
    <col min="3" max="8" width="9.625" customWidth="1"/>
  </cols>
  <sheetData>
    <row r="1" spans="1:8" x14ac:dyDescent="0.3">
      <c r="A1" s="20" t="s">
        <v>814</v>
      </c>
    </row>
    <row r="2" spans="1:8" x14ac:dyDescent="0.3">
      <c r="G2" s="134" t="str">
        <f>IF(기초자료입력!C4&lt;&gt;"",기초자료입력!C4,"○ ○ 학 교")</f>
        <v>○ ○ 학 교</v>
      </c>
      <c r="H2" s="84"/>
    </row>
    <row r="3" spans="1:8" x14ac:dyDescent="0.3">
      <c r="B3" s="83" t="s">
        <v>815</v>
      </c>
      <c r="C3" s="84"/>
      <c r="D3" s="84"/>
      <c r="E3" s="84"/>
      <c r="F3" s="84"/>
      <c r="G3" s="84"/>
      <c r="H3" s="84"/>
    </row>
    <row r="4" spans="1:8" x14ac:dyDescent="0.3">
      <c r="B4" s="84"/>
      <c r="C4" s="84"/>
      <c r="D4" s="84"/>
      <c r="E4" s="84"/>
      <c r="F4" s="84"/>
      <c r="G4" s="84"/>
      <c r="H4" s="84"/>
    </row>
    <row r="5" spans="1:8" x14ac:dyDescent="0.3">
      <c r="B5" s="54" t="s">
        <v>26</v>
      </c>
      <c r="C5" s="37" t="str">
        <f>IF(기초자료입력!C9&lt;&gt;"",기초자료입력!C9,"")</f>
        <v/>
      </c>
      <c r="D5" s="37"/>
      <c r="E5" s="54" t="s">
        <v>293</v>
      </c>
      <c r="F5" s="37" t="str">
        <f>IF(기초자료입력!C8&lt;&gt;"",TEXT(기초자료입력!C8,"yyyy-mm-dd"),"")</f>
        <v/>
      </c>
      <c r="G5" s="37"/>
      <c r="H5" s="37"/>
    </row>
    <row r="6" spans="1:8" x14ac:dyDescent="0.3">
      <c r="B6" s="37"/>
      <c r="C6" s="37"/>
      <c r="D6" s="37"/>
      <c r="E6" s="37"/>
      <c r="F6" s="37"/>
      <c r="G6" s="37"/>
      <c r="H6" s="37"/>
    </row>
    <row r="7" spans="1:8" x14ac:dyDescent="0.3">
      <c r="B7" s="54" t="s">
        <v>294</v>
      </c>
      <c r="C7" s="82" t="s">
        <v>767</v>
      </c>
      <c r="D7" s="82"/>
      <c r="E7" s="82"/>
      <c r="F7" s="82"/>
      <c r="G7" s="82"/>
      <c r="H7" s="82"/>
    </row>
    <row r="8" spans="1:8" x14ac:dyDescent="0.3">
      <c r="B8" s="54" t="s">
        <v>301</v>
      </c>
      <c r="C8" s="82"/>
      <c r="D8" s="82"/>
      <c r="E8" s="82"/>
      <c r="F8" s="82"/>
      <c r="G8" s="82"/>
      <c r="H8" s="82"/>
    </row>
    <row r="9" spans="1:8" x14ac:dyDescent="0.3">
      <c r="B9" s="54" t="s">
        <v>295</v>
      </c>
      <c r="C9" s="85" t="str">
        <f>IF(기초자료입력!C22&lt;&gt;"",기초자료입력!C22,"교복 학교주관구매 만족도 설문조사 실시")</f>
        <v>교복 학교주관구매 만족도 설문조사 실시</v>
      </c>
      <c r="D9" s="82"/>
      <c r="E9" s="82"/>
      <c r="F9" s="82"/>
      <c r="G9" s="82"/>
      <c r="H9" s="82"/>
    </row>
    <row r="10" spans="1:8" x14ac:dyDescent="0.3">
      <c r="B10" s="38"/>
      <c r="C10" s="38"/>
      <c r="D10" s="38"/>
      <c r="E10" s="38"/>
      <c r="F10" s="38"/>
      <c r="G10" s="38"/>
      <c r="H10" s="38"/>
    </row>
    <row r="11" spans="1:8" x14ac:dyDescent="0.3">
      <c r="B11" s="90" t="s">
        <v>768</v>
      </c>
      <c r="C11" s="89"/>
      <c r="D11" s="89"/>
      <c r="E11" s="89"/>
      <c r="F11" s="89"/>
      <c r="G11" s="89"/>
      <c r="H11" s="89"/>
    </row>
    <row r="12" spans="1:8" x14ac:dyDescent="0.3">
      <c r="B12" s="38"/>
      <c r="C12" s="38"/>
      <c r="D12" s="38"/>
      <c r="E12" s="38"/>
      <c r="F12" s="38"/>
      <c r="G12" s="38"/>
      <c r="H12" s="38"/>
    </row>
    <row r="13" spans="1:8" ht="30" customHeight="1" x14ac:dyDescent="0.3">
      <c r="B13" s="100" t="s">
        <v>816</v>
      </c>
      <c r="C13" s="100"/>
      <c r="D13" s="100"/>
      <c r="E13" s="100"/>
      <c r="F13" s="100"/>
      <c r="G13" s="100"/>
      <c r="H13" s="100"/>
    </row>
    <row r="14" spans="1:8" x14ac:dyDescent="0.3">
      <c r="B14" s="38"/>
      <c r="C14" s="38"/>
      <c r="D14" s="38"/>
      <c r="E14" s="38"/>
      <c r="F14" s="38"/>
      <c r="G14" s="38"/>
      <c r="H14" s="38"/>
    </row>
    <row r="15" spans="1:8" x14ac:dyDescent="0.3">
      <c r="B15" s="53" t="s">
        <v>770</v>
      </c>
      <c r="C15" s="89" t="str">
        <f>IF(기초자료입력!C5&lt;&gt;"",기초자료입력!C5,"20○○")&amp;"학년도 교복 학교주관구매 참여 학생 및 학부모"</f>
        <v>20○○학년도 교복 학교주관구매 참여 학생 및 학부모</v>
      </c>
      <c r="D15" s="89"/>
      <c r="E15" s="89"/>
      <c r="F15" s="89"/>
      <c r="G15" s="89"/>
      <c r="H15" s="89"/>
    </row>
    <row r="16" spans="1:8" ht="27.95" customHeight="1" x14ac:dyDescent="0.3">
      <c r="B16" s="53" t="s">
        <v>771</v>
      </c>
      <c r="C16" s="100" t="str">
        <f>IF(기초자료입력!C12&lt;&gt;"",기초자료입력!C12&amp;" 관련 가격, 품질, 구매절차 및 사후관리 등 전반에 걸친 만족도 조사","가격, 품질, 구매절차 및 사후관리 등 전반에 걸친 만족도 조사")</f>
        <v>가격, 품질, 구매절차 및 사후관리 등 전반에 걸친 만족도 조사</v>
      </c>
      <c r="D16" s="100"/>
      <c r="E16" s="100"/>
      <c r="F16" s="100"/>
      <c r="G16" s="100"/>
      <c r="H16" s="100"/>
    </row>
    <row r="17" spans="2:8" x14ac:dyDescent="0.3">
      <c r="B17" s="38"/>
      <c r="C17" s="38"/>
      <c r="D17" s="38"/>
      <c r="E17" s="38"/>
      <c r="F17" s="38"/>
      <c r="G17" s="38"/>
      <c r="H17" s="38"/>
    </row>
    <row r="18" spans="2:8" x14ac:dyDescent="0.3">
      <c r="B18" s="90" t="s">
        <v>817</v>
      </c>
      <c r="C18" s="89"/>
      <c r="D18" s="89"/>
      <c r="E18" s="89"/>
      <c r="F18" s="89"/>
      <c r="G18" s="89"/>
      <c r="H18" s="89"/>
    </row>
    <row r="19" spans="2:8" x14ac:dyDescent="0.3">
      <c r="B19" s="38"/>
      <c r="C19" s="38"/>
      <c r="D19" s="38"/>
      <c r="E19" s="38"/>
      <c r="F19" s="38"/>
      <c r="G19" s="38"/>
      <c r="H19" s="38"/>
    </row>
    <row r="20" spans="2:8" x14ac:dyDescent="0.3">
      <c r="B20" s="38"/>
      <c r="C20" s="38"/>
      <c r="D20" s="38"/>
      <c r="E20" s="38"/>
      <c r="F20" s="38"/>
      <c r="G20" s="38"/>
      <c r="H20" s="38"/>
    </row>
    <row r="21" spans="2:8" x14ac:dyDescent="0.3">
      <c r="B21" s="38"/>
      <c r="C21" s="38"/>
      <c r="D21" s="38"/>
      <c r="E21" s="38"/>
      <c r="F21" s="38"/>
      <c r="G21" s="38"/>
      <c r="H21" s="38"/>
    </row>
    <row r="22" spans="2:8" x14ac:dyDescent="0.3">
      <c r="B22" s="38"/>
      <c r="C22" s="38"/>
      <c r="D22" s="38"/>
      <c r="E22" s="38"/>
      <c r="F22" s="54" t="s">
        <v>297</v>
      </c>
      <c r="G22" s="54" t="s">
        <v>308</v>
      </c>
      <c r="H22" s="54" t="s">
        <v>298</v>
      </c>
    </row>
    <row r="23" spans="2:8" x14ac:dyDescent="0.3">
      <c r="B23" s="53" t="s">
        <v>309</v>
      </c>
      <c r="C23" s="89" t="str">
        <f>IF(기초자료입력!C9&lt;&gt;"",기초자료입력!C9,"")</f>
        <v/>
      </c>
      <c r="D23" s="89"/>
      <c r="E23" s="89"/>
      <c r="F23" s="54" t="s">
        <v>310</v>
      </c>
      <c r="G23" s="82"/>
      <c r="H23" s="82"/>
    </row>
    <row r="24" spans="2:8" x14ac:dyDescent="0.3">
      <c r="B24" s="53" t="s">
        <v>311</v>
      </c>
      <c r="C24" s="38"/>
      <c r="D24" s="53" t="s">
        <v>312</v>
      </c>
      <c r="E24" s="89"/>
      <c r="F24" s="82"/>
      <c r="G24" s="82"/>
      <c r="H24" s="82"/>
    </row>
    <row r="25" spans="2:8" x14ac:dyDescent="0.3">
      <c r="B25" s="53" t="s">
        <v>313</v>
      </c>
      <c r="C25" s="38"/>
      <c r="D25" s="53" t="s">
        <v>314</v>
      </c>
      <c r="E25" s="38"/>
      <c r="F25" s="54" t="s">
        <v>315</v>
      </c>
      <c r="G25" s="82"/>
      <c r="H25" s="82"/>
    </row>
  </sheetData>
  <mergeCells count="14">
    <mergeCell ref="E24:H24"/>
    <mergeCell ref="G25:H25"/>
    <mergeCell ref="B13:H13"/>
    <mergeCell ref="C15:H15"/>
    <mergeCell ref="C16:H16"/>
    <mergeCell ref="B18:H18"/>
    <mergeCell ref="C23:E23"/>
    <mergeCell ref="G23:H23"/>
    <mergeCell ref="B11:H11"/>
    <mergeCell ref="G2:H2"/>
    <mergeCell ref="B3:H4"/>
    <mergeCell ref="C7:H7"/>
    <mergeCell ref="C8:H8"/>
    <mergeCell ref="C9:H9"/>
  </mergeCells>
  <phoneticPr fontId="6" type="noConversion"/>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tn목록_서식선택">
              <controlPr defaultSize="0" print="0" autoFill="0" autoPict="0" macro="이동_서식선택출력">
                <anchor moveWithCells="1" sizeWithCells="1">
                  <from>
                    <xdr:col>13</xdr:col>
                    <xdr:colOff>0</xdr:colOff>
                    <xdr:row>0</xdr:row>
                    <xdr:rowOff>0</xdr:rowOff>
                  </from>
                  <to>
                    <xdr:col>14</xdr:col>
                    <xdr:colOff>581025</xdr:colOff>
                    <xdr:row>1</xdr:row>
                    <xdr:rowOff>19050</xdr:rowOff>
                  </to>
                </anchor>
              </controlPr>
            </control>
          </mc:Choice>
        </mc:AlternateContent>
        <mc:AlternateContent xmlns:mc="http://schemas.openxmlformats.org/markup-compatibility/2006">
          <mc:Choice Requires="x14">
            <control shapeId="54274" r:id="rId5" name="btn목록_계약방법">
              <controlPr defaultSize="0" print="0" autoFill="0" autoPict="0" macro="이동_계약방법안내">
                <anchor moveWithCells="1" sizeWithCells="1">
                  <from>
                    <xdr:col>14</xdr:col>
                    <xdr:colOff>647700</xdr:colOff>
                    <xdr:row>0</xdr:row>
                    <xdr:rowOff>0</xdr:rowOff>
                  </from>
                  <to>
                    <xdr:col>16</xdr:col>
                    <xdr:colOff>542925</xdr:colOff>
                    <xdr:row>1</xdr:row>
                    <xdr:rowOff>19050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470B4-89E7-4935-8EAA-6AFA45455D7B}">
  <sheetPr codeName="Sheet54"/>
  <dimension ref="A1:I35"/>
  <sheetViews>
    <sheetView workbookViewId="0"/>
  </sheetViews>
  <sheetFormatPr defaultRowHeight="16.5" x14ac:dyDescent="0.3"/>
  <cols>
    <col min="1" max="1" width="3.125" customWidth="1"/>
    <col min="2" max="2" width="14.625" customWidth="1"/>
    <col min="3" max="3" width="6.625" customWidth="1"/>
    <col min="4" max="4" width="24.625" customWidth="1"/>
    <col min="5" max="9" width="7.625" customWidth="1"/>
  </cols>
  <sheetData>
    <row r="1" spans="1:9" x14ac:dyDescent="0.3">
      <c r="A1" s="20" t="s">
        <v>818</v>
      </c>
    </row>
    <row r="3" spans="1:9" x14ac:dyDescent="0.3">
      <c r="B3" s="83" t="str">
        <f>IF(기초자료입력!C22&lt;&gt;"",기초자료입력!C22,"교복 학교주관구매 만족도 조사(동복/하복)")</f>
        <v>교복 학교주관구매 만족도 조사(동복/하복)</v>
      </c>
      <c r="C3" s="109"/>
      <c r="D3" s="109"/>
      <c r="E3" s="109"/>
      <c r="F3" s="109"/>
      <c r="G3" s="109"/>
      <c r="H3" s="109"/>
      <c r="I3" s="109"/>
    </row>
    <row r="4" spans="1:9" x14ac:dyDescent="0.3">
      <c r="B4" s="109"/>
      <c r="C4" s="109"/>
      <c r="D4" s="109"/>
      <c r="E4" s="109"/>
      <c r="F4" s="109"/>
      <c r="G4" s="109"/>
      <c r="H4" s="109"/>
      <c r="I4" s="109"/>
    </row>
    <row r="5" spans="1:9" x14ac:dyDescent="0.3">
      <c r="B5" s="38"/>
      <c r="C5" s="38"/>
      <c r="D5" s="38"/>
      <c r="E5" s="38"/>
      <c r="F5" s="38"/>
      <c r="G5" s="38"/>
      <c r="H5" s="38"/>
      <c r="I5" s="38"/>
    </row>
    <row r="6" spans="1:9" ht="30" customHeight="1" x14ac:dyDescent="0.3">
      <c r="B6" s="95" t="s">
        <v>819</v>
      </c>
      <c r="C6" s="95"/>
      <c r="D6" s="95"/>
      <c r="E6" s="95"/>
      <c r="F6" s="95"/>
      <c r="G6" s="95"/>
      <c r="H6" s="95"/>
      <c r="I6" s="95"/>
    </row>
    <row r="7" spans="1:9" ht="30" customHeight="1" x14ac:dyDescent="0.3">
      <c r="B7" s="95" t="s">
        <v>820</v>
      </c>
      <c r="C7" s="95"/>
      <c r="D7" s="95"/>
      <c r="E7" s="95"/>
      <c r="F7" s="95"/>
      <c r="G7" s="95"/>
      <c r="H7" s="95"/>
      <c r="I7" s="95"/>
    </row>
    <row r="8" spans="1:9" x14ac:dyDescent="0.3">
      <c r="B8" s="21"/>
      <c r="C8" s="21"/>
      <c r="D8" s="21"/>
      <c r="E8" s="21"/>
      <c r="F8" s="21"/>
      <c r="G8" s="21"/>
      <c r="H8" s="21"/>
      <c r="I8" s="21"/>
    </row>
    <row r="9" spans="1:9" x14ac:dyDescent="0.3">
      <c r="B9" s="104" t="str">
        <f>IF(기초자료입력!C4&lt;&gt;"",기초자료입력!C4,"○○○학교")&amp;" 교복선정위원회"</f>
        <v>○○○학교 교복선정위원회</v>
      </c>
      <c r="C9" s="105"/>
      <c r="D9" s="105"/>
      <c r="E9" s="105"/>
      <c r="F9" s="105"/>
      <c r="G9" s="105"/>
      <c r="H9" s="105"/>
      <c r="I9" s="105"/>
    </row>
    <row r="10" spans="1:9" x14ac:dyDescent="0.3">
      <c r="B10" s="105" t="str">
        <f>IF(기초자료입력!C5&lt;&gt;"",기초자료입력!C5,"20○○")&amp;"학년도 / 해당란에 「○」표로 기재"</f>
        <v>20○○학년도 / 해당란에 「○」표로 기재</v>
      </c>
      <c r="C10" s="105"/>
      <c r="D10" s="105"/>
      <c r="E10" s="105"/>
      <c r="F10" s="105"/>
      <c r="G10" s="105"/>
      <c r="H10" s="105"/>
      <c r="I10" s="105"/>
    </row>
    <row r="11" spans="1:9" x14ac:dyDescent="0.3">
      <c r="B11" s="38"/>
      <c r="C11" s="38"/>
      <c r="D11" s="38"/>
      <c r="E11" s="38"/>
      <c r="F11" s="38"/>
      <c r="G11" s="38"/>
      <c r="H11" s="38"/>
      <c r="I11" s="38"/>
    </row>
    <row r="12" spans="1:9" x14ac:dyDescent="0.3">
      <c r="B12" s="61" t="s">
        <v>821</v>
      </c>
      <c r="C12" s="61" t="s">
        <v>331</v>
      </c>
      <c r="D12" s="61" t="s">
        <v>822</v>
      </c>
      <c r="E12" s="61" t="s">
        <v>823</v>
      </c>
      <c r="F12" s="61" t="s">
        <v>824</v>
      </c>
      <c r="G12" s="61" t="s">
        <v>825</v>
      </c>
      <c r="H12" s="61" t="s">
        <v>826</v>
      </c>
      <c r="I12" s="61" t="s">
        <v>827</v>
      </c>
    </row>
    <row r="13" spans="1:9" x14ac:dyDescent="0.3">
      <c r="B13" s="61"/>
      <c r="C13" s="61"/>
      <c r="D13" s="61"/>
      <c r="E13" s="61">
        <v>10</v>
      </c>
      <c r="F13" s="61">
        <v>8</v>
      </c>
      <c r="G13" s="61">
        <v>6</v>
      </c>
      <c r="H13" s="61">
        <v>4</v>
      </c>
      <c r="I13" s="61">
        <v>2</v>
      </c>
    </row>
    <row r="14" spans="1:9" ht="27.95" customHeight="1" x14ac:dyDescent="0.3">
      <c r="B14" s="33" t="s">
        <v>828</v>
      </c>
      <c r="C14" s="37">
        <v>1</v>
      </c>
      <c r="D14" s="33" t="s">
        <v>829</v>
      </c>
      <c r="E14" s="37"/>
      <c r="F14" s="37"/>
      <c r="G14" s="37"/>
      <c r="H14" s="37"/>
      <c r="I14" s="37"/>
    </row>
    <row r="15" spans="1:9" ht="27.95" customHeight="1" x14ac:dyDescent="0.3">
      <c r="B15" s="33" t="s">
        <v>830</v>
      </c>
      <c r="C15" s="37">
        <v>2</v>
      </c>
      <c r="D15" s="33" t="s">
        <v>831</v>
      </c>
      <c r="E15" s="37"/>
      <c r="F15" s="37"/>
      <c r="G15" s="37"/>
      <c r="H15" s="37"/>
      <c r="I15" s="37"/>
    </row>
    <row r="16" spans="1:9" ht="27.95" customHeight="1" x14ac:dyDescent="0.3">
      <c r="B16" s="33"/>
      <c r="C16" s="37">
        <v>3</v>
      </c>
      <c r="D16" s="33" t="s">
        <v>832</v>
      </c>
      <c r="E16" s="37"/>
      <c r="F16" s="37"/>
      <c r="G16" s="37"/>
      <c r="H16" s="37"/>
      <c r="I16" s="37"/>
    </row>
    <row r="17" spans="2:9" ht="27.95" customHeight="1" x14ac:dyDescent="0.3">
      <c r="B17" s="33"/>
      <c r="C17" s="37">
        <v>4</v>
      </c>
      <c r="D17" s="33" t="s">
        <v>833</v>
      </c>
      <c r="E17" s="37"/>
      <c r="F17" s="37"/>
      <c r="G17" s="37"/>
      <c r="H17" s="37"/>
      <c r="I17" s="37"/>
    </row>
    <row r="18" spans="2:9" ht="27.95" customHeight="1" x14ac:dyDescent="0.3">
      <c r="B18" s="33"/>
      <c r="C18" s="37">
        <v>5</v>
      </c>
      <c r="D18" s="33" t="s">
        <v>834</v>
      </c>
      <c r="E18" s="37"/>
      <c r="F18" s="37"/>
      <c r="G18" s="37"/>
      <c r="H18" s="37"/>
      <c r="I18" s="37"/>
    </row>
    <row r="19" spans="2:9" ht="27.95" customHeight="1" x14ac:dyDescent="0.3">
      <c r="B19" s="33" t="s">
        <v>835</v>
      </c>
      <c r="C19" s="37">
        <v>6</v>
      </c>
      <c r="D19" s="33" t="s">
        <v>836</v>
      </c>
      <c r="E19" s="37"/>
      <c r="F19" s="37"/>
      <c r="G19" s="37"/>
      <c r="H19" s="37"/>
      <c r="I19" s="37"/>
    </row>
    <row r="20" spans="2:9" ht="27.95" customHeight="1" x14ac:dyDescent="0.3">
      <c r="B20" s="33" t="s">
        <v>837</v>
      </c>
      <c r="C20" s="37">
        <v>7</v>
      </c>
      <c r="D20" s="33" t="s">
        <v>838</v>
      </c>
      <c r="E20" s="37"/>
      <c r="F20" s="37"/>
      <c r="G20" s="37"/>
      <c r="H20" s="37"/>
      <c r="I20" s="37"/>
    </row>
    <row r="21" spans="2:9" ht="27.95" customHeight="1" x14ac:dyDescent="0.3">
      <c r="B21" s="33"/>
      <c r="C21" s="37">
        <v>8</v>
      </c>
      <c r="D21" s="33" t="s">
        <v>839</v>
      </c>
      <c r="E21" s="37"/>
      <c r="F21" s="37"/>
      <c r="G21" s="37"/>
      <c r="H21" s="37"/>
      <c r="I21" s="37"/>
    </row>
    <row r="22" spans="2:9" ht="27.95" customHeight="1" x14ac:dyDescent="0.3">
      <c r="B22" s="33"/>
      <c r="C22" s="37">
        <v>9</v>
      </c>
      <c r="D22" s="33" t="s">
        <v>840</v>
      </c>
      <c r="E22" s="37"/>
      <c r="F22" s="37"/>
      <c r="G22" s="37"/>
      <c r="H22" s="37"/>
      <c r="I22" s="37"/>
    </row>
    <row r="23" spans="2:9" ht="27.95" customHeight="1" x14ac:dyDescent="0.3">
      <c r="B23" s="33"/>
      <c r="C23" s="37">
        <v>10</v>
      </c>
      <c r="D23" s="33" t="s">
        <v>841</v>
      </c>
      <c r="E23" s="37"/>
      <c r="F23" s="37"/>
      <c r="G23" s="37"/>
      <c r="H23" s="37"/>
      <c r="I23" s="37"/>
    </row>
    <row r="24" spans="2:9" x14ac:dyDescent="0.3">
      <c r="B24" s="88" t="s">
        <v>842</v>
      </c>
      <c r="C24" s="88"/>
      <c r="D24" s="88"/>
      <c r="E24" s="29"/>
      <c r="F24" s="29"/>
      <c r="G24" s="29"/>
      <c r="H24" s="29"/>
      <c r="I24" s="29"/>
    </row>
    <row r="25" spans="2:9" x14ac:dyDescent="0.3">
      <c r="B25" s="38"/>
      <c r="C25" s="38"/>
      <c r="D25" s="38"/>
      <c r="E25" s="38"/>
      <c r="F25" s="38"/>
      <c r="G25" s="38"/>
      <c r="H25" s="38"/>
      <c r="I25" s="38"/>
    </row>
    <row r="26" spans="2:9" x14ac:dyDescent="0.3">
      <c r="B26" s="88" t="s">
        <v>843</v>
      </c>
      <c r="C26" s="88"/>
      <c r="D26" s="88"/>
      <c r="E26" s="88"/>
      <c r="F26" s="88"/>
      <c r="G26" s="88"/>
      <c r="H26" s="88" t="s">
        <v>844</v>
      </c>
      <c r="I26" s="88"/>
    </row>
    <row r="27" spans="2:9" x14ac:dyDescent="0.3">
      <c r="B27" s="88" t="s">
        <v>845</v>
      </c>
      <c r="C27" s="88"/>
      <c r="D27" s="88"/>
      <c r="E27" s="88"/>
      <c r="F27" s="88"/>
      <c r="G27" s="88"/>
      <c r="H27" s="88" t="s">
        <v>846</v>
      </c>
      <c r="I27" s="88"/>
    </row>
    <row r="28" spans="2:9" x14ac:dyDescent="0.3">
      <c r="B28" s="38"/>
      <c r="C28" s="38"/>
      <c r="D28" s="38"/>
      <c r="E28" s="38"/>
      <c r="F28" s="38"/>
      <c r="G28" s="38"/>
      <c r="H28" s="38"/>
      <c r="I28" s="38"/>
    </row>
    <row r="29" spans="2:9" x14ac:dyDescent="0.3">
      <c r="B29" s="89" t="s">
        <v>847</v>
      </c>
      <c r="C29" s="89"/>
      <c r="D29" s="89"/>
      <c r="E29" s="89"/>
      <c r="F29" s="89"/>
      <c r="G29" s="89"/>
      <c r="H29" s="89"/>
      <c r="I29" s="89"/>
    </row>
    <row r="30" spans="2:9" x14ac:dyDescent="0.3">
      <c r="B30" s="38"/>
      <c r="C30" s="38"/>
      <c r="D30" s="38"/>
      <c r="E30" s="38"/>
      <c r="F30" s="38"/>
      <c r="G30" s="38"/>
      <c r="H30" s="38"/>
      <c r="I30" s="38"/>
    </row>
    <row r="31" spans="2:9" ht="21.95" customHeight="1" x14ac:dyDescent="0.3">
      <c r="B31" s="85" t="s">
        <v>848</v>
      </c>
      <c r="C31" s="85"/>
      <c r="D31" s="85"/>
      <c r="E31" s="85"/>
      <c r="F31" s="85"/>
      <c r="G31" s="85"/>
      <c r="H31" s="85"/>
      <c r="I31" s="85"/>
    </row>
    <row r="32" spans="2:9" ht="69.95" customHeight="1" x14ac:dyDescent="0.3">
      <c r="B32" s="147"/>
      <c r="C32" s="147"/>
      <c r="D32" s="147"/>
      <c r="E32" s="147"/>
      <c r="F32" s="147"/>
      <c r="G32" s="147"/>
      <c r="H32" s="147"/>
      <c r="I32" s="147"/>
    </row>
    <row r="33" spans="2:9" x14ac:dyDescent="0.3">
      <c r="B33" s="147"/>
      <c r="C33" s="147"/>
      <c r="D33" s="147"/>
      <c r="E33" s="147"/>
      <c r="F33" s="147"/>
      <c r="G33" s="147"/>
      <c r="H33" s="147"/>
      <c r="I33" s="147"/>
    </row>
    <row r="34" spans="2:9" x14ac:dyDescent="0.3">
      <c r="B34" s="147"/>
      <c r="C34" s="147"/>
      <c r="D34" s="147"/>
      <c r="E34" s="147"/>
      <c r="F34" s="147"/>
      <c r="G34" s="147"/>
      <c r="H34" s="147"/>
      <c r="I34" s="147"/>
    </row>
    <row r="35" spans="2:9" x14ac:dyDescent="0.3">
      <c r="B35" s="147"/>
      <c r="C35" s="147"/>
      <c r="D35" s="147"/>
      <c r="E35" s="147"/>
      <c r="F35" s="147"/>
      <c r="G35" s="147"/>
      <c r="H35" s="147"/>
      <c r="I35" s="147"/>
    </row>
  </sheetData>
  <sheetProtection sheet="1" objects="1" scenarios="1"/>
  <mergeCells count="13">
    <mergeCell ref="B32:I35"/>
    <mergeCell ref="B26:G26"/>
    <mergeCell ref="H26:I26"/>
    <mergeCell ref="B27:G27"/>
    <mergeCell ref="H27:I27"/>
    <mergeCell ref="B29:I29"/>
    <mergeCell ref="B31:I31"/>
    <mergeCell ref="B24:D24"/>
    <mergeCell ref="B3:I4"/>
    <mergeCell ref="B6:I6"/>
    <mergeCell ref="B7:I7"/>
    <mergeCell ref="B9:I9"/>
    <mergeCell ref="B10:I10"/>
  </mergeCells>
  <phoneticPr fontId="6" type="noConversion"/>
  <pageMargins left="0.23622083333333332" right="0.23622083333333332" top="0.27559097222222223" bottom="0.27559097222222223" header="0.11811041666666666" footer="0.11811041666666666"/>
  <pageSetup paperSize="9" fitToWidth="0" fitToHeight="0"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1E2ED-C03D-409E-BFED-C07EBC19B1D8}">
  <sheetPr codeName="Sheet55"/>
  <dimension ref="A1:F1"/>
  <sheetViews>
    <sheetView workbookViewId="0"/>
  </sheetViews>
  <sheetFormatPr defaultRowHeight="16.5" x14ac:dyDescent="0.3"/>
  <sheetData>
    <row r="1" spans="1:6" x14ac:dyDescent="0.3">
      <c r="A1" s="3" t="s">
        <v>106</v>
      </c>
      <c r="B1" s="3" t="s">
        <v>107</v>
      </c>
      <c r="C1" s="3" t="s">
        <v>121</v>
      </c>
      <c r="D1" s="3" t="s">
        <v>122</v>
      </c>
      <c r="E1" s="3" t="s">
        <v>123</v>
      </c>
      <c r="F1" s="3" t="s">
        <v>124</v>
      </c>
    </row>
  </sheetData>
  <sheetProtection sheet="1" objects="1" scenarios="1"/>
  <autoFilter ref="A1:F1" xr:uid="{0541E2ED-C03D-409E-BFED-C07EBC19B1D8}"/>
  <phoneticPr fontId="6" type="noConversion"/>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25B14-631F-41F4-A703-B08119E471E1}">
  <sheetPr codeName="Sheet56"/>
  <dimension ref="A1:G1"/>
  <sheetViews>
    <sheetView workbookViewId="0"/>
  </sheetViews>
  <sheetFormatPr defaultRowHeight="16.5" x14ac:dyDescent="0.3"/>
  <sheetData>
    <row r="1" spans="1:7" x14ac:dyDescent="0.3">
      <c r="A1" s="3" t="s">
        <v>106</v>
      </c>
      <c r="B1" s="3" t="s">
        <v>107</v>
      </c>
      <c r="C1" s="3" t="s">
        <v>116</v>
      </c>
      <c r="D1" s="3" t="s">
        <v>117</v>
      </c>
      <c r="E1" s="3" t="s">
        <v>118</v>
      </c>
      <c r="F1" s="3" t="s">
        <v>119</v>
      </c>
      <c r="G1" s="3" t="s">
        <v>120</v>
      </c>
    </row>
  </sheetData>
  <sheetProtection sheet="1" objects="1" scenarios="1"/>
  <autoFilter ref="A1:G1" xr:uid="{3DA25B14-631F-41F4-A703-B08119E471E1}"/>
  <phoneticPr fontId="6" type="noConversion"/>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9D845-6221-4831-9059-EA5C6EBA2CBF}">
  <sheetPr codeName="Sheet57"/>
  <dimension ref="A1:F1"/>
  <sheetViews>
    <sheetView workbookViewId="0"/>
  </sheetViews>
  <sheetFormatPr defaultRowHeight="16.5" x14ac:dyDescent="0.3"/>
  <sheetData>
    <row r="1" spans="1:6" x14ac:dyDescent="0.3">
      <c r="A1" s="3" t="s">
        <v>106</v>
      </c>
      <c r="B1" s="3" t="s">
        <v>107</v>
      </c>
      <c r="C1" s="3" t="s">
        <v>112</v>
      </c>
      <c r="D1" s="3" t="s">
        <v>113</v>
      </c>
      <c r="E1" s="3" t="s">
        <v>114</v>
      </c>
      <c r="F1" s="3" t="s">
        <v>115</v>
      </c>
    </row>
  </sheetData>
  <sheetProtection sheet="1" objects="1" scenarios="1"/>
  <autoFilter ref="A1:F1" xr:uid="{4CF9D845-6221-4831-9059-EA5C6EBA2CBF}"/>
  <phoneticPr fontId="6" type="noConversion"/>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2AC64-0F2B-4BB3-A050-EB0ECFC2426E}">
  <sheetPr codeName="Sheet58"/>
  <dimension ref="A1:E1"/>
  <sheetViews>
    <sheetView workbookViewId="0"/>
  </sheetViews>
  <sheetFormatPr defaultRowHeight="16.5" x14ac:dyDescent="0.3"/>
  <sheetData>
    <row r="1" spans="1:5" x14ac:dyDescent="0.3">
      <c r="A1" s="3" t="s">
        <v>106</v>
      </c>
      <c r="B1" s="3" t="s">
        <v>107</v>
      </c>
      <c r="C1" s="3" t="s">
        <v>82</v>
      </c>
      <c r="D1" s="3" t="s">
        <v>83</v>
      </c>
      <c r="E1" s="3" t="s">
        <v>84</v>
      </c>
    </row>
  </sheetData>
  <sheetProtection sheet="1" objects="1" scenarios="1"/>
  <autoFilter ref="A1:E1" xr:uid="{3212AC64-0F2B-4BB3-A050-EB0ECFC2426E}"/>
  <phoneticPr fontId="6" type="noConversion"/>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8B05A-B722-449D-9ADD-FEB230D25996}">
  <sheetPr codeName="Sheet59"/>
  <dimension ref="A1:D1"/>
  <sheetViews>
    <sheetView workbookViewId="0"/>
  </sheetViews>
  <sheetFormatPr defaultRowHeight="16.5" x14ac:dyDescent="0.3"/>
  <sheetData>
    <row r="1" spans="1:4" x14ac:dyDescent="0.3">
      <c r="A1" s="3" t="s">
        <v>106</v>
      </c>
      <c r="B1" s="3" t="s">
        <v>107</v>
      </c>
      <c r="C1" s="3" t="s">
        <v>110</v>
      </c>
      <c r="D1" s="3" t="s">
        <v>111</v>
      </c>
    </row>
  </sheetData>
  <sheetProtection sheet="1" objects="1" scenarios="1"/>
  <autoFilter ref="A1:D1" xr:uid="{9148B05A-B722-449D-9ADD-FEB230D25996}"/>
  <phoneticPr fontId="6" type="noConversion"/>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72DA2-AFE2-49D7-8BDF-81A7DAB254D8}">
  <sheetPr codeName="Sheet60"/>
  <dimension ref="A1:C1"/>
  <sheetViews>
    <sheetView workbookViewId="0"/>
  </sheetViews>
  <sheetFormatPr defaultRowHeight="16.5" x14ac:dyDescent="0.3"/>
  <sheetData>
    <row r="1" spans="1:3" x14ac:dyDescent="0.3">
      <c r="A1" s="3" t="s">
        <v>106</v>
      </c>
      <c r="B1" s="3" t="s">
        <v>107</v>
      </c>
      <c r="C1" s="3" t="s">
        <v>61</v>
      </c>
    </row>
  </sheetData>
  <sheetProtection sheet="1" objects="1" scenarios="1"/>
  <autoFilter ref="A1:C1" xr:uid="{33D72DA2-AFE2-49D7-8BDF-81A7DAB254D8}"/>
  <phoneticPr fontId="6" type="noConversion"/>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FBE1B-453E-48C6-98A7-690DAF8959B5}">
  <sheetPr codeName="Sheet61"/>
  <dimension ref="A1:F1"/>
  <sheetViews>
    <sheetView workbookViewId="0"/>
  </sheetViews>
  <sheetFormatPr defaultRowHeight="16.5" x14ac:dyDescent="0.3"/>
  <sheetData>
    <row r="1" spans="1:6" x14ac:dyDescent="0.3">
      <c r="A1" s="3" t="s">
        <v>106</v>
      </c>
      <c r="B1" s="3" t="s">
        <v>107</v>
      </c>
      <c r="C1" s="3" t="s">
        <v>55</v>
      </c>
      <c r="D1" s="3" t="s">
        <v>56</v>
      </c>
      <c r="E1" s="3" t="s">
        <v>108</v>
      </c>
      <c r="F1" s="3" t="s">
        <v>109</v>
      </c>
    </row>
  </sheetData>
  <sheetProtection sheet="1" objects="1" scenarios="1"/>
  <autoFilter ref="A1:F1" xr:uid="{DEAFBE1B-453E-48C6-98A7-690DAF8959B5}"/>
  <phoneticPr fontId="6" type="noConversion"/>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4ED69-D54A-4F4C-8D70-AC63AB0D9D20}">
  <sheetPr codeName="Sheet62"/>
  <dimension ref="A1:U500"/>
  <sheetViews>
    <sheetView workbookViewId="0"/>
  </sheetViews>
  <sheetFormatPr defaultRowHeight="16.5" x14ac:dyDescent="0.3"/>
  <sheetData>
    <row r="1" spans="1:21" x14ac:dyDescent="0.3">
      <c r="A1" s="3" t="s">
        <v>92</v>
      </c>
      <c r="B1" s="3" t="s">
        <v>93</v>
      </c>
      <c r="C1" s="3" t="s">
        <v>94</v>
      </c>
      <c r="D1" s="3" t="s">
        <v>20</v>
      </c>
      <c r="E1" s="3" t="s">
        <v>95</v>
      </c>
      <c r="F1" s="3" t="s">
        <v>96</v>
      </c>
      <c r="G1" s="3" t="s">
        <v>26</v>
      </c>
      <c r="H1" s="3" t="s">
        <v>97</v>
      </c>
      <c r="I1" s="3" t="s">
        <v>98</v>
      </c>
      <c r="J1" s="3" t="s">
        <v>99</v>
      </c>
      <c r="K1" s="3" t="s">
        <v>100</v>
      </c>
      <c r="L1" s="3" t="s">
        <v>37</v>
      </c>
      <c r="M1" s="3" t="s">
        <v>39</v>
      </c>
      <c r="N1" s="3" t="s">
        <v>41</v>
      </c>
      <c r="O1" s="3" t="s">
        <v>44</v>
      </c>
      <c r="P1" s="3" t="s">
        <v>101</v>
      </c>
      <c r="Q1" s="3" t="s">
        <v>48</v>
      </c>
      <c r="R1" s="3" t="s">
        <v>102</v>
      </c>
      <c r="S1" s="3" t="s">
        <v>103</v>
      </c>
      <c r="T1" s="3" t="s">
        <v>104</v>
      </c>
      <c r="U1" s="3" t="s">
        <v>105</v>
      </c>
    </row>
    <row r="2" spans="1:21" x14ac:dyDescent="0.3">
      <c r="U2" t="str">
        <f t="shared" ref="U2:U65" si="0">IF($A2&lt;&gt;"","순번 "&amp;$A2&amp;": "&amp;$B2&amp;" / "&amp;$C2&amp;"학년도 / "&amp;$H2,"")</f>
        <v/>
      </c>
    </row>
    <row r="3" spans="1:21" x14ac:dyDescent="0.3">
      <c r="U3" t="str">
        <f t="shared" si="0"/>
        <v/>
      </c>
    </row>
    <row r="4" spans="1:21" x14ac:dyDescent="0.3">
      <c r="U4" t="str">
        <f t="shared" si="0"/>
        <v/>
      </c>
    </row>
    <row r="5" spans="1:21" x14ac:dyDescent="0.3">
      <c r="U5" t="str">
        <f t="shared" si="0"/>
        <v/>
      </c>
    </row>
    <row r="6" spans="1:21" x14ac:dyDescent="0.3">
      <c r="U6" t="str">
        <f t="shared" si="0"/>
        <v/>
      </c>
    </row>
    <row r="7" spans="1:21" x14ac:dyDescent="0.3">
      <c r="U7" t="str">
        <f t="shared" si="0"/>
        <v/>
      </c>
    </row>
    <row r="8" spans="1:21" x14ac:dyDescent="0.3">
      <c r="U8" t="str">
        <f t="shared" si="0"/>
        <v/>
      </c>
    </row>
    <row r="9" spans="1:21" x14ac:dyDescent="0.3">
      <c r="U9" t="str">
        <f t="shared" si="0"/>
        <v/>
      </c>
    </row>
    <row r="10" spans="1:21" x14ac:dyDescent="0.3">
      <c r="U10" t="str">
        <f t="shared" si="0"/>
        <v/>
      </c>
    </row>
    <row r="11" spans="1:21" x14ac:dyDescent="0.3">
      <c r="U11" t="str">
        <f t="shared" si="0"/>
        <v/>
      </c>
    </row>
    <row r="12" spans="1:21" x14ac:dyDescent="0.3">
      <c r="U12" t="str">
        <f t="shared" si="0"/>
        <v/>
      </c>
    </row>
    <row r="13" spans="1:21" x14ac:dyDescent="0.3">
      <c r="U13" t="str">
        <f t="shared" si="0"/>
        <v/>
      </c>
    </row>
    <row r="14" spans="1:21" x14ac:dyDescent="0.3">
      <c r="U14" t="str">
        <f t="shared" si="0"/>
        <v/>
      </c>
    </row>
    <row r="15" spans="1:21" x14ac:dyDescent="0.3">
      <c r="U15" t="str">
        <f t="shared" si="0"/>
        <v/>
      </c>
    </row>
    <row r="16" spans="1:21" x14ac:dyDescent="0.3">
      <c r="U16" t="str">
        <f t="shared" si="0"/>
        <v/>
      </c>
    </row>
    <row r="17" spans="21:21" x14ac:dyDescent="0.3">
      <c r="U17" t="str">
        <f t="shared" si="0"/>
        <v/>
      </c>
    </row>
    <row r="18" spans="21:21" x14ac:dyDescent="0.3">
      <c r="U18" t="str">
        <f t="shared" si="0"/>
        <v/>
      </c>
    </row>
    <row r="19" spans="21:21" x14ac:dyDescent="0.3">
      <c r="U19" t="str">
        <f t="shared" si="0"/>
        <v/>
      </c>
    </row>
    <row r="20" spans="21:21" x14ac:dyDescent="0.3">
      <c r="U20" t="str">
        <f t="shared" si="0"/>
        <v/>
      </c>
    </row>
    <row r="21" spans="21:21" x14ac:dyDescent="0.3">
      <c r="U21" t="str">
        <f t="shared" si="0"/>
        <v/>
      </c>
    </row>
    <row r="22" spans="21:21" x14ac:dyDescent="0.3">
      <c r="U22" t="str">
        <f t="shared" si="0"/>
        <v/>
      </c>
    </row>
    <row r="23" spans="21:21" x14ac:dyDescent="0.3">
      <c r="U23" t="str">
        <f t="shared" si="0"/>
        <v/>
      </c>
    </row>
    <row r="24" spans="21:21" x14ac:dyDescent="0.3">
      <c r="U24" t="str">
        <f t="shared" si="0"/>
        <v/>
      </c>
    </row>
    <row r="25" spans="21:21" x14ac:dyDescent="0.3">
      <c r="U25" t="str">
        <f t="shared" si="0"/>
        <v/>
      </c>
    </row>
    <row r="26" spans="21:21" x14ac:dyDescent="0.3">
      <c r="U26" t="str">
        <f t="shared" si="0"/>
        <v/>
      </c>
    </row>
    <row r="27" spans="21:21" x14ac:dyDescent="0.3">
      <c r="U27" t="str">
        <f t="shared" si="0"/>
        <v/>
      </c>
    </row>
    <row r="28" spans="21:21" x14ac:dyDescent="0.3">
      <c r="U28" t="str">
        <f t="shared" si="0"/>
        <v/>
      </c>
    </row>
    <row r="29" spans="21:21" x14ac:dyDescent="0.3">
      <c r="U29" t="str">
        <f t="shared" si="0"/>
        <v/>
      </c>
    </row>
    <row r="30" spans="21:21" x14ac:dyDescent="0.3">
      <c r="U30" t="str">
        <f t="shared" si="0"/>
        <v/>
      </c>
    </row>
    <row r="31" spans="21:21" x14ac:dyDescent="0.3">
      <c r="U31" t="str">
        <f t="shared" si="0"/>
        <v/>
      </c>
    </row>
    <row r="32" spans="21:21" x14ac:dyDescent="0.3">
      <c r="U32" t="str">
        <f t="shared" si="0"/>
        <v/>
      </c>
    </row>
    <row r="33" spans="21:21" x14ac:dyDescent="0.3">
      <c r="U33" t="str">
        <f t="shared" si="0"/>
        <v/>
      </c>
    </row>
    <row r="34" spans="21:21" x14ac:dyDescent="0.3">
      <c r="U34" t="str">
        <f t="shared" si="0"/>
        <v/>
      </c>
    </row>
    <row r="35" spans="21:21" x14ac:dyDescent="0.3">
      <c r="U35" t="str">
        <f t="shared" si="0"/>
        <v/>
      </c>
    </row>
    <row r="36" spans="21:21" x14ac:dyDescent="0.3">
      <c r="U36" t="str">
        <f t="shared" si="0"/>
        <v/>
      </c>
    </row>
    <row r="37" spans="21:21" x14ac:dyDescent="0.3">
      <c r="U37" t="str">
        <f t="shared" si="0"/>
        <v/>
      </c>
    </row>
    <row r="38" spans="21:21" x14ac:dyDescent="0.3">
      <c r="U38" t="str">
        <f t="shared" si="0"/>
        <v/>
      </c>
    </row>
    <row r="39" spans="21:21" x14ac:dyDescent="0.3">
      <c r="U39" t="str">
        <f t="shared" si="0"/>
        <v/>
      </c>
    </row>
    <row r="40" spans="21:21" x14ac:dyDescent="0.3">
      <c r="U40" t="str">
        <f t="shared" si="0"/>
        <v/>
      </c>
    </row>
    <row r="41" spans="21:21" x14ac:dyDescent="0.3">
      <c r="U41" t="str">
        <f t="shared" si="0"/>
        <v/>
      </c>
    </row>
    <row r="42" spans="21:21" x14ac:dyDescent="0.3">
      <c r="U42" t="str">
        <f t="shared" si="0"/>
        <v/>
      </c>
    </row>
    <row r="43" spans="21:21" x14ac:dyDescent="0.3">
      <c r="U43" t="str">
        <f t="shared" si="0"/>
        <v/>
      </c>
    </row>
    <row r="44" spans="21:21" x14ac:dyDescent="0.3">
      <c r="U44" t="str">
        <f t="shared" si="0"/>
        <v/>
      </c>
    </row>
    <row r="45" spans="21:21" x14ac:dyDescent="0.3">
      <c r="U45" t="str">
        <f t="shared" si="0"/>
        <v/>
      </c>
    </row>
    <row r="46" spans="21:21" x14ac:dyDescent="0.3">
      <c r="U46" t="str">
        <f t="shared" si="0"/>
        <v/>
      </c>
    </row>
    <row r="47" spans="21:21" x14ac:dyDescent="0.3">
      <c r="U47" t="str">
        <f t="shared" si="0"/>
        <v/>
      </c>
    </row>
    <row r="48" spans="21:21" x14ac:dyDescent="0.3">
      <c r="U48" t="str">
        <f t="shared" si="0"/>
        <v/>
      </c>
    </row>
    <row r="49" spans="21:21" x14ac:dyDescent="0.3">
      <c r="U49" t="str">
        <f t="shared" si="0"/>
        <v/>
      </c>
    </row>
    <row r="50" spans="21:21" x14ac:dyDescent="0.3">
      <c r="U50" t="str">
        <f t="shared" si="0"/>
        <v/>
      </c>
    </row>
    <row r="51" spans="21:21" x14ac:dyDescent="0.3">
      <c r="U51" t="str">
        <f t="shared" si="0"/>
        <v/>
      </c>
    </row>
    <row r="52" spans="21:21" x14ac:dyDescent="0.3">
      <c r="U52" t="str">
        <f t="shared" si="0"/>
        <v/>
      </c>
    </row>
    <row r="53" spans="21:21" x14ac:dyDescent="0.3">
      <c r="U53" t="str">
        <f t="shared" si="0"/>
        <v/>
      </c>
    </row>
    <row r="54" spans="21:21" x14ac:dyDescent="0.3">
      <c r="U54" t="str">
        <f t="shared" si="0"/>
        <v/>
      </c>
    </row>
    <row r="55" spans="21:21" x14ac:dyDescent="0.3">
      <c r="U55" t="str">
        <f t="shared" si="0"/>
        <v/>
      </c>
    </row>
    <row r="56" spans="21:21" x14ac:dyDescent="0.3">
      <c r="U56" t="str">
        <f t="shared" si="0"/>
        <v/>
      </c>
    </row>
    <row r="57" spans="21:21" x14ac:dyDescent="0.3">
      <c r="U57" t="str">
        <f t="shared" si="0"/>
        <v/>
      </c>
    </row>
    <row r="58" spans="21:21" x14ac:dyDescent="0.3">
      <c r="U58" t="str">
        <f t="shared" si="0"/>
        <v/>
      </c>
    </row>
    <row r="59" spans="21:21" x14ac:dyDescent="0.3">
      <c r="U59" t="str">
        <f t="shared" si="0"/>
        <v/>
      </c>
    </row>
    <row r="60" spans="21:21" x14ac:dyDescent="0.3">
      <c r="U60" t="str">
        <f t="shared" si="0"/>
        <v/>
      </c>
    </row>
    <row r="61" spans="21:21" x14ac:dyDescent="0.3">
      <c r="U61" t="str">
        <f t="shared" si="0"/>
        <v/>
      </c>
    </row>
    <row r="62" spans="21:21" x14ac:dyDescent="0.3">
      <c r="U62" t="str">
        <f t="shared" si="0"/>
        <v/>
      </c>
    </row>
    <row r="63" spans="21:21" x14ac:dyDescent="0.3">
      <c r="U63" t="str">
        <f t="shared" si="0"/>
        <v/>
      </c>
    </row>
    <row r="64" spans="21:21" x14ac:dyDescent="0.3">
      <c r="U64" t="str">
        <f t="shared" si="0"/>
        <v/>
      </c>
    </row>
    <row r="65" spans="21:21" x14ac:dyDescent="0.3">
      <c r="U65" t="str">
        <f t="shared" si="0"/>
        <v/>
      </c>
    </row>
    <row r="66" spans="21:21" x14ac:dyDescent="0.3">
      <c r="U66" t="str">
        <f t="shared" ref="U66:U129" si="1">IF($A66&lt;&gt;"","순번 "&amp;$A66&amp;": "&amp;$B66&amp;" / "&amp;$C66&amp;"학년도 / "&amp;$H66,"")</f>
        <v/>
      </c>
    </row>
    <row r="67" spans="21:21" x14ac:dyDescent="0.3">
      <c r="U67" t="str">
        <f t="shared" si="1"/>
        <v/>
      </c>
    </row>
    <row r="68" spans="21:21" x14ac:dyDescent="0.3">
      <c r="U68" t="str">
        <f t="shared" si="1"/>
        <v/>
      </c>
    </row>
    <row r="69" spans="21:21" x14ac:dyDescent="0.3">
      <c r="U69" t="str">
        <f t="shared" si="1"/>
        <v/>
      </c>
    </row>
    <row r="70" spans="21:21" x14ac:dyDescent="0.3">
      <c r="U70" t="str">
        <f t="shared" si="1"/>
        <v/>
      </c>
    </row>
    <row r="71" spans="21:21" x14ac:dyDescent="0.3">
      <c r="U71" t="str">
        <f t="shared" si="1"/>
        <v/>
      </c>
    </row>
    <row r="72" spans="21:21" x14ac:dyDescent="0.3">
      <c r="U72" t="str">
        <f t="shared" si="1"/>
        <v/>
      </c>
    </row>
    <row r="73" spans="21:21" x14ac:dyDescent="0.3">
      <c r="U73" t="str">
        <f t="shared" si="1"/>
        <v/>
      </c>
    </row>
    <row r="74" spans="21:21" x14ac:dyDescent="0.3">
      <c r="U74" t="str">
        <f t="shared" si="1"/>
        <v/>
      </c>
    </row>
    <row r="75" spans="21:21" x14ac:dyDescent="0.3">
      <c r="U75" t="str">
        <f t="shared" si="1"/>
        <v/>
      </c>
    </row>
    <row r="76" spans="21:21" x14ac:dyDescent="0.3">
      <c r="U76" t="str">
        <f t="shared" si="1"/>
        <v/>
      </c>
    </row>
    <row r="77" spans="21:21" x14ac:dyDescent="0.3">
      <c r="U77" t="str">
        <f t="shared" si="1"/>
        <v/>
      </c>
    </row>
    <row r="78" spans="21:21" x14ac:dyDescent="0.3">
      <c r="U78" t="str">
        <f t="shared" si="1"/>
        <v/>
      </c>
    </row>
    <row r="79" spans="21:21" x14ac:dyDescent="0.3">
      <c r="U79" t="str">
        <f t="shared" si="1"/>
        <v/>
      </c>
    </row>
    <row r="80" spans="21:21" x14ac:dyDescent="0.3">
      <c r="U80" t="str">
        <f t="shared" si="1"/>
        <v/>
      </c>
    </row>
    <row r="81" spans="21:21" x14ac:dyDescent="0.3">
      <c r="U81" t="str">
        <f t="shared" si="1"/>
        <v/>
      </c>
    </row>
    <row r="82" spans="21:21" x14ac:dyDescent="0.3">
      <c r="U82" t="str">
        <f t="shared" si="1"/>
        <v/>
      </c>
    </row>
    <row r="83" spans="21:21" x14ac:dyDescent="0.3">
      <c r="U83" t="str">
        <f t="shared" si="1"/>
        <v/>
      </c>
    </row>
    <row r="84" spans="21:21" x14ac:dyDescent="0.3">
      <c r="U84" t="str">
        <f t="shared" si="1"/>
        <v/>
      </c>
    </row>
    <row r="85" spans="21:21" x14ac:dyDescent="0.3">
      <c r="U85" t="str">
        <f t="shared" si="1"/>
        <v/>
      </c>
    </row>
    <row r="86" spans="21:21" x14ac:dyDescent="0.3">
      <c r="U86" t="str">
        <f t="shared" si="1"/>
        <v/>
      </c>
    </row>
    <row r="87" spans="21:21" x14ac:dyDescent="0.3">
      <c r="U87" t="str">
        <f t="shared" si="1"/>
        <v/>
      </c>
    </row>
    <row r="88" spans="21:21" x14ac:dyDescent="0.3">
      <c r="U88" t="str">
        <f t="shared" si="1"/>
        <v/>
      </c>
    </row>
    <row r="89" spans="21:21" x14ac:dyDescent="0.3">
      <c r="U89" t="str">
        <f t="shared" si="1"/>
        <v/>
      </c>
    </row>
    <row r="90" spans="21:21" x14ac:dyDescent="0.3">
      <c r="U90" t="str">
        <f t="shared" si="1"/>
        <v/>
      </c>
    </row>
    <row r="91" spans="21:21" x14ac:dyDescent="0.3">
      <c r="U91" t="str">
        <f t="shared" si="1"/>
        <v/>
      </c>
    </row>
    <row r="92" spans="21:21" x14ac:dyDescent="0.3">
      <c r="U92" t="str">
        <f t="shared" si="1"/>
        <v/>
      </c>
    </row>
    <row r="93" spans="21:21" x14ac:dyDescent="0.3">
      <c r="U93" t="str">
        <f t="shared" si="1"/>
        <v/>
      </c>
    </row>
    <row r="94" spans="21:21" x14ac:dyDescent="0.3">
      <c r="U94" t="str">
        <f t="shared" si="1"/>
        <v/>
      </c>
    </row>
    <row r="95" spans="21:21" x14ac:dyDescent="0.3">
      <c r="U95" t="str">
        <f t="shared" si="1"/>
        <v/>
      </c>
    </row>
    <row r="96" spans="21:21" x14ac:dyDescent="0.3">
      <c r="U96" t="str">
        <f t="shared" si="1"/>
        <v/>
      </c>
    </row>
    <row r="97" spans="21:21" x14ac:dyDescent="0.3">
      <c r="U97" t="str">
        <f t="shared" si="1"/>
        <v/>
      </c>
    </row>
    <row r="98" spans="21:21" x14ac:dyDescent="0.3">
      <c r="U98" t="str">
        <f t="shared" si="1"/>
        <v/>
      </c>
    </row>
    <row r="99" spans="21:21" x14ac:dyDescent="0.3">
      <c r="U99" t="str">
        <f t="shared" si="1"/>
        <v/>
      </c>
    </row>
    <row r="100" spans="21:21" x14ac:dyDescent="0.3">
      <c r="U100" t="str">
        <f t="shared" si="1"/>
        <v/>
      </c>
    </row>
    <row r="101" spans="21:21" x14ac:dyDescent="0.3">
      <c r="U101" t="str">
        <f t="shared" si="1"/>
        <v/>
      </c>
    </row>
    <row r="102" spans="21:21" x14ac:dyDescent="0.3">
      <c r="U102" t="str">
        <f t="shared" si="1"/>
        <v/>
      </c>
    </row>
    <row r="103" spans="21:21" x14ac:dyDescent="0.3">
      <c r="U103" t="str">
        <f t="shared" si="1"/>
        <v/>
      </c>
    </row>
    <row r="104" spans="21:21" x14ac:dyDescent="0.3">
      <c r="U104" t="str">
        <f t="shared" si="1"/>
        <v/>
      </c>
    </row>
    <row r="105" spans="21:21" x14ac:dyDescent="0.3">
      <c r="U105" t="str">
        <f t="shared" si="1"/>
        <v/>
      </c>
    </row>
    <row r="106" spans="21:21" x14ac:dyDescent="0.3">
      <c r="U106" t="str">
        <f t="shared" si="1"/>
        <v/>
      </c>
    </row>
    <row r="107" spans="21:21" x14ac:dyDescent="0.3">
      <c r="U107" t="str">
        <f t="shared" si="1"/>
        <v/>
      </c>
    </row>
    <row r="108" spans="21:21" x14ac:dyDescent="0.3">
      <c r="U108" t="str">
        <f t="shared" si="1"/>
        <v/>
      </c>
    </row>
    <row r="109" spans="21:21" x14ac:dyDescent="0.3">
      <c r="U109" t="str">
        <f t="shared" si="1"/>
        <v/>
      </c>
    </row>
    <row r="110" spans="21:21" x14ac:dyDescent="0.3">
      <c r="U110" t="str">
        <f t="shared" si="1"/>
        <v/>
      </c>
    </row>
    <row r="111" spans="21:21" x14ac:dyDescent="0.3">
      <c r="U111" t="str">
        <f t="shared" si="1"/>
        <v/>
      </c>
    </row>
    <row r="112" spans="21:21" x14ac:dyDescent="0.3">
      <c r="U112" t="str">
        <f t="shared" si="1"/>
        <v/>
      </c>
    </row>
    <row r="113" spans="21:21" x14ac:dyDescent="0.3">
      <c r="U113" t="str">
        <f t="shared" si="1"/>
        <v/>
      </c>
    </row>
    <row r="114" spans="21:21" x14ac:dyDescent="0.3">
      <c r="U114" t="str">
        <f t="shared" si="1"/>
        <v/>
      </c>
    </row>
    <row r="115" spans="21:21" x14ac:dyDescent="0.3">
      <c r="U115" t="str">
        <f t="shared" si="1"/>
        <v/>
      </c>
    </row>
    <row r="116" spans="21:21" x14ac:dyDescent="0.3">
      <c r="U116" t="str">
        <f t="shared" si="1"/>
        <v/>
      </c>
    </row>
    <row r="117" spans="21:21" x14ac:dyDescent="0.3">
      <c r="U117" t="str">
        <f t="shared" si="1"/>
        <v/>
      </c>
    </row>
    <row r="118" spans="21:21" x14ac:dyDescent="0.3">
      <c r="U118" t="str">
        <f t="shared" si="1"/>
        <v/>
      </c>
    </row>
    <row r="119" spans="21:21" x14ac:dyDescent="0.3">
      <c r="U119" t="str">
        <f t="shared" si="1"/>
        <v/>
      </c>
    </row>
    <row r="120" spans="21:21" x14ac:dyDescent="0.3">
      <c r="U120" t="str">
        <f t="shared" si="1"/>
        <v/>
      </c>
    </row>
    <row r="121" spans="21:21" x14ac:dyDescent="0.3">
      <c r="U121" t="str">
        <f t="shared" si="1"/>
        <v/>
      </c>
    </row>
    <row r="122" spans="21:21" x14ac:dyDescent="0.3">
      <c r="U122" t="str">
        <f t="shared" si="1"/>
        <v/>
      </c>
    </row>
    <row r="123" spans="21:21" x14ac:dyDescent="0.3">
      <c r="U123" t="str">
        <f t="shared" si="1"/>
        <v/>
      </c>
    </row>
    <row r="124" spans="21:21" x14ac:dyDescent="0.3">
      <c r="U124" t="str">
        <f t="shared" si="1"/>
        <v/>
      </c>
    </row>
    <row r="125" spans="21:21" x14ac:dyDescent="0.3">
      <c r="U125" t="str">
        <f t="shared" si="1"/>
        <v/>
      </c>
    </row>
    <row r="126" spans="21:21" x14ac:dyDescent="0.3">
      <c r="U126" t="str">
        <f t="shared" si="1"/>
        <v/>
      </c>
    </row>
    <row r="127" spans="21:21" x14ac:dyDescent="0.3">
      <c r="U127" t="str">
        <f t="shared" si="1"/>
        <v/>
      </c>
    </row>
    <row r="128" spans="21:21" x14ac:dyDescent="0.3">
      <c r="U128" t="str">
        <f t="shared" si="1"/>
        <v/>
      </c>
    </row>
    <row r="129" spans="21:21" x14ac:dyDescent="0.3">
      <c r="U129" t="str">
        <f t="shared" si="1"/>
        <v/>
      </c>
    </row>
    <row r="130" spans="21:21" x14ac:dyDescent="0.3">
      <c r="U130" t="str">
        <f t="shared" ref="U130:U193" si="2">IF($A130&lt;&gt;"","순번 "&amp;$A130&amp;": "&amp;$B130&amp;" / "&amp;$C130&amp;"학년도 / "&amp;$H130,"")</f>
        <v/>
      </c>
    </row>
    <row r="131" spans="21:21" x14ac:dyDescent="0.3">
      <c r="U131" t="str">
        <f t="shared" si="2"/>
        <v/>
      </c>
    </row>
    <row r="132" spans="21:21" x14ac:dyDescent="0.3">
      <c r="U132" t="str">
        <f t="shared" si="2"/>
        <v/>
      </c>
    </row>
    <row r="133" spans="21:21" x14ac:dyDescent="0.3">
      <c r="U133" t="str">
        <f t="shared" si="2"/>
        <v/>
      </c>
    </row>
    <row r="134" spans="21:21" x14ac:dyDescent="0.3">
      <c r="U134" t="str">
        <f t="shared" si="2"/>
        <v/>
      </c>
    </row>
    <row r="135" spans="21:21" x14ac:dyDescent="0.3">
      <c r="U135" t="str">
        <f t="shared" si="2"/>
        <v/>
      </c>
    </row>
    <row r="136" spans="21:21" x14ac:dyDescent="0.3">
      <c r="U136" t="str">
        <f t="shared" si="2"/>
        <v/>
      </c>
    </row>
    <row r="137" spans="21:21" x14ac:dyDescent="0.3">
      <c r="U137" t="str">
        <f t="shared" si="2"/>
        <v/>
      </c>
    </row>
    <row r="138" spans="21:21" x14ac:dyDescent="0.3">
      <c r="U138" t="str">
        <f t="shared" si="2"/>
        <v/>
      </c>
    </row>
    <row r="139" spans="21:21" x14ac:dyDescent="0.3">
      <c r="U139" t="str">
        <f t="shared" si="2"/>
        <v/>
      </c>
    </row>
    <row r="140" spans="21:21" x14ac:dyDescent="0.3">
      <c r="U140" t="str">
        <f t="shared" si="2"/>
        <v/>
      </c>
    </row>
    <row r="141" spans="21:21" x14ac:dyDescent="0.3">
      <c r="U141" t="str">
        <f t="shared" si="2"/>
        <v/>
      </c>
    </row>
    <row r="142" spans="21:21" x14ac:dyDescent="0.3">
      <c r="U142" t="str">
        <f t="shared" si="2"/>
        <v/>
      </c>
    </row>
    <row r="143" spans="21:21" x14ac:dyDescent="0.3">
      <c r="U143" t="str">
        <f t="shared" si="2"/>
        <v/>
      </c>
    </row>
    <row r="144" spans="21:21" x14ac:dyDescent="0.3">
      <c r="U144" t="str">
        <f t="shared" si="2"/>
        <v/>
      </c>
    </row>
    <row r="145" spans="21:21" x14ac:dyDescent="0.3">
      <c r="U145" t="str">
        <f t="shared" si="2"/>
        <v/>
      </c>
    </row>
    <row r="146" spans="21:21" x14ac:dyDescent="0.3">
      <c r="U146" t="str">
        <f t="shared" si="2"/>
        <v/>
      </c>
    </row>
    <row r="147" spans="21:21" x14ac:dyDescent="0.3">
      <c r="U147" t="str">
        <f t="shared" si="2"/>
        <v/>
      </c>
    </row>
    <row r="148" spans="21:21" x14ac:dyDescent="0.3">
      <c r="U148" t="str">
        <f t="shared" si="2"/>
        <v/>
      </c>
    </row>
    <row r="149" spans="21:21" x14ac:dyDescent="0.3">
      <c r="U149" t="str">
        <f t="shared" si="2"/>
        <v/>
      </c>
    </row>
    <row r="150" spans="21:21" x14ac:dyDescent="0.3">
      <c r="U150" t="str">
        <f t="shared" si="2"/>
        <v/>
      </c>
    </row>
    <row r="151" spans="21:21" x14ac:dyDescent="0.3">
      <c r="U151" t="str">
        <f t="shared" si="2"/>
        <v/>
      </c>
    </row>
    <row r="152" spans="21:21" x14ac:dyDescent="0.3">
      <c r="U152" t="str">
        <f t="shared" si="2"/>
        <v/>
      </c>
    </row>
    <row r="153" spans="21:21" x14ac:dyDescent="0.3">
      <c r="U153" t="str">
        <f t="shared" si="2"/>
        <v/>
      </c>
    </row>
    <row r="154" spans="21:21" x14ac:dyDescent="0.3">
      <c r="U154" t="str">
        <f t="shared" si="2"/>
        <v/>
      </c>
    </row>
    <row r="155" spans="21:21" x14ac:dyDescent="0.3">
      <c r="U155" t="str">
        <f t="shared" si="2"/>
        <v/>
      </c>
    </row>
    <row r="156" spans="21:21" x14ac:dyDescent="0.3">
      <c r="U156" t="str">
        <f t="shared" si="2"/>
        <v/>
      </c>
    </row>
    <row r="157" spans="21:21" x14ac:dyDescent="0.3">
      <c r="U157" t="str">
        <f t="shared" si="2"/>
        <v/>
      </c>
    </row>
    <row r="158" spans="21:21" x14ac:dyDescent="0.3">
      <c r="U158" t="str">
        <f t="shared" si="2"/>
        <v/>
      </c>
    </row>
    <row r="159" spans="21:21" x14ac:dyDescent="0.3">
      <c r="U159" t="str">
        <f t="shared" si="2"/>
        <v/>
      </c>
    </row>
    <row r="160" spans="21:21" x14ac:dyDescent="0.3">
      <c r="U160" t="str">
        <f t="shared" si="2"/>
        <v/>
      </c>
    </row>
    <row r="161" spans="21:21" x14ac:dyDescent="0.3">
      <c r="U161" t="str">
        <f t="shared" si="2"/>
        <v/>
      </c>
    </row>
    <row r="162" spans="21:21" x14ac:dyDescent="0.3">
      <c r="U162" t="str">
        <f t="shared" si="2"/>
        <v/>
      </c>
    </row>
    <row r="163" spans="21:21" x14ac:dyDescent="0.3">
      <c r="U163" t="str">
        <f t="shared" si="2"/>
        <v/>
      </c>
    </row>
    <row r="164" spans="21:21" x14ac:dyDescent="0.3">
      <c r="U164" t="str">
        <f t="shared" si="2"/>
        <v/>
      </c>
    </row>
    <row r="165" spans="21:21" x14ac:dyDescent="0.3">
      <c r="U165" t="str">
        <f t="shared" si="2"/>
        <v/>
      </c>
    </row>
    <row r="166" spans="21:21" x14ac:dyDescent="0.3">
      <c r="U166" t="str">
        <f t="shared" si="2"/>
        <v/>
      </c>
    </row>
    <row r="167" spans="21:21" x14ac:dyDescent="0.3">
      <c r="U167" t="str">
        <f t="shared" si="2"/>
        <v/>
      </c>
    </row>
    <row r="168" spans="21:21" x14ac:dyDescent="0.3">
      <c r="U168" t="str">
        <f t="shared" si="2"/>
        <v/>
      </c>
    </row>
    <row r="169" spans="21:21" x14ac:dyDescent="0.3">
      <c r="U169" t="str">
        <f t="shared" si="2"/>
        <v/>
      </c>
    </row>
    <row r="170" spans="21:21" x14ac:dyDescent="0.3">
      <c r="U170" t="str">
        <f t="shared" si="2"/>
        <v/>
      </c>
    </row>
    <row r="171" spans="21:21" x14ac:dyDescent="0.3">
      <c r="U171" t="str">
        <f t="shared" si="2"/>
        <v/>
      </c>
    </row>
    <row r="172" spans="21:21" x14ac:dyDescent="0.3">
      <c r="U172" t="str">
        <f t="shared" si="2"/>
        <v/>
      </c>
    </row>
    <row r="173" spans="21:21" x14ac:dyDescent="0.3">
      <c r="U173" t="str">
        <f t="shared" si="2"/>
        <v/>
      </c>
    </row>
    <row r="174" spans="21:21" x14ac:dyDescent="0.3">
      <c r="U174" t="str">
        <f t="shared" si="2"/>
        <v/>
      </c>
    </row>
    <row r="175" spans="21:21" x14ac:dyDescent="0.3">
      <c r="U175" t="str">
        <f t="shared" si="2"/>
        <v/>
      </c>
    </row>
    <row r="176" spans="21:21" x14ac:dyDescent="0.3">
      <c r="U176" t="str">
        <f t="shared" si="2"/>
        <v/>
      </c>
    </row>
    <row r="177" spans="21:21" x14ac:dyDescent="0.3">
      <c r="U177" t="str">
        <f t="shared" si="2"/>
        <v/>
      </c>
    </row>
    <row r="178" spans="21:21" x14ac:dyDescent="0.3">
      <c r="U178" t="str">
        <f t="shared" si="2"/>
        <v/>
      </c>
    </row>
    <row r="179" spans="21:21" x14ac:dyDescent="0.3">
      <c r="U179" t="str">
        <f t="shared" si="2"/>
        <v/>
      </c>
    </row>
    <row r="180" spans="21:21" x14ac:dyDescent="0.3">
      <c r="U180" t="str">
        <f t="shared" si="2"/>
        <v/>
      </c>
    </row>
    <row r="181" spans="21:21" x14ac:dyDescent="0.3">
      <c r="U181" t="str">
        <f t="shared" si="2"/>
        <v/>
      </c>
    </row>
    <row r="182" spans="21:21" x14ac:dyDescent="0.3">
      <c r="U182" t="str">
        <f t="shared" si="2"/>
        <v/>
      </c>
    </row>
    <row r="183" spans="21:21" x14ac:dyDescent="0.3">
      <c r="U183" t="str">
        <f t="shared" si="2"/>
        <v/>
      </c>
    </row>
    <row r="184" spans="21:21" x14ac:dyDescent="0.3">
      <c r="U184" t="str">
        <f t="shared" si="2"/>
        <v/>
      </c>
    </row>
    <row r="185" spans="21:21" x14ac:dyDescent="0.3">
      <c r="U185" t="str">
        <f t="shared" si="2"/>
        <v/>
      </c>
    </row>
    <row r="186" spans="21:21" x14ac:dyDescent="0.3">
      <c r="U186" t="str">
        <f t="shared" si="2"/>
        <v/>
      </c>
    </row>
    <row r="187" spans="21:21" x14ac:dyDescent="0.3">
      <c r="U187" t="str">
        <f t="shared" si="2"/>
        <v/>
      </c>
    </row>
    <row r="188" spans="21:21" x14ac:dyDescent="0.3">
      <c r="U188" t="str">
        <f t="shared" si="2"/>
        <v/>
      </c>
    </row>
    <row r="189" spans="21:21" x14ac:dyDescent="0.3">
      <c r="U189" t="str">
        <f t="shared" si="2"/>
        <v/>
      </c>
    </row>
    <row r="190" spans="21:21" x14ac:dyDescent="0.3">
      <c r="U190" t="str">
        <f t="shared" si="2"/>
        <v/>
      </c>
    </row>
    <row r="191" spans="21:21" x14ac:dyDescent="0.3">
      <c r="U191" t="str">
        <f t="shared" si="2"/>
        <v/>
      </c>
    </row>
    <row r="192" spans="21:21" x14ac:dyDescent="0.3">
      <c r="U192" t="str">
        <f t="shared" si="2"/>
        <v/>
      </c>
    </row>
    <row r="193" spans="21:21" x14ac:dyDescent="0.3">
      <c r="U193" t="str">
        <f t="shared" si="2"/>
        <v/>
      </c>
    </row>
    <row r="194" spans="21:21" x14ac:dyDescent="0.3">
      <c r="U194" t="str">
        <f t="shared" ref="U194:U257" si="3">IF($A194&lt;&gt;"","순번 "&amp;$A194&amp;": "&amp;$B194&amp;" / "&amp;$C194&amp;"학년도 / "&amp;$H194,"")</f>
        <v/>
      </c>
    </row>
    <row r="195" spans="21:21" x14ac:dyDescent="0.3">
      <c r="U195" t="str">
        <f t="shared" si="3"/>
        <v/>
      </c>
    </row>
    <row r="196" spans="21:21" x14ac:dyDescent="0.3">
      <c r="U196" t="str">
        <f t="shared" si="3"/>
        <v/>
      </c>
    </row>
    <row r="197" spans="21:21" x14ac:dyDescent="0.3">
      <c r="U197" t="str">
        <f t="shared" si="3"/>
        <v/>
      </c>
    </row>
    <row r="198" spans="21:21" x14ac:dyDescent="0.3">
      <c r="U198" t="str">
        <f t="shared" si="3"/>
        <v/>
      </c>
    </row>
    <row r="199" spans="21:21" x14ac:dyDescent="0.3">
      <c r="U199" t="str">
        <f t="shared" si="3"/>
        <v/>
      </c>
    </row>
    <row r="200" spans="21:21" x14ac:dyDescent="0.3">
      <c r="U200" t="str">
        <f t="shared" si="3"/>
        <v/>
      </c>
    </row>
    <row r="201" spans="21:21" x14ac:dyDescent="0.3">
      <c r="U201" t="str">
        <f t="shared" si="3"/>
        <v/>
      </c>
    </row>
    <row r="202" spans="21:21" x14ac:dyDescent="0.3">
      <c r="U202" t="str">
        <f t="shared" si="3"/>
        <v/>
      </c>
    </row>
    <row r="203" spans="21:21" x14ac:dyDescent="0.3">
      <c r="U203" t="str">
        <f t="shared" si="3"/>
        <v/>
      </c>
    </row>
    <row r="204" spans="21:21" x14ac:dyDescent="0.3">
      <c r="U204" t="str">
        <f t="shared" si="3"/>
        <v/>
      </c>
    </row>
    <row r="205" spans="21:21" x14ac:dyDescent="0.3">
      <c r="U205" t="str">
        <f t="shared" si="3"/>
        <v/>
      </c>
    </row>
    <row r="206" spans="21:21" x14ac:dyDescent="0.3">
      <c r="U206" t="str">
        <f t="shared" si="3"/>
        <v/>
      </c>
    </row>
    <row r="207" spans="21:21" x14ac:dyDescent="0.3">
      <c r="U207" t="str">
        <f t="shared" si="3"/>
        <v/>
      </c>
    </row>
    <row r="208" spans="21:21" x14ac:dyDescent="0.3">
      <c r="U208" t="str">
        <f t="shared" si="3"/>
        <v/>
      </c>
    </row>
    <row r="209" spans="21:21" x14ac:dyDescent="0.3">
      <c r="U209" t="str">
        <f t="shared" si="3"/>
        <v/>
      </c>
    </row>
    <row r="210" spans="21:21" x14ac:dyDescent="0.3">
      <c r="U210" t="str">
        <f t="shared" si="3"/>
        <v/>
      </c>
    </row>
    <row r="211" spans="21:21" x14ac:dyDescent="0.3">
      <c r="U211" t="str">
        <f t="shared" si="3"/>
        <v/>
      </c>
    </row>
    <row r="212" spans="21:21" x14ac:dyDescent="0.3">
      <c r="U212" t="str">
        <f t="shared" si="3"/>
        <v/>
      </c>
    </row>
    <row r="213" spans="21:21" x14ac:dyDescent="0.3">
      <c r="U213" t="str">
        <f t="shared" si="3"/>
        <v/>
      </c>
    </row>
    <row r="214" spans="21:21" x14ac:dyDescent="0.3">
      <c r="U214" t="str">
        <f t="shared" si="3"/>
        <v/>
      </c>
    </row>
    <row r="215" spans="21:21" x14ac:dyDescent="0.3">
      <c r="U215" t="str">
        <f t="shared" si="3"/>
        <v/>
      </c>
    </row>
    <row r="216" spans="21:21" x14ac:dyDescent="0.3">
      <c r="U216" t="str">
        <f t="shared" si="3"/>
        <v/>
      </c>
    </row>
    <row r="217" spans="21:21" x14ac:dyDescent="0.3">
      <c r="U217" t="str">
        <f t="shared" si="3"/>
        <v/>
      </c>
    </row>
    <row r="218" spans="21:21" x14ac:dyDescent="0.3">
      <c r="U218" t="str">
        <f t="shared" si="3"/>
        <v/>
      </c>
    </row>
    <row r="219" spans="21:21" x14ac:dyDescent="0.3">
      <c r="U219" t="str">
        <f t="shared" si="3"/>
        <v/>
      </c>
    </row>
    <row r="220" spans="21:21" x14ac:dyDescent="0.3">
      <c r="U220" t="str">
        <f t="shared" si="3"/>
        <v/>
      </c>
    </row>
    <row r="221" spans="21:21" x14ac:dyDescent="0.3">
      <c r="U221" t="str">
        <f t="shared" si="3"/>
        <v/>
      </c>
    </row>
    <row r="222" spans="21:21" x14ac:dyDescent="0.3">
      <c r="U222" t="str">
        <f t="shared" si="3"/>
        <v/>
      </c>
    </row>
    <row r="223" spans="21:21" x14ac:dyDescent="0.3">
      <c r="U223" t="str">
        <f t="shared" si="3"/>
        <v/>
      </c>
    </row>
    <row r="224" spans="21:21" x14ac:dyDescent="0.3">
      <c r="U224" t="str">
        <f t="shared" si="3"/>
        <v/>
      </c>
    </row>
    <row r="225" spans="21:21" x14ac:dyDescent="0.3">
      <c r="U225" t="str">
        <f t="shared" si="3"/>
        <v/>
      </c>
    </row>
    <row r="226" spans="21:21" x14ac:dyDescent="0.3">
      <c r="U226" t="str">
        <f t="shared" si="3"/>
        <v/>
      </c>
    </row>
    <row r="227" spans="21:21" x14ac:dyDescent="0.3">
      <c r="U227" t="str">
        <f t="shared" si="3"/>
        <v/>
      </c>
    </row>
    <row r="228" spans="21:21" x14ac:dyDescent="0.3">
      <c r="U228" t="str">
        <f t="shared" si="3"/>
        <v/>
      </c>
    </row>
    <row r="229" spans="21:21" x14ac:dyDescent="0.3">
      <c r="U229" t="str">
        <f t="shared" si="3"/>
        <v/>
      </c>
    </row>
    <row r="230" spans="21:21" x14ac:dyDescent="0.3">
      <c r="U230" t="str">
        <f t="shared" si="3"/>
        <v/>
      </c>
    </row>
    <row r="231" spans="21:21" x14ac:dyDescent="0.3">
      <c r="U231" t="str">
        <f t="shared" si="3"/>
        <v/>
      </c>
    </row>
    <row r="232" spans="21:21" x14ac:dyDescent="0.3">
      <c r="U232" t="str">
        <f t="shared" si="3"/>
        <v/>
      </c>
    </row>
    <row r="233" spans="21:21" x14ac:dyDescent="0.3">
      <c r="U233" t="str">
        <f t="shared" si="3"/>
        <v/>
      </c>
    </row>
    <row r="234" spans="21:21" x14ac:dyDescent="0.3">
      <c r="U234" t="str">
        <f t="shared" si="3"/>
        <v/>
      </c>
    </row>
    <row r="235" spans="21:21" x14ac:dyDescent="0.3">
      <c r="U235" t="str">
        <f t="shared" si="3"/>
        <v/>
      </c>
    </row>
    <row r="236" spans="21:21" x14ac:dyDescent="0.3">
      <c r="U236" t="str">
        <f t="shared" si="3"/>
        <v/>
      </c>
    </row>
    <row r="237" spans="21:21" x14ac:dyDescent="0.3">
      <c r="U237" t="str">
        <f t="shared" si="3"/>
        <v/>
      </c>
    </row>
    <row r="238" spans="21:21" x14ac:dyDescent="0.3">
      <c r="U238" t="str">
        <f t="shared" si="3"/>
        <v/>
      </c>
    </row>
    <row r="239" spans="21:21" x14ac:dyDescent="0.3">
      <c r="U239" t="str">
        <f t="shared" si="3"/>
        <v/>
      </c>
    </row>
    <row r="240" spans="21:21" x14ac:dyDescent="0.3">
      <c r="U240" t="str">
        <f t="shared" si="3"/>
        <v/>
      </c>
    </row>
    <row r="241" spans="21:21" x14ac:dyDescent="0.3">
      <c r="U241" t="str">
        <f t="shared" si="3"/>
        <v/>
      </c>
    </row>
    <row r="242" spans="21:21" x14ac:dyDescent="0.3">
      <c r="U242" t="str">
        <f t="shared" si="3"/>
        <v/>
      </c>
    </row>
    <row r="243" spans="21:21" x14ac:dyDescent="0.3">
      <c r="U243" t="str">
        <f t="shared" si="3"/>
        <v/>
      </c>
    </row>
    <row r="244" spans="21:21" x14ac:dyDescent="0.3">
      <c r="U244" t="str">
        <f t="shared" si="3"/>
        <v/>
      </c>
    </row>
    <row r="245" spans="21:21" x14ac:dyDescent="0.3">
      <c r="U245" t="str">
        <f t="shared" si="3"/>
        <v/>
      </c>
    </row>
    <row r="246" spans="21:21" x14ac:dyDescent="0.3">
      <c r="U246" t="str">
        <f t="shared" si="3"/>
        <v/>
      </c>
    </row>
    <row r="247" spans="21:21" x14ac:dyDescent="0.3">
      <c r="U247" t="str">
        <f t="shared" si="3"/>
        <v/>
      </c>
    </row>
    <row r="248" spans="21:21" x14ac:dyDescent="0.3">
      <c r="U248" t="str">
        <f t="shared" si="3"/>
        <v/>
      </c>
    </row>
    <row r="249" spans="21:21" x14ac:dyDescent="0.3">
      <c r="U249" t="str">
        <f t="shared" si="3"/>
        <v/>
      </c>
    </row>
    <row r="250" spans="21:21" x14ac:dyDescent="0.3">
      <c r="U250" t="str">
        <f t="shared" si="3"/>
        <v/>
      </c>
    </row>
    <row r="251" spans="21:21" x14ac:dyDescent="0.3">
      <c r="U251" t="str">
        <f t="shared" si="3"/>
        <v/>
      </c>
    </row>
    <row r="252" spans="21:21" x14ac:dyDescent="0.3">
      <c r="U252" t="str">
        <f t="shared" si="3"/>
        <v/>
      </c>
    </row>
    <row r="253" spans="21:21" x14ac:dyDescent="0.3">
      <c r="U253" t="str">
        <f t="shared" si="3"/>
        <v/>
      </c>
    </row>
    <row r="254" spans="21:21" x14ac:dyDescent="0.3">
      <c r="U254" t="str">
        <f t="shared" si="3"/>
        <v/>
      </c>
    </row>
    <row r="255" spans="21:21" x14ac:dyDescent="0.3">
      <c r="U255" t="str">
        <f t="shared" si="3"/>
        <v/>
      </c>
    </row>
    <row r="256" spans="21:21" x14ac:dyDescent="0.3">
      <c r="U256" t="str">
        <f t="shared" si="3"/>
        <v/>
      </c>
    </row>
    <row r="257" spans="21:21" x14ac:dyDescent="0.3">
      <c r="U257" t="str">
        <f t="shared" si="3"/>
        <v/>
      </c>
    </row>
    <row r="258" spans="21:21" x14ac:dyDescent="0.3">
      <c r="U258" t="str">
        <f t="shared" ref="U258:U321" si="4">IF($A258&lt;&gt;"","순번 "&amp;$A258&amp;": "&amp;$B258&amp;" / "&amp;$C258&amp;"학년도 / "&amp;$H258,"")</f>
        <v/>
      </c>
    </row>
    <row r="259" spans="21:21" x14ac:dyDescent="0.3">
      <c r="U259" t="str">
        <f t="shared" si="4"/>
        <v/>
      </c>
    </row>
    <row r="260" spans="21:21" x14ac:dyDescent="0.3">
      <c r="U260" t="str">
        <f t="shared" si="4"/>
        <v/>
      </c>
    </row>
    <row r="261" spans="21:21" x14ac:dyDescent="0.3">
      <c r="U261" t="str">
        <f t="shared" si="4"/>
        <v/>
      </c>
    </row>
    <row r="262" spans="21:21" x14ac:dyDescent="0.3">
      <c r="U262" t="str">
        <f t="shared" si="4"/>
        <v/>
      </c>
    </row>
    <row r="263" spans="21:21" x14ac:dyDescent="0.3">
      <c r="U263" t="str">
        <f t="shared" si="4"/>
        <v/>
      </c>
    </row>
    <row r="264" spans="21:21" x14ac:dyDescent="0.3">
      <c r="U264" t="str">
        <f t="shared" si="4"/>
        <v/>
      </c>
    </row>
    <row r="265" spans="21:21" x14ac:dyDescent="0.3">
      <c r="U265" t="str">
        <f t="shared" si="4"/>
        <v/>
      </c>
    </row>
    <row r="266" spans="21:21" x14ac:dyDescent="0.3">
      <c r="U266" t="str">
        <f t="shared" si="4"/>
        <v/>
      </c>
    </row>
    <row r="267" spans="21:21" x14ac:dyDescent="0.3">
      <c r="U267" t="str">
        <f t="shared" si="4"/>
        <v/>
      </c>
    </row>
    <row r="268" spans="21:21" x14ac:dyDescent="0.3">
      <c r="U268" t="str">
        <f t="shared" si="4"/>
        <v/>
      </c>
    </row>
    <row r="269" spans="21:21" x14ac:dyDescent="0.3">
      <c r="U269" t="str">
        <f t="shared" si="4"/>
        <v/>
      </c>
    </row>
    <row r="270" spans="21:21" x14ac:dyDescent="0.3">
      <c r="U270" t="str">
        <f t="shared" si="4"/>
        <v/>
      </c>
    </row>
    <row r="271" spans="21:21" x14ac:dyDescent="0.3">
      <c r="U271" t="str">
        <f t="shared" si="4"/>
        <v/>
      </c>
    </row>
    <row r="272" spans="21:21" x14ac:dyDescent="0.3">
      <c r="U272" t="str">
        <f t="shared" si="4"/>
        <v/>
      </c>
    </row>
    <row r="273" spans="21:21" x14ac:dyDescent="0.3">
      <c r="U273" t="str">
        <f t="shared" si="4"/>
        <v/>
      </c>
    </row>
    <row r="274" spans="21:21" x14ac:dyDescent="0.3">
      <c r="U274" t="str">
        <f t="shared" si="4"/>
        <v/>
      </c>
    </row>
    <row r="275" spans="21:21" x14ac:dyDescent="0.3">
      <c r="U275" t="str">
        <f t="shared" si="4"/>
        <v/>
      </c>
    </row>
    <row r="276" spans="21:21" x14ac:dyDescent="0.3">
      <c r="U276" t="str">
        <f t="shared" si="4"/>
        <v/>
      </c>
    </row>
    <row r="277" spans="21:21" x14ac:dyDescent="0.3">
      <c r="U277" t="str">
        <f t="shared" si="4"/>
        <v/>
      </c>
    </row>
    <row r="278" spans="21:21" x14ac:dyDescent="0.3">
      <c r="U278" t="str">
        <f t="shared" si="4"/>
        <v/>
      </c>
    </row>
    <row r="279" spans="21:21" x14ac:dyDescent="0.3">
      <c r="U279" t="str">
        <f t="shared" si="4"/>
        <v/>
      </c>
    </row>
    <row r="280" spans="21:21" x14ac:dyDescent="0.3">
      <c r="U280" t="str">
        <f t="shared" si="4"/>
        <v/>
      </c>
    </row>
    <row r="281" spans="21:21" x14ac:dyDescent="0.3">
      <c r="U281" t="str">
        <f t="shared" si="4"/>
        <v/>
      </c>
    </row>
    <row r="282" spans="21:21" x14ac:dyDescent="0.3">
      <c r="U282" t="str">
        <f t="shared" si="4"/>
        <v/>
      </c>
    </row>
    <row r="283" spans="21:21" x14ac:dyDescent="0.3">
      <c r="U283" t="str">
        <f t="shared" si="4"/>
        <v/>
      </c>
    </row>
    <row r="284" spans="21:21" x14ac:dyDescent="0.3">
      <c r="U284" t="str">
        <f t="shared" si="4"/>
        <v/>
      </c>
    </row>
    <row r="285" spans="21:21" x14ac:dyDescent="0.3">
      <c r="U285" t="str">
        <f t="shared" si="4"/>
        <v/>
      </c>
    </row>
    <row r="286" spans="21:21" x14ac:dyDescent="0.3">
      <c r="U286" t="str">
        <f t="shared" si="4"/>
        <v/>
      </c>
    </row>
    <row r="287" spans="21:21" x14ac:dyDescent="0.3">
      <c r="U287" t="str">
        <f t="shared" si="4"/>
        <v/>
      </c>
    </row>
    <row r="288" spans="21:21" x14ac:dyDescent="0.3">
      <c r="U288" t="str">
        <f t="shared" si="4"/>
        <v/>
      </c>
    </row>
    <row r="289" spans="21:21" x14ac:dyDescent="0.3">
      <c r="U289" t="str">
        <f t="shared" si="4"/>
        <v/>
      </c>
    </row>
    <row r="290" spans="21:21" x14ac:dyDescent="0.3">
      <c r="U290" t="str">
        <f t="shared" si="4"/>
        <v/>
      </c>
    </row>
    <row r="291" spans="21:21" x14ac:dyDescent="0.3">
      <c r="U291" t="str">
        <f t="shared" si="4"/>
        <v/>
      </c>
    </row>
    <row r="292" spans="21:21" x14ac:dyDescent="0.3">
      <c r="U292" t="str">
        <f t="shared" si="4"/>
        <v/>
      </c>
    </row>
    <row r="293" spans="21:21" x14ac:dyDescent="0.3">
      <c r="U293" t="str">
        <f t="shared" si="4"/>
        <v/>
      </c>
    </row>
    <row r="294" spans="21:21" x14ac:dyDescent="0.3">
      <c r="U294" t="str">
        <f t="shared" si="4"/>
        <v/>
      </c>
    </row>
    <row r="295" spans="21:21" x14ac:dyDescent="0.3">
      <c r="U295" t="str">
        <f t="shared" si="4"/>
        <v/>
      </c>
    </row>
    <row r="296" spans="21:21" x14ac:dyDescent="0.3">
      <c r="U296" t="str">
        <f t="shared" si="4"/>
        <v/>
      </c>
    </row>
    <row r="297" spans="21:21" x14ac:dyDescent="0.3">
      <c r="U297" t="str">
        <f t="shared" si="4"/>
        <v/>
      </c>
    </row>
    <row r="298" spans="21:21" x14ac:dyDescent="0.3">
      <c r="U298" t="str">
        <f t="shared" si="4"/>
        <v/>
      </c>
    </row>
    <row r="299" spans="21:21" x14ac:dyDescent="0.3">
      <c r="U299" t="str">
        <f t="shared" si="4"/>
        <v/>
      </c>
    </row>
    <row r="300" spans="21:21" x14ac:dyDescent="0.3">
      <c r="U300" t="str">
        <f t="shared" si="4"/>
        <v/>
      </c>
    </row>
    <row r="301" spans="21:21" x14ac:dyDescent="0.3">
      <c r="U301" t="str">
        <f t="shared" si="4"/>
        <v/>
      </c>
    </row>
    <row r="302" spans="21:21" x14ac:dyDescent="0.3">
      <c r="U302" t="str">
        <f t="shared" si="4"/>
        <v/>
      </c>
    </row>
    <row r="303" spans="21:21" x14ac:dyDescent="0.3">
      <c r="U303" t="str">
        <f t="shared" si="4"/>
        <v/>
      </c>
    </row>
    <row r="304" spans="21:21" x14ac:dyDescent="0.3">
      <c r="U304" t="str">
        <f t="shared" si="4"/>
        <v/>
      </c>
    </row>
    <row r="305" spans="21:21" x14ac:dyDescent="0.3">
      <c r="U305" t="str">
        <f t="shared" si="4"/>
        <v/>
      </c>
    </row>
    <row r="306" spans="21:21" x14ac:dyDescent="0.3">
      <c r="U306" t="str">
        <f t="shared" si="4"/>
        <v/>
      </c>
    </row>
    <row r="307" spans="21:21" x14ac:dyDescent="0.3">
      <c r="U307" t="str">
        <f t="shared" si="4"/>
        <v/>
      </c>
    </row>
    <row r="308" spans="21:21" x14ac:dyDescent="0.3">
      <c r="U308" t="str">
        <f t="shared" si="4"/>
        <v/>
      </c>
    </row>
    <row r="309" spans="21:21" x14ac:dyDescent="0.3">
      <c r="U309" t="str">
        <f t="shared" si="4"/>
        <v/>
      </c>
    </row>
    <row r="310" spans="21:21" x14ac:dyDescent="0.3">
      <c r="U310" t="str">
        <f t="shared" si="4"/>
        <v/>
      </c>
    </row>
    <row r="311" spans="21:21" x14ac:dyDescent="0.3">
      <c r="U311" t="str">
        <f t="shared" si="4"/>
        <v/>
      </c>
    </row>
    <row r="312" spans="21:21" x14ac:dyDescent="0.3">
      <c r="U312" t="str">
        <f t="shared" si="4"/>
        <v/>
      </c>
    </row>
    <row r="313" spans="21:21" x14ac:dyDescent="0.3">
      <c r="U313" t="str">
        <f t="shared" si="4"/>
        <v/>
      </c>
    </row>
    <row r="314" spans="21:21" x14ac:dyDescent="0.3">
      <c r="U314" t="str">
        <f t="shared" si="4"/>
        <v/>
      </c>
    </row>
    <row r="315" spans="21:21" x14ac:dyDescent="0.3">
      <c r="U315" t="str">
        <f t="shared" si="4"/>
        <v/>
      </c>
    </row>
    <row r="316" spans="21:21" x14ac:dyDescent="0.3">
      <c r="U316" t="str">
        <f t="shared" si="4"/>
        <v/>
      </c>
    </row>
    <row r="317" spans="21:21" x14ac:dyDescent="0.3">
      <c r="U317" t="str">
        <f t="shared" si="4"/>
        <v/>
      </c>
    </row>
    <row r="318" spans="21:21" x14ac:dyDescent="0.3">
      <c r="U318" t="str">
        <f t="shared" si="4"/>
        <v/>
      </c>
    </row>
    <row r="319" spans="21:21" x14ac:dyDescent="0.3">
      <c r="U319" t="str">
        <f t="shared" si="4"/>
        <v/>
      </c>
    </row>
    <row r="320" spans="21:21" x14ac:dyDescent="0.3">
      <c r="U320" t="str">
        <f t="shared" si="4"/>
        <v/>
      </c>
    </row>
    <row r="321" spans="21:21" x14ac:dyDescent="0.3">
      <c r="U321" t="str">
        <f t="shared" si="4"/>
        <v/>
      </c>
    </row>
    <row r="322" spans="21:21" x14ac:dyDescent="0.3">
      <c r="U322" t="str">
        <f t="shared" ref="U322:U385" si="5">IF($A322&lt;&gt;"","순번 "&amp;$A322&amp;": "&amp;$B322&amp;" / "&amp;$C322&amp;"학년도 / "&amp;$H322,"")</f>
        <v/>
      </c>
    </row>
    <row r="323" spans="21:21" x14ac:dyDescent="0.3">
      <c r="U323" t="str">
        <f t="shared" si="5"/>
        <v/>
      </c>
    </row>
    <row r="324" spans="21:21" x14ac:dyDescent="0.3">
      <c r="U324" t="str">
        <f t="shared" si="5"/>
        <v/>
      </c>
    </row>
    <row r="325" spans="21:21" x14ac:dyDescent="0.3">
      <c r="U325" t="str">
        <f t="shared" si="5"/>
        <v/>
      </c>
    </row>
    <row r="326" spans="21:21" x14ac:dyDescent="0.3">
      <c r="U326" t="str">
        <f t="shared" si="5"/>
        <v/>
      </c>
    </row>
    <row r="327" spans="21:21" x14ac:dyDescent="0.3">
      <c r="U327" t="str">
        <f t="shared" si="5"/>
        <v/>
      </c>
    </row>
    <row r="328" spans="21:21" x14ac:dyDescent="0.3">
      <c r="U328" t="str">
        <f t="shared" si="5"/>
        <v/>
      </c>
    </row>
    <row r="329" spans="21:21" x14ac:dyDescent="0.3">
      <c r="U329" t="str">
        <f t="shared" si="5"/>
        <v/>
      </c>
    </row>
    <row r="330" spans="21:21" x14ac:dyDescent="0.3">
      <c r="U330" t="str">
        <f t="shared" si="5"/>
        <v/>
      </c>
    </row>
    <row r="331" spans="21:21" x14ac:dyDescent="0.3">
      <c r="U331" t="str">
        <f t="shared" si="5"/>
        <v/>
      </c>
    </row>
    <row r="332" spans="21:21" x14ac:dyDescent="0.3">
      <c r="U332" t="str">
        <f t="shared" si="5"/>
        <v/>
      </c>
    </row>
    <row r="333" spans="21:21" x14ac:dyDescent="0.3">
      <c r="U333" t="str">
        <f t="shared" si="5"/>
        <v/>
      </c>
    </row>
    <row r="334" spans="21:21" x14ac:dyDescent="0.3">
      <c r="U334" t="str">
        <f t="shared" si="5"/>
        <v/>
      </c>
    </row>
    <row r="335" spans="21:21" x14ac:dyDescent="0.3">
      <c r="U335" t="str">
        <f t="shared" si="5"/>
        <v/>
      </c>
    </row>
    <row r="336" spans="21:21" x14ac:dyDescent="0.3">
      <c r="U336" t="str">
        <f t="shared" si="5"/>
        <v/>
      </c>
    </row>
    <row r="337" spans="21:21" x14ac:dyDescent="0.3">
      <c r="U337" t="str">
        <f t="shared" si="5"/>
        <v/>
      </c>
    </row>
    <row r="338" spans="21:21" x14ac:dyDescent="0.3">
      <c r="U338" t="str">
        <f t="shared" si="5"/>
        <v/>
      </c>
    </row>
    <row r="339" spans="21:21" x14ac:dyDescent="0.3">
      <c r="U339" t="str">
        <f t="shared" si="5"/>
        <v/>
      </c>
    </row>
    <row r="340" spans="21:21" x14ac:dyDescent="0.3">
      <c r="U340" t="str">
        <f t="shared" si="5"/>
        <v/>
      </c>
    </row>
    <row r="341" spans="21:21" x14ac:dyDescent="0.3">
      <c r="U341" t="str">
        <f t="shared" si="5"/>
        <v/>
      </c>
    </row>
    <row r="342" spans="21:21" x14ac:dyDescent="0.3">
      <c r="U342" t="str">
        <f t="shared" si="5"/>
        <v/>
      </c>
    </row>
    <row r="343" spans="21:21" x14ac:dyDescent="0.3">
      <c r="U343" t="str">
        <f t="shared" si="5"/>
        <v/>
      </c>
    </row>
    <row r="344" spans="21:21" x14ac:dyDescent="0.3">
      <c r="U344" t="str">
        <f t="shared" si="5"/>
        <v/>
      </c>
    </row>
    <row r="345" spans="21:21" x14ac:dyDescent="0.3">
      <c r="U345" t="str">
        <f t="shared" si="5"/>
        <v/>
      </c>
    </row>
    <row r="346" spans="21:21" x14ac:dyDescent="0.3">
      <c r="U346" t="str">
        <f t="shared" si="5"/>
        <v/>
      </c>
    </row>
    <row r="347" spans="21:21" x14ac:dyDescent="0.3">
      <c r="U347" t="str">
        <f t="shared" si="5"/>
        <v/>
      </c>
    </row>
    <row r="348" spans="21:21" x14ac:dyDescent="0.3">
      <c r="U348" t="str">
        <f t="shared" si="5"/>
        <v/>
      </c>
    </row>
    <row r="349" spans="21:21" x14ac:dyDescent="0.3">
      <c r="U349" t="str">
        <f t="shared" si="5"/>
        <v/>
      </c>
    </row>
    <row r="350" spans="21:21" x14ac:dyDescent="0.3">
      <c r="U350" t="str">
        <f t="shared" si="5"/>
        <v/>
      </c>
    </row>
    <row r="351" spans="21:21" x14ac:dyDescent="0.3">
      <c r="U351" t="str">
        <f t="shared" si="5"/>
        <v/>
      </c>
    </row>
    <row r="352" spans="21:21" x14ac:dyDescent="0.3">
      <c r="U352" t="str">
        <f t="shared" si="5"/>
        <v/>
      </c>
    </row>
    <row r="353" spans="21:21" x14ac:dyDescent="0.3">
      <c r="U353" t="str">
        <f t="shared" si="5"/>
        <v/>
      </c>
    </row>
    <row r="354" spans="21:21" x14ac:dyDescent="0.3">
      <c r="U354" t="str">
        <f t="shared" si="5"/>
        <v/>
      </c>
    </row>
    <row r="355" spans="21:21" x14ac:dyDescent="0.3">
      <c r="U355" t="str">
        <f t="shared" si="5"/>
        <v/>
      </c>
    </row>
    <row r="356" spans="21:21" x14ac:dyDescent="0.3">
      <c r="U356" t="str">
        <f t="shared" si="5"/>
        <v/>
      </c>
    </row>
    <row r="357" spans="21:21" x14ac:dyDescent="0.3">
      <c r="U357" t="str">
        <f t="shared" si="5"/>
        <v/>
      </c>
    </row>
    <row r="358" spans="21:21" x14ac:dyDescent="0.3">
      <c r="U358" t="str">
        <f t="shared" si="5"/>
        <v/>
      </c>
    </row>
    <row r="359" spans="21:21" x14ac:dyDescent="0.3">
      <c r="U359" t="str">
        <f t="shared" si="5"/>
        <v/>
      </c>
    </row>
    <row r="360" spans="21:21" x14ac:dyDescent="0.3">
      <c r="U360" t="str">
        <f t="shared" si="5"/>
        <v/>
      </c>
    </row>
    <row r="361" spans="21:21" x14ac:dyDescent="0.3">
      <c r="U361" t="str">
        <f t="shared" si="5"/>
        <v/>
      </c>
    </row>
    <row r="362" spans="21:21" x14ac:dyDescent="0.3">
      <c r="U362" t="str">
        <f t="shared" si="5"/>
        <v/>
      </c>
    </row>
    <row r="363" spans="21:21" x14ac:dyDescent="0.3">
      <c r="U363" t="str">
        <f t="shared" si="5"/>
        <v/>
      </c>
    </row>
    <row r="364" spans="21:21" x14ac:dyDescent="0.3">
      <c r="U364" t="str">
        <f t="shared" si="5"/>
        <v/>
      </c>
    </row>
    <row r="365" spans="21:21" x14ac:dyDescent="0.3">
      <c r="U365" t="str">
        <f t="shared" si="5"/>
        <v/>
      </c>
    </row>
    <row r="366" spans="21:21" x14ac:dyDescent="0.3">
      <c r="U366" t="str">
        <f t="shared" si="5"/>
        <v/>
      </c>
    </row>
    <row r="367" spans="21:21" x14ac:dyDescent="0.3">
      <c r="U367" t="str">
        <f t="shared" si="5"/>
        <v/>
      </c>
    </row>
    <row r="368" spans="21:21" x14ac:dyDescent="0.3">
      <c r="U368" t="str">
        <f t="shared" si="5"/>
        <v/>
      </c>
    </row>
    <row r="369" spans="21:21" x14ac:dyDescent="0.3">
      <c r="U369" t="str">
        <f t="shared" si="5"/>
        <v/>
      </c>
    </row>
    <row r="370" spans="21:21" x14ac:dyDescent="0.3">
      <c r="U370" t="str">
        <f t="shared" si="5"/>
        <v/>
      </c>
    </row>
    <row r="371" spans="21:21" x14ac:dyDescent="0.3">
      <c r="U371" t="str">
        <f t="shared" si="5"/>
        <v/>
      </c>
    </row>
    <row r="372" spans="21:21" x14ac:dyDescent="0.3">
      <c r="U372" t="str">
        <f t="shared" si="5"/>
        <v/>
      </c>
    </row>
    <row r="373" spans="21:21" x14ac:dyDescent="0.3">
      <c r="U373" t="str">
        <f t="shared" si="5"/>
        <v/>
      </c>
    </row>
    <row r="374" spans="21:21" x14ac:dyDescent="0.3">
      <c r="U374" t="str">
        <f t="shared" si="5"/>
        <v/>
      </c>
    </row>
    <row r="375" spans="21:21" x14ac:dyDescent="0.3">
      <c r="U375" t="str">
        <f t="shared" si="5"/>
        <v/>
      </c>
    </row>
    <row r="376" spans="21:21" x14ac:dyDescent="0.3">
      <c r="U376" t="str">
        <f t="shared" si="5"/>
        <v/>
      </c>
    </row>
    <row r="377" spans="21:21" x14ac:dyDescent="0.3">
      <c r="U377" t="str">
        <f t="shared" si="5"/>
        <v/>
      </c>
    </row>
    <row r="378" spans="21:21" x14ac:dyDescent="0.3">
      <c r="U378" t="str">
        <f t="shared" si="5"/>
        <v/>
      </c>
    </row>
    <row r="379" spans="21:21" x14ac:dyDescent="0.3">
      <c r="U379" t="str">
        <f t="shared" si="5"/>
        <v/>
      </c>
    </row>
    <row r="380" spans="21:21" x14ac:dyDescent="0.3">
      <c r="U380" t="str">
        <f t="shared" si="5"/>
        <v/>
      </c>
    </row>
    <row r="381" spans="21:21" x14ac:dyDescent="0.3">
      <c r="U381" t="str">
        <f t="shared" si="5"/>
        <v/>
      </c>
    </row>
    <row r="382" spans="21:21" x14ac:dyDescent="0.3">
      <c r="U382" t="str">
        <f t="shared" si="5"/>
        <v/>
      </c>
    </row>
    <row r="383" spans="21:21" x14ac:dyDescent="0.3">
      <c r="U383" t="str">
        <f t="shared" si="5"/>
        <v/>
      </c>
    </row>
    <row r="384" spans="21:21" x14ac:dyDescent="0.3">
      <c r="U384" t="str">
        <f t="shared" si="5"/>
        <v/>
      </c>
    </row>
    <row r="385" spans="21:21" x14ac:dyDescent="0.3">
      <c r="U385" t="str">
        <f t="shared" si="5"/>
        <v/>
      </c>
    </row>
    <row r="386" spans="21:21" x14ac:dyDescent="0.3">
      <c r="U386" t="str">
        <f t="shared" ref="U386:U449" si="6">IF($A386&lt;&gt;"","순번 "&amp;$A386&amp;": "&amp;$B386&amp;" / "&amp;$C386&amp;"학년도 / "&amp;$H386,"")</f>
        <v/>
      </c>
    </row>
    <row r="387" spans="21:21" x14ac:dyDescent="0.3">
      <c r="U387" t="str">
        <f t="shared" si="6"/>
        <v/>
      </c>
    </row>
    <row r="388" spans="21:21" x14ac:dyDescent="0.3">
      <c r="U388" t="str">
        <f t="shared" si="6"/>
        <v/>
      </c>
    </row>
    <row r="389" spans="21:21" x14ac:dyDescent="0.3">
      <c r="U389" t="str">
        <f t="shared" si="6"/>
        <v/>
      </c>
    </row>
    <row r="390" spans="21:21" x14ac:dyDescent="0.3">
      <c r="U390" t="str">
        <f t="shared" si="6"/>
        <v/>
      </c>
    </row>
    <row r="391" spans="21:21" x14ac:dyDescent="0.3">
      <c r="U391" t="str">
        <f t="shared" si="6"/>
        <v/>
      </c>
    </row>
    <row r="392" spans="21:21" x14ac:dyDescent="0.3">
      <c r="U392" t="str">
        <f t="shared" si="6"/>
        <v/>
      </c>
    </row>
    <row r="393" spans="21:21" x14ac:dyDescent="0.3">
      <c r="U393" t="str">
        <f t="shared" si="6"/>
        <v/>
      </c>
    </row>
    <row r="394" spans="21:21" x14ac:dyDescent="0.3">
      <c r="U394" t="str">
        <f t="shared" si="6"/>
        <v/>
      </c>
    </row>
    <row r="395" spans="21:21" x14ac:dyDescent="0.3">
      <c r="U395" t="str">
        <f t="shared" si="6"/>
        <v/>
      </c>
    </row>
    <row r="396" spans="21:21" x14ac:dyDescent="0.3">
      <c r="U396" t="str">
        <f t="shared" si="6"/>
        <v/>
      </c>
    </row>
    <row r="397" spans="21:21" x14ac:dyDescent="0.3">
      <c r="U397" t="str">
        <f t="shared" si="6"/>
        <v/>
      </c>
    </row>
    <row r="398" spans="21:21" x14ac:dyDescent="0.3">
      <c r="U398" t="str">
        <f t="shared" si="6"/>
        <v/>
      </c>
    </row>
    <row r="399" spans="21:21" x14ac:dyDescent="0.3">
      <c r="U399" t="str">
        <f t="shared" si="6"/>
        <v/>
      </c>
    </row>
    <row r="400" spans="21:21" x14ac:dyDescent="0.3">
      <c r="U400" t="str">
        <f t="shared" si="6"/>
        <v/>
      </c>
    </row>
    <row r="401" spans="21:21" x14ac:dyDescent="0.3">
      <c r="U401" t="str">
        <f t="shared" si="6"/>
        <v/>
      </c>
    </row>
    <row r="402" spans="21:21" x14ac:dyDescent="0.3">
      <c r="U402" t="str">
        <f t="shared" si="6"/>
        <v/>
      </c>
    </row>
    <row r="403" spans="21:21" x14ac:dyDescent="0.3">
      <c r="U403" t="str">
        <f t="shared" si="6"/>
        <v/>
      </c>
    </row>
    <row r="404" spans="21:21" x14ac:dyDescent="0.3">
      <c r="U404" t="str">
        <f t="shared" si="6"/>
        <v/>
      </c>
    </row>
    <row r="405" spans="21:21" x14ac:dyDescent="0.3">
      <c r="U405" t="str">
        <f t="shared" si="6"/>
        <v/>
      </c>
    </row>
    <row r="406" spans="21:21" x14ac:dyDescent="0.3">
      <c r="U406" t="str">
        <f t="shared" si="6"/>
        <v/>
      </c>
    </row>
    <row r="407" spans="21:21" x14ac:dyDescent="0.3">
      <c r="U407" t="str">
        <f t="shared" si="6"/>
        <v/>
      </c>
    </row>
    <row r="408" spans="21:21" x14ac:dyDescent="0.3">
      <c r="U408" t="str">
        <f t="shared" si="6"/>
        <v/>
      </c>
    </row>
    <row r="409" spans="21:21" x14ac:dyDescent="0.3">
      <c r="U409" t="str">
        <f t="shared" si="6"/>
        <v/>
      </c>
    </row>
    <row r="410" spans="21:21" x14ac:dyDescent="0.3">
      <c r="U410" t="str">
        <f t="shared" si="6"/>
        <v/>
      </c>
    </row>
    <row r="411" spans="21:21" x14ac:dyDescent="0.3">
      <c r="U411" t="str">
        <f t="shared" si="6"/>
        <v/>
      </c>
    </row>
    <row r="412" spans="21:21" x14ac:dyDescent="0.3">
      <c r="U412" t="str">
        <f t="shared" si="6"/>
        <v/>
      </c>
    </row>
    <row r="413" spans="21:21" x14ac:dyDescent="0.3">
      <c r="U413" t="str">
        <f t="shared" si="6"/>
        <v/>
      </c>
    </row>
    <row r="414" spans="21:21" x14ac:dyDescent="0.3">
      <c r="U414" t="str">
        <f t="shared" si="6"/>
        <v/>
      </c>
    </row>
    <row r="415" spans="21:21" x14ac:dyDescent="0.3">
      <c r="U415" t="str">
        <f t="shared" si="6"/>
        <v/>
      </c>
    </row>
    <row r="416" spans="21:21" x14ac:dyDescent="0.3">
      <c r="U416" t="str">
        <f t="shared" si="6"/>
        <v/>
      </c>
    </row>
    <row r="417" spans="21:21" x14ac:dyDescent="0.3">
      <c r="U417" t="str">
        <f t="shared" si="6"/>
        <v/>
      </c>
    </row>
    <row r="418" spans="21:21" x14ac:dyDescent="0.3">
      <c r="U418" t="str">
        <f t="shared" si="6"/>
        <v/>
      </c>
    </row>
    <row r="419" spans="21:21" x14ac:dyDescent="0.3">
      <c r="U419" t="str">
        <f t="shared" si="6"/>
        <v/>
      </c>
    </row>
    <row r="420" spans="21:21" x14ac:dyDescent="0.3">
      <c r="U420" t="str">
        <f t="shared" si="6"/>
        <v/>
      </c>
    </row>
    <row r="421" spans="21:21" x14ac:dyDescent="0.3">
      <c r="U421" t="str">
        <f t="shared" si="6"/>
        <v/>
      </c>
    </row>
    <row r="422" spans="21:21" x14ac:dyDescent="0.3">
      <c r="U422" t="str">
        <f t="shared" si="6"/>
        <v/>
      </c>
    </row>
    <row r="423" spans="21:21" x14ac:dyDescent="0.3">
      <c r="U423" t="str">
        <f t="shared" si="6"/>
        <v/>
      </c>
    </row>
    <row r="424" spans="21:21" x14ac:dyDescent="0.3">
      <c r="U424" t="str">
        <f t="shared" si="6"/>
        <v/>
      </c>
    </row>
    <row r="425" spans="21:21" x14ac:dyDescent="0.3">
      <c r="U425" t="str">
        <f t="shared" si="6"/>
        <v/>
      </c>
    </row>
    <row r="426" spans="21:21" x14ac:dyDescent="0.3">
      <c r="U426" t="str">
        <f t="shared" si="6"/>
        <v/>
      </c>
    </row>
    <row r="427" spans="21:21" x14ac:dyDescent="0.3">
      <c r="U427" t="str">
        <f t="shared" si="6"/>
        <v/>
      </c>
    </row>
    <row r="428" spans="21:21" x14ac:dyDescent="0.3">
      <c r="U428" t="str">
        <f t="shared" si="6"/>
        <v/>
      </c>
    </row>
    <row r="429" spans="21:21" x14ac:dyDescent="0.3">
      <c r="U429" t="str">
        <f t="shared" si="6"/>
        <v/>
      </c>
    </row>
    <row r="430" spans="21:21" x14ac:dyDescent="0.3">
      <c r="U430" t="str">
        <f t="shared" si="6"/>
        <v/>
      </c>
    </row>
    <row r="431" spans="21:21" x14ac:dyDescent="0.3">
      <c r="U431" t="str">
        <f t="shared" si="6"/>
        <v/>
      </c>
    </row>
    <row r="432" spans="21:21" x14ac:dyDescent="0.3">
      <c r="U432" t="str">
        <f t="shared" si="6"/>
        <v/>
      </c>
    </row>
    <row r="433" spans="21:21" x14ac:dyDescent="0.3">
      <c r="U433" t="str">
        <f t="shared" si="6"/>
        <v/>
      </c>
    </row>
    <row r="434" spans="21:21" x14ac:dyDescent="0.3">
      <c r="U434" t="str">
        <f t="shared" si="6"/>
        <v/>
      </c>
    </row>
    <row r="435" spans="21:21" x14ac:dyDescent="0.3">
      <c r="U435" t="str">
        <f t="shared" si="6"/>
        <v/>
      </c>
    </row>
    <row r="436" spans="21:21" x14ac:dyDescent="0.3">
      <c r="U436" t="str">
        <f t="shared" si="6"/>
        <v/>
      </c>
    </row>
    <row r="437" spans="21:21" x14ac:dyDescent="0.3">
      <c r="U437" t="str">
        <f t="shared" si="6"/>
        <v/>
      </c>
    </row>
    <row r="438" spans="21:21" x14ac:dyDescent="0.3">
      <c r="U438" t="str">
        <f t="shared" si="6"/>
        <v/>
      </c>
    </row>
    <row r="439" spans="21:21" x14ac:dyDescent="0.3">
      <c r="U439" t="str">
        <f t="shared" si="6"/>
        <v/>
      </c>
    </row>
    <row r="440" spans="21:21" x14ac:dyDescent="0.3">
      <c r="U440" t="str">
        <f t="shared" si="6"/>
        <v/>
      </c>
    </row>
    <row r="441" spans="21:21" x14ac:dyDescent="0.3">
      <c r="U441" t="str">
        <f t="shared" si="6"/>
        <v/>
      </c>
    </row>
    <row r="442" spans="21:21" x14ac:dyDescent="0.3">
      <c r="U442" t="str">
        <f t="shared" si="6"/>
        <v/>
      </c>
    </row>
    <row r="443" spans="21:21" x14ac:dyDescent="0.3">
      <c r="U443" t="str">
        <f t="shared" si="6"/>
        <v/>
      </c>
    </row>
    <row r="444" spans="21:21" x14ac:dyDescent="0.3">
      <c r="U444" t="str">
        <f t="shared" si="6"/>
        <v/>
      </c>
    </row>
    <row r="445" spans="21:21" x14ac:dyDescent="0.3">
      <c r="U445" t="str">
        <f t="shared" si="6"/>
        <v/>
      </c>
    </row>
    <row r="446" spans="21:21" x14ac:dyDescent="0.3">
      <c r="U446" t="str">
        <f t="shared" si="6"/>
        <v/>
      </c>
    </row>
    <row r="447" spans="21:21" x14ac:dyDescent="0.3">
      <c r="U447" t="str">
        <f t="shared" si="6"/>
        <v/>
      </c>
    </row>
    <row r="448" spans="21:21" x14ac:dyDescent="0.3">
      <c r="U448" t="str">
        <f t="shared" si="6"/>
        <v/>
      </c>
    </row>
    <row r="449" spans="21:21" x14ac:dyDescent="0.3">
      <c r="U449" t="str">
        <f t="shared" si="6"/>
        <v/>
      </c>
    </row>
    <row r="450" spans="21:21" x14ac:dyDescent="0.3">
      <c r="U450" t="str">
        <f t="shared" ref="U450:U500" si="7">IF($A450&lt;&gt;"","순번 "&amp;$A450&amp;": "&amp;$B450&amp;" / "&amp;$C450&amp;"학년도 / "&amp;$H450,"")</f>
        <v/>
      </c>
    </row>
    <row r="451" spans="21:21" x14ac:dyDescent="0.3">
      <c r="U451" t="str">
        <f t="shared" si="7"/>
        <v/>
      </c>
    </row>
    <row r="452" spans="21:21" x14ac:dyDescent="0.3">
      <c r="U452" t="str">
        <f t="shared" si="7"/>
        <v/>
      </c>
    </row>
    <row r="453" spans="21:21" x14ac:dyDescent="0.3">
      <c r="U453" t="str">
        <f t="shared" si="7"/>
        <v/>
      </c>
    </row>
    <row r="454" spans="21:21" x14ac:dyDescent="0.3">
      <c r="U454" t="str">
        <f t="shared" si="7"/>
        <v/>
      </c>
    </row>
    <row r="455" spans="21:21" x14ac:dyDescent="0.3">
      <c r="U455" t="str">
        <f t="shared" si="7"/>
        <v/>
      </c>
    </row>
    <row r="456" spans="21:21" x14ac:dyDescent="0.3">
      <c r="U456" t="str">
        <f t="shared" si="7"/>
        <v/>
      </c>
    </row>
    <row r="457" spans="21:21" x14ac:dyDescent="0.3">
      <c r="U457" t="str">
        <f t="shared" si="7"/>
        <v/>
      </c>
    </row>
    <row r="458" spans="21:21" x14ac:dyDescent="0.3">
      <c r="U458" t="str">
        <f t="shared" si="7"/>
        <v/>
      </c>
    </row>
    <row r="459" spans="21:21" x14ac:dyDescent="0.3">
      <c r="U459" t="str">
        <f t="shared" si="7"/>
        <v/>
      </c>
    </row>
    <row r="460" spans="21:21" x14ac:dyDescent="0.3">
      <c r="U460" t="str">
        <f t="shared" si="7"/>
        <v/>
      </c>
    </row>
    <row r="461" spans="21:21" x14ac:dyDescent="0.3">
      <c r="U461" t="str">
        <f t="shared" si="7"/>
        <v/>
      </c>
    </row>
    <row r="462" spans="21:21" x14ac:dyDescent="0.3">
      <c r="U462" t="str">
        <f t="shared" si="7"/>
        <v/>
      </c>
    </row>
    <row r="463" spans="21:21" x14ac:dyDescent="0.3">
      <c r="U463" t="str">
        <f t="shared" si="7"/>
        <v/>
      </c>
    </row>
    <row r="464" spans="21:21" x14ac:dyDescent="0.3">
      <c r="U464" t="str">
        <f t="shared" si="7"/>
        <v/>
      </c>
    </row>
    <row r="465" spans="21:21" x14ac:dyDescent="0.3">
      <c r="U465" t="str">
        <f t="shared" si="7"/>
        <v/>
      </c>
    </row>
    <row r="466" spans="21:21" x14ac:dyDescent="0.3">
      <c r="U466" t="str">
        <f t="shared" si="7"/>
        <v/>
      </c>
    </row>
    <row r="467" spans="21:21" x14ac:dyDescent="0.3">
      <c r="U467" t="str">
        <f t="shared" si="7"/>
        <v/>
      </c>
    </row>
    <row r="468" spans="21:21" x14ac:dyDescent="0.3">
      <c r="U468" t="str">
        <f t="shared" si="7"/>
        <v/>
      </c>
    </row>
    <row r="469" spans="21:21" x14ac:dyDescent="0.3">
      <c r="U469" t="str">
        <f t="shared" si="7"/>
        <v/>
      </c>
    </row>
    <row r="470" spans="21:21" x14ac:dyDescent="0.3">
      <c r="U470" t="str">
        <f t="shared" si="7"/>
        <v/>
      </c>
    </row>
    <row r="471" spans="21:21" x14ac:dyDescent="0.3">
      <c r="U471" t="str">
        <f t="shared" si="7"/>
        <v/>
      </c>
    </row>
    <row r="472" spans="21:21" x14ac:dyDescent="0.3">
      <c r="U472" t="str">
        <f t="shared" si="7"/>
        <v/>
      </c>
    </row>
    <row r="473" spans="21:21" x14ac:dyDescent="0.3">
      <c r="U473" t="str">
        <f t="shared" si="7"/>
        <v/>
      </c>
    </row>
    <row r="474" spans="21:21" x14ac:dyDescent="0.3">
      <c r="U474" t="str">
        <f t="shared" si="7"/>
        <v/>
      </c>
    </row>
    <row r="475" spans="21:21" x14ac:dyDescent="0.3">
      <c r="U475" t="str">
        <f t="shared" si="7"/>
        <v/>
      </c>
    </row>
    <row r="476" spans="21:21" x14ac:dyDescent="0.3">
      <c r="U476" t="str">
        <f t="shared" si="7"/>
        <v/>
      </c>
    </row>
    <row r="477" spans="21:21" x14ac:dyDescent="0.3">
      <c r="U477" t="str">
        <f t="shared" si="7"/>
        <v/>
      </c>
    </row>
    <row r="478" spans="21:21" x14ac:dyDescent="0.3">
      <c r="U478" t="str">
        <f t="shared" si="7"/>
        <v/>
      </c>
    </row>
    <row r="479" spans="21:21" x14ac:dyDescent="0.3">
      <c r="U479" t="str">
        <f t="shared" si="7"/>
        <v/>
      </c>
    </row>
    <row r="480" spans="21:21" x14ac:dyDescent="0.3">
      <c r="U480" t="str">
        <f t="shared" si="7"/>
        <v/>
      </c>
    </row>
    <row r="481" spans="21:21" x14ac:dyDescent="0.3">
      <c r="U481" t="str">
        <f t="shared" si="7"/>
        <v/>
      </c>
    </row>
    <row r="482" spans="21:21" x14ac:dyDescent="0.3">
      <c r="U482" t="str">
        <f t="shared" si="7"/>
        <v/>
      </c>
    </row>
    <row r="483" spans="21:21" x14ac:dyDescent="0.3">
      <c r="U483" t="str">
        <f t="shared" si="7"/>
        <v/>
      </c>
    </row>
    <row r="484" spans="21:21" x14ac:dyDescent="0.3">
      <c r="U484" t="str">
        <f t="shared" si="7"/>
        <v/>
      </c>
    </row>
    <row r="485" spans="21:21" x14ac:dyDescent="0.3">
      <c r="U485" t="str">
        <f t="shared" si="7"/>
        <v/>
      </c>
    </row>
    <row r="486" spans="21:21" x14ac:dyDescent="0.3">
      <c r="U486" t="str">
        <f t="shared" si="7"/>
        <v/>
      </c>
    </row>
    <row r="487" spans="21:21" x14ac:dyDescent="0.3">
      <c r="U487" t="str">
        <f t="shared" si="7"/>
        <v/>
      </c>
    </row>
    <row r="488" spans="21:21" x14ac:dyDescent="0.3">
      <c r="U488" t="str">
        <f t="shared" si="7"/>
        <v/>
      </c>
    </row>
    <row r="489" spans="21:21" x14ac:dyDescent="0.3">
      <c r="U489" t="str">
        <f t="shared" si="7"/>
        <v/>
      </c>
    </row>
    <row r="490" spans="21:21" x14ac:dyDescent="0.3">
      <c r="U490" t="str">
        <f t="shared" si="7"/>
        <v/>
      </c>
    </row>
    <row r="491" spans="21:21" x14ac:dyDescent="0.3">
      <c r="U491" t="str">
        <f t="shared" si="7"/>
        <v/>
      </c>
    </row>
    <row r="492" spans="21:21" x14ac:dyDescent="0.3">
      <c r="U492" t="str">
        <f t="shared" si="7"/>
        <v/>
      </c>
    </row>
    <row r="493" spans="21:21" x14ac:dyDescent="0.3">
      <c r="U493" t="str">
        <f t="shared" si="7"/>
        <v/>
      </c>
    </row>
    <row r="494" spans="21:21" x14ac:dyDescent="0.3">
      <c r="U494" t="str">
        <f t="shared" si="7"/>
        <v/>
      </c>
    </row>
    <row r="495" spans="21:21" x14ac:dyDescent="0.3">
      <c r="U495" t="str">
        <f t="shared" si="7"/>
        <v/>
      </c>
    </row>
    <row r="496" spans="21:21" x14ac:dyDescent="0.3">
      <c r="U496" t="str">
        <f t="shared" si="7"/>
        <v/>
      </c>
    </row>
    <row r="497" spans="21:21" x14ac:dyDescent="0.3">
      <c r="U497" t="str">
        <f t="shared" si="7"/>
        <v/>
      </c>
    </row>
    <row r="498" spans="21:21" x14ac:dyDescent="0.3">
      <c r="U498" t="str">
        <f t="shared" si="7"/>
        <v/>
      </c>
    </row>
    <row r="499" spans="21:21" x14ac:dyDescent="0.3">
      <c r="U499" t="str">
        <f t="shared" si="7"/>
        <v/>
      </c>
    </row>
    <row r="500" spans="21:21" x14ac:dyDescent="0.3">
      <c r="U500" t="str">
        <f t="shared" si="7"/>
        <v/>
      </c>
    </row>
  </sheetData>
  <sheetProtection sheet="1" objects="1" scenarios="1"/>
  <autoFilter ref="A1:T1" xr:uid="{0554ED69-D54A-4F4C-8D70-AC63AB0D9D20}"/>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55</vt:i4>
      </vt:variant>
      <vt:variant>
        <vt:lpstr>이름 지정된 범위</vt:lpstr>
      </vt:variant>
      <vt:variant>
        <vt:i4>47</vt:i4>
      </vt:variant>
    </vt:vector>
  </HeadingPairs>
  <TitlesOfParts>
    <vt:vector size="102" baseType="lpstr">
      <vt:lpstr>사용설명서</vt:lpstr>
      <vt:lpstr>기초자료입력</vt:lpstr>
      <vt:lpstr>계약방법안내</vt:lpstr>
      <vt:lpstr>서식선택_출력</vt:lpstr>
      <vt:lpstr>절차안내</vt:lpstr>
      <vt:lpstr>학교검색</vt:lpstr>
      <vt:lpstr>학교정보</vt:lpstr>
      <vt:lpstr>F-001_위원회구성기안</vt:lpstr>
      <vt:lpstr>F-002_위원수락확인서</vt:lpstr>
      <vt:lpstr>F-003_위원청렴보안서약서</vt:lpstr>
      <vt:lpstr>F-004_구매추진계획수립기안문</vt:lpstr>
      <vt:lpstr>F-005_구매추진계획안</vt:lpstr>
      <vt:lpstr>F-006_운영위원회심의안</vt:lpstr>
      <vt:lpstr>F-007_구매요청기안문</vt:lpstr>
      <vt:lpstr>F-008_교복사양서</vt:lpstr>
      <vt:lpstr>F-009_기초금액계약방법결정</vt:lpstr>
      <vt:lpstr>F-010_사전규격공개기안문</vt:lpstr>
      <vt:lpstr>F-011_입찰공고</vt:lpstr>
      <vt:lpstr>F-012_계약특수조건</vt:lpstr>
      <vt:lpstr>F-014_평가항목배점기준</vt:lpstr>
      <vt:lpstr>F-015_정량적평가</vt:lpstr>
      <vt:lpstr>F-016_정성적평가</vt:lpstr>
      <vt:lpstr>F-017_제출서류자기확인서</vt:lpstr>
      <vt:lpstr>F-018_정량적평가자기평점표</vt:lpstr>
      <vt:lpstr>F-019_입찰참가신청서</vt:lpstr>
      <vt:lpstr>F-020_입찰참가신고서</vt:lpstr>
      <vt:lpstr>F-021_교복납품제안서</vt:lpstr>
      <vt:lpstr>F-022_교복납품실적표</vt:lpstr>
      <vt:lpstr>F-023_교복제조사양서</vt:lpstr>
      <vt:lpstr>F-024_단가비율표</vt:lpstr>
      <vt:lpstr>F-025_교복AS계획서</vt:lpstr>
      <vt:lpstr>F-027_위임장</vt:lpstr>
      <vt:lpstr>F-029_개인정보제공동의서</vt:lpstr>
      <vt:lpstr>F-030_청렴계약이행서약서</vt:lpstr>
      <vt:lpstr>F-031_교복품목별금액표</vt:lpstr>
      <vt:lpstr>F-032_제안서접수결과</vt:lpstr>
      <vt:lpstr>F-033_제안서접수대장</vt:lpstr>
      <vt:lpstr>F-034_평가위원회개최</vt:lpstr>
      <vt:lpstr>F-035_정량평가결과</vt:lpstr>
      <vt:lpstr>F-036_제안서평가결과</vt:lpstr>
      <vt:lpstr>F-037_평가위원회참석등록부</vt:lpstr>
      <vt:lpstr>F-038_업체참가등록부</vt:lpstr>
      <vt:lpstr>F-039_업체별제안서평가표</vt:lpstr>
      <vt:lpstr>F-040_위원청렴보안서약서</vt:lpstr>
      <vt:lpstr>F-041_낙찰자결정</vt:lpstr>
      <vt:lpstr>F-042_낙찰자결정통보</vt:lpstr>
      <vt:lpstr>F-043_계약체결</vt:lpstr>
      <vt:lpstr>F-044_사전안내가정통신문안내</vt:lpstr>
      <vt:lpstr>F-045_사전안내가정통신문</vt:lpstr>
      <vt:lpstr>F-046_수요조사가정통신문안내</vt:lpstr>
      <vt:lpstr>F-047_수요조사가정통신문</vt:lpstr>
      <vt:lpstr>F-048_교복구매안내신청수량파악</vt:lpstr>
      <vt:lpstr>F-049_만족도설문조사실시</vt:lpstr>
      <vt:lpstr>F-050_만족도조사설문지</vt:lpstr>
      <vt:lpstr>DB</vt:lpstr>
      <vt:lpstr>'F-001_위원회구성기안'!Print_Area</vt:lpstr>
      <vt:lpstr>'F-002_위원수락확인서'!Print_Area</vt:lpstr>
      <vt:lpstr>'F-003_위원청렴보안서약서'!Print_Area</vt:lpstr>
      <vt:lpstr>'F-004_구매추진계획수립기안문'!Print_Area</vt:lpstr>
      <vt:lpstr>'F-005_구매추진계획안'!Print_Area</vt:lpstr>
      <vt:lpstr>'F-006_운영위원회심의안'!Print_Area</vt:lpstr>
      <vt:lpstr>'F-007_구매요청기안문'!Print_Area</vt:lpstr>
      <vt:lpstr>'F-008_교복사양서'!Print_Area</vt:lpstr>
      <vt:lpstr>'F-009_기초금액계약방법결정'!Print_Area</vt:lpstr>
      <vt:lpstr>'F-010_사전규격공개기안문'!Print_Area</vt:lpstr>
      <vt:lpstr>'F-011_입찰공고'!Print_Area</vt:lpstr>
      <vt:lpstr>'F-012_계약특수조건'!Print_Area</vt:lpstr>
      <vt:lpstr>'F-014_평가항목배점기준'!Print_Area</vt:lpstr>
      <vt:lpstr>'F-015_정량적평가'!Print_Area</vt:lpstr>
      <vt:lpstr>'F-016_정성적평가'!Print_Area</vt:lpstr>
      <vt:lpstr>'F-017_제출서류자기확인서'!Print_Area</vt:lpstr>
      <vt:lpstr>'F-018_정량적평가자기평점표'!Print_Area</vt:lpstr>
      <vt:lpstr>'F-019_입찰참가신청서'!Print_Area</vt:lpstr>
      <vt:lpstr>'F-020_입찰참가신고서'!Print_Area</vt:lpstr>
      <vt:lpstr>'F-021_교복납품제안서'!Print_Area</vt:lpstr>
      <vt:lpstr>'F-022_교복납품실적표'!Print_Area</vt:lpstr>
      <vt:lpstr>'F-023_교복제조사양서'!Print_Area</vt:lpstr>
      <vt:lpstr>'F-024_단가비율표'!Print_Area</vt:lpstr>
      <vt:lpstr>'F-025_교복AS계획서'!Print_Area</vt:lpstr>
      <vt:lpstr>'F-027_위임장'!Print_Area</vt:lpstr>
      <vt:lpstr>'F-029_개인정보제공동의서'!Print_Area</vt:lpstr>
      <vt:lpstr>'F-030_청렴계약이행서약서'!Print_Area</vt:lpstr>
      <vt:lpstr>'F-031_교복품목별금액표'!Print_Area</vt:lpstr>
      <vt:lpstr>'F-032_제안서접수결과'!Print_Area</vt:lpstr>
      <vt:lpstr>'F-033_제안서접수대장'!Print_Area</vt:lpstr>
      <vt:lpstr>'F-034_평가위원회개최'!Print_Area</vt:lpstr>
      <vt:lpstr>'F-035_정량평가결과'!Print_Area</vt:lpstr>
      <vt:lpstr>'F-036_제안서평가결과'!Print_Area</vt:lpstr>
      <vt:lpstr>'F-037_평가위원회참석등록부'!Print_Area</vt:lpstr>
      <vt:lpstr>'F-038_업체참가등록부'!Print_Area</vt:lpstr>
      <vt:lpstr>'F-039_업체별제안서평가표'!Print_Area</vt:lpstr>
      <vt:lpstr>'F-040_위원청렴보안서약서'!Print_Area</vt:lpstr>
      <vt:lpstr>'F-041_낙찰자결정'!Print_Area</vt:lpstr>
      <vt:lpstr>'F-042_낙찰자결정통보'!Print_Area</vt:lpstr>
      <vt:lpstr>'F-043_계약체결'!Print_Area</vt:lpstr>
      <vt:lpstr>'F-044_사전안내가정통신문안내'!Print_Area</vt:lpstr>
      <vt:lpstr>'F-045_사전안내가정통신문'!Print_Area</vt:lpstr>
      <vt:lpstr>'F-046_수요조사가정통신문안내'!Print_Area</vt:lpstr>
      <vt:lpstr>'F-047_수요조사가정통신문'!Print_Area</vt:lpstr>
      <vt:lpstr>'F-048_교복구매안내신청수량파악'!Print_Area</vt:lpstr>
      <vt:lpstr>'F-049_만족도설문조사실시'!Print_Area</vt:lpstr>
      <vt:lpstr>'F-050_만족도조사설문지'!Print_Area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최익창</dc:creator>
  <cp:lastModifiedBy>최익창</cp:lastModifiedBy>
  <dcterms:created xsi:type="dcterms:W3CDTF">2026-09-21T09:20:13Z</dcterms:created>
  <dcterms:modified xsi:type="dcterms:W3CDTF">2026-09-21T09:28:50Z</dcterms:modified>
</cp:coreProperties>
</file>